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brightcorpo-my.sharepoint.com/personal/aksatp_brightcorpo_onmicrosoft_com/Documents/1 Running Work/"/>
    </mc:Choice>
  </mc:AlternateContent>
  <xr:revisionPtr revIDLastSave="6664" documentId="8_{04F27980-8B17-4095-A5D9-8CD974378786}" xr6:coauthVersionLast="47" xr6:coauthVersionMax="47" xr10:uidLastSave="{BED7D794-03AE-42F8-B369-0E9A76473EC6}"/>
  <bookViews>
    <workbookView xWindow="-120" yWindow="-120" windowWidth="29040" windowHeight="15840" tabRatio="889" firstSheet="6" activeTab="7" xr2:uid="{00000000-000D-0000-FFFF-FFFF00000000}"/>
  </bookViews>
  <sheets>
    <sheet name="Sheet1" sheetId="14" r:id="rId1"/>
    <sheet name="PR_I_O General" sheetId="2" r:id="rId2"/>
    <sheet name="Sheet2" sheetId="12" state="hidden" r:id="rId3"/>
    <sheet name="Chart1" sheetId="18" r:id="rId4"/>
    <sheet name="LABLE" sheetId="13" r:id="rId5"/>
    <sheet name="2526PR_Master" sheetId="1" r:id="rId6"/>
    <sheet name="25526PR_Process" sheetId="5" r:id="rId7"/>
    <sheet name="2627PR_Inward" sheetId="3" r:id="rId8"/>
    <sheet name="2627PR_Loading" sheetId="4" r:id="rId9"/>
    <sheet name="2627PR_Stock_Report" sheetId="7" r:id="rId10"/>
    <sheet name="2627PR_Delivery" sheetId="6" r:id="rId11"/>
    <sheet name="REPORTS" sheetId="21" r:id="rId12"/>
    <sheet name="PR Trans" sheetId="8" r:id="rId13"/>
    <sheet name="NITROGEN" sheetId="22" r:id="rId14"/>
    <sheet name="Stock" sheetId="17" r:id="rId15"/>
    <sheet name="BRIGHT CORPO" sheetId="20" r:id="rId16"/>
    <sheet name="scaner chenal" sheetId="23" r:id="rId17"/>
    <sheet name="LPG  BATLO" sheetId="24" r:id="rId18"/>
  </sheets>
  <externalReferences>
    <externalReference r:id="rId19"/>
  </externalReferences>
  <definedNames>
    <definedName name="_xlnm._FilterDatabase" localSheetId="10" hidden="1">'2627PR_Delivery'!$A$1:$AA$1</definedName>
    <definedName name="_xlnm._FilterDatabase" localSheetId="7" hidden="1">'2627PR_Inward'!$A$2:$X$416</definedName>
    <definedName name="_xlnm._FilterDatabase" localSheetId="9" hidden="1">'2627PR_Stock_Report'!$B$2:$N$5</definedName>
    <definedName name="_xlnm._FilterDatabase" localSheetId="12" hidden="1">'PR Trans'!$I$1:$I$119</definedName>
    <definedName name="_xleta.FILTER" hidden="1" xlm="1">#NAME?</definedName>
    <definedName name="_xleta.IF" hidden="1" xlm="1">#NAME?</definedName>
    <definedName name="BHADU">'2526PR_Master'!$Z$4:$AA$20</definedName>
    <definedName name="_xlnm.Criteria" localSheetId="10">'2627PR_Delivery'!$C$132:$I$132</definedName>
    <definedName name="_xlnm.Criteria" localSheetId="7">'2627PR_Inward'!$AA$21:$AD$24</definedName>
    <definedName name="Delivery">'2627PR_Delivery'!$I$3:$V$470</definedName>
    <definedName name="_xlnm.Extract" localSheetId="10">'2627PR_Delivery'!$C$132:$M$132</definedName>
    <definedName name="_xlnm.Extract" localSheetId="8">'2627PR_Loading'!$E$674:$I$674</definedName>
    <definedName name="_xlnm.Extract" localSheetId="9">'2627PR_Stock_Report'!$B$4:$L$4</definedName>
    <definedName name="Inward">'2627PR_Inward'!$B$2:$X$127</definedName>
    <definedName name="Item1">'2627PR_Loading'!$E$2:$AO$1173</definedName>
    <definedName name="Item2">'2627PR_Loading'!$K$2:$AO$1173</definedName>
    <definedName name="Item3">'2627PR_Loading'!$Q$2:$AO$1173</definedName>
    <definedName name="LDB">'2627PR_Loading'!$A$3:$AK$1173</definedName>
    <definedName name="Loading">'2627PR_Loading'!$B$3:$AM$1173</definedName>
    <definedName name="Party">'2526PR_Master'!$D$4:$M$129</definedName>
    <definedName name="Pot">'2526PR_Master'!$S$3:$W$30</definedName>
    <definedName name="PRTiming">'2627PR_Loading'!$AA$2:$AO$673</definedName>
    <definedName name="PRtrasport">'2627PR_Delivery'!$E$2:$R$420</definedName>
    <definedName name="PRTRATE">'2526PR_Master'!$Z$4:$AD$20</definedName>
    <definedName name="Z_6EFE602B_DDBA_4BA7_94F6_DB3212BD68C7_.wvu.FilterData" localSheetId="7" hidden="1">'2627PR_Inward'!$B$2:$Q$2</definedName>
    <definedName name="Z_6EFE602B_DDBA_4BA7_94F6_DB3212BD68C7_.wvu.FilterData" localSheetId="9" hidden="1">'2627PR_Stock_Report'!$B$4:$L$118</definedName>
    <definedName name="Z_A079800B_DC1B_408F_91C7_3CFEB27825BC_.wvu.FilterData" localSheetId="7" hidden="1">'2627PR_Inward'!$B$2:$Q$2</definedName>
    <definedName name="Z_A079800B_DC1B_408F_91C7_3CFEB27825BC_.wvu.FilterData" localSheetId="9" hidden="1">'2627PR_Stock_Report'!$B$4:$L$118</definedName>
    <definedName name="Z_B184D339_F4BF_494A_9C5F_349EA56346DC_.wvu.FilterData" localSheetId="7" hidden="1">'2627PR_Inward'!$B$2:$Q$2</definedName>
    <definedName name="Z_DF80A78B_6874_43C5_AA8A_421229003BD3_.wvu.FilterData" localSheetId="7" hidden="1">'2627PR_Inward'!$B$2:$Q$2</definedName>
  </definedNames>
  <calcPr calcId="191028"/>
  <customWorkbookViews>
    <customWorkbookView name="Win7 - Personal View" guid="{A079800B-DC1B-408F-91C7-3CFEB27825BC}" mergeInterval="0" personalView="1" maximized="1" xWindow="-9" yWindow="-9" windowWidth="1298" windowHeight="994" tabRatio="815" activeSheetId="2"/>
    <customWorkbookView name="bharat - Personal View" guid="{6EFE602B-DDBA-4BA7-94F6-DB3212BD68C7}" mergeInterval="0" personalView="1" maximized="1" xWindow="-8" yWindow="-8" windowWidth="1296" windowHeight="706" tabRatio="815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7" i="6" l="1"/>
  <c r="P119" i="6"/>
  <c r="S119" i="6"/>
  <c r="J120" i="6"/>
  <c r="P120" i="6"/>
  <c r="G120" i="6"/>
  <c r="T122" i="6"/>
  <c r="T123" i="6"/>
  <c r="T124" i="6"/>
  <c r="T125" i="6"/>
  <c r="T126" i="6"/>
  <c r="T127" i="6"/>
  <c r="U122" i="6"/>
  <c r="U123" i="6"/>
  <c r="U124" i="6"/>
  <c r="U125" i="6"/>
  <c r="U126" i="6"/>
  <c r="U127" i="6"/>
  <c r="P105" i="3"/>
  <c r="Q105" i="3"/>
  <c r="R105" i="3"/>
  <c r="T105" i="3"/>
  <c r="P106" i="3"/>
  <c r="Q106" i="3"/>
  <c r="R106" i="3"/>
  <c r="T106" i="3"/>
  <c r="P107" i="3"/>
  <c r="Q107" i="3"/>
  <c r="R107" i="3"/>
  <c r="T107" i="3"/>
  <c r="P108" i="3"/>
  <c r="Q108" i="3"/>
  <c r="R108" i="3"/>
  <c r="T108" i="3"/>
  <c r="P109" i="3"/>
  <c r="Q109" i="3"/>
  <c r="R109" i="3"/>
  <c r="T109" i="3"/>
  <c r="P110" i="3"/>
  <c r="Q110" i="3"/>
  <c r="R110" i="3"/>
  <c r="T110" i="3"/>
  <c r="P111" i="3"/>
  <c r="Q111" i="3"/>
  <c r="R111" i="3"/>
  <c r="T111" i="3"/>
  <c r="P112" i="3"/>
  <c r="Q112" i="3"/>
  <c r="R112" i="3"/>
  <c r="T112" i="3"/>
  <c r="P113" i="3"/>
  <c r="Q113" i="3"/>
  <c r="R113" i="3"/>
  <c r="T113" i="3"/>
  <c r="P114" i="3"/>
  <c r="Q114" i="3"/>
  <c r="R114" i="3"/>
  <c r="T114" i="3"/>
  <c r="P115" i="3"/>
  <c r="Q115" i="3"/>
  <c r="R115" i="3"/>
  <c r="T115" i="3"/>
  <c r="P116" i="3"/>
  <c r="Q116" i="3"/>
  <c r="R116" i="3"/>
  <c r="T116" i="3"/>
  <c r="P117" i="3"/>
  <c r="Q117" i="3"/>
  <c r="R117" i="3"/>
  <c r="T117" i="3"/>
  <c r="P118" i="3"/>
  <c r="Q118" i="3"/>
  <c r="R118" i="3"/>
  <c r="T118" i="3"/>
  <c r="P119" i="3"/>
  <c r="Q119" i="3"/>
  <c r="R119" i="3"/>
  <c r="T119" i="3"/>
  <c r="P120" i="3"/>
  <c r="Q120" i="3"/>
  <c r="R120" i="3"/>
  <c r="T120" i="3"/>
  <c r="P121" i="3"/>
  <c r="Q121" i="3"/>
  <c r="R121" i="3"/>
  <c r="T121" i="3"/>
  <c r="P122" i="3"/>
  <c r="Q122" i="3"/>
  <c r="R122" i="3"/>
  <c r="T122" i="3"/>
  <c r="P123" i="3"/>
  <c r="Q123" i="3"/>
  <c r="R123" i="3"/>
  <c r="T123" i="3"/>
  <c r="P124" i="3"/>
  <c r="Q124" i="3"/>
  <c r="R124" i="3"/>
  <c r="T124" i="3"/>
  <c r="P125" i="3"/>
  <c r="Q125" i="3"/>
  <c r="R125" i="3"/>
  <c r="T125" i="3"/>
  <c r="P126" i="3"/>
  <c r="Q126" i="3"/>
  <c r="R126" i="3"/>
  <c r="T126" i="3"/>
  <c r="P127" i="3"/>
  <c r="Q127" i="3"/>
  <c r="R127" i="3"/>
  <c r="T127" i="3"/>
  <c r="P128" i="3"/>
  <c r="Q128" i="3"/>
  <c r="R128" i="3"/>
  <c r="T128" i="3"/>
  <c r="P129" i="3"/>
  <c r="Q129" i="3"/>
  <c r="R129" i="3"/>
  <c r="T129" i="3"/>
  <c r="P130" i="3"/>
  <c r="Q130" i="3"/>
  <c r="R130" i="3"/>
  <c r="T130" i="3"/>
  <c r="P131" i="3"/>
  <c r="Q131" i="3"/>
  <c r="R131" i="3"/>
  <c r="T131" i="3"/>
  <c r="AH71" i="4"/>
  <c r="J118" i="6"/>
  <c r="G118" i="6"/>
  <c r="AH70" i="4"/>
  <c r="J114" i="6"/>
  <c r="J116" i="6"/>
  <c r="S117" i="6"/>
  <c r="P118" i="6"/>
  <c r="T128" i="6"/>
  <c r="S115" i="6"/>
  <c r="P115" i="6"/>
  <c r="P116" i="6" s="1"/>
  <c r="G116" i="6"/>
  <c r="J105" i="3"/>
  <c r="K105" i="3"/>
  <c r="J106" i="3"/>
  <c r="K106" i="3"/>
  <c r="J107" i="3"/>
  <c r="K107" i="3"/>
  <c r="J108" i="3"/>
  <c r="K108" i="3"/>
  <c r="J109" i="3"/>
  <c r="K109" i="3"/>
  <c r="J110" i="3"/>
  <c r="K110" i="3"/>
  <c r="J111" i="3"/>
  <c r="K111" i="3"/>
  <c r="J112" i="3"/>
  <c r="K112" i="3"/>
  <c r="J113" i="3"/>
  <c r="K113" i="3"/>
  <c r="J114" i="3"/>
  <c r="K114" i="3"/>
  <c r="J115" i="3"/>
  <c r="K115" i="3"/>
  <c r="J116" i="3"/>
  <c r="K116" i="3"/>
  <c r="J117" i="3"/>
  <c r="K117" i="3"/>
  <c r="J118" i="3"/>
  <c r="K118" i="3"/>
  <c r="J119" i="3"/>
  <c r="K119" i="3"/>
  <c r="J120" i="3"/>
  <c r="K120" i="3"/>
  <c r="J121" i="3"/>
  <c r="K121" i="3"/>
  <c r="J122" i="3"/>
  <c r="K122" i="3"/>
  <c r="J123" i="3"/>
  <c r="K123" i="3"/>
  <c r="AH69" i="4"/>
  <c r="J124" i="3"/>
  <c r="K124" i="3"/>
  <c r="U128" i="6"/>
  <c r="S113" i="6"/>
  <c r="G114" i="6"/>
  <c r="AH68" i="4"/>
  <c r="M105" i="3"/>
  <c r="M114" i="3"/>
  <c r="V107" i="3"/>
  <c r="V110" i="3"/>
  <c r="V113" i="3"/>
  <c r="V104" i="3"/>
  <c r="P113" i="6" s="1"/>
  <c r="P114" i="6" s="1"/>
  <c r="L114" i="3"/>
  <c r="L111" i="3"/>
  <c r="L108" i="3"/>
  <c r="P101" i="3"/>
  <c r="Q101" i="3"/>
  <c r="R101" i="3"/>
  <c r="T101" i="3"/>
  <c r="P102" i="3"/>
  <c r="Q102" i="3"/>
  <c r="R102" i="3"/>
  <c r="T102" i="3"/>
  <c r="P103" i="3"/>
  <c r="Q103" i="3"/>
  <c r="R103" i="3"/>
  <c r="T103" i="3"/>
  <c r="P104" i="3"/>
  <c r="Q104" i="3"/>
  <c r="R104" i="3"/>
  <c r="T104" i="3"/>
  <c r="J101" i="3"/>
  <c r="K101" i="3"/>
  <c r="J102" i="3"/>
  <c r="K102" i="3"/>
  <c r="J103" i="3"/>
  <c r="K103" i="3"/>
  <c r="J104" i="3"/>
  <c r="K104" i="3"/>
  <c r="L105" i="3"/>
  <c r="K59" i="8"/>
  <c r="S110" i="6"/>
  <c r="J111" i="6"/>
  <c r="G111" i="6"/>
  <c r="J74" i="3"/>
  <c r="S108" i="6" l="1"/>
  <c r="J109" i="6"/>
  <c r="G109" i="6"/>
  <c r="AC61" i="4"/>
  <c r="J107" i="6" l="1"/>
  <c r="S106" i="6"/>
  <c r="S105" i="6"/>
  <c r="S104" i="6"/>
  <c r="M107" i="6"/>
  <c r="G107" i="6"/>
  <c r="O46" i="8"/>
  <c r="O43" i="8"/>
  <c r="O41" i="8"/>
  <c r="G55" i="4" l="1"/>
  <c r="V99" i="3"/>
  <c r="V100" i="3"/>
  <c r="J103" i="6"/>
  <c r="P101" i="6"/>
  <c r="S101" i="6"/>
  <c r="P102" i="6"/>
  <c r="S102" i="6"/>
  <c r="M103" i="6"/>
  <c r="P103" i="6"/>
  <c r="G103" i="6"/>
  <c r="P92" i="3"/>
  <c r="Q92" i="3"/>
  <c r="R92" i="3"/>
  <c r="T92" i="3"/>
  <c r="P93" i="3"/>
  <c r="Q93" i="3"/>
  <c r="R93" i="3"/>
  <c r="T93" i="3"/>
  <c r="P94" i="3"/>
  <c r="Q94" i="3"/>
  <c r="R94" i="3"/>
  <c r="T94" i="3"/>
  <c r="P95" i="3"/>
  <c r="Q95" i="3"/>
  <c r="R95" i="3"/>
  <c r="T95" i="3"/>
  <c r="P96" i="3"/>
  <c r="Q96" i="3"/>
  <c r="R96" i="3"/>
  <c r="T96" i="3"/>
  <c r="P97" i="3"/>
  <c r="Q97" i="3"/>
  <c r="R97" i="3"/>
  <c r="T97" i="3"/>
  <c r="P98" i="3"/>
  <c r="Q98" i="3"/>
  <c r="R98" i="3"/>
  <c r="T98" i="3"/>
  <c r="P99" i="3"/>
  <c r="Q99" i="3"/>
  <c r="R99" i="3"/>
  <c r="T99" i="3"/>
  <c r="P100" i="3"/>
  <c r="Q100" i="3"/>
  <c r="R100" i="3"/>
  <c r="T100" i="3"/>
  <c r="J92" i="3"/>
  <c r="K92" i="3"/>
  <c r="J93" i="3"/>
  <c r="K93" i="3"/>
  <c r="J94" i="3"/>
  <c r="K94" i="3"/>
  <c r="J95" i="3"/>
  <c r="K95" i="3"/>
  <c r="J96" i="3"/>
  <c r="K96" i="3"/>
  <c r="J97" i="3"/>
  <c r="K97" i="3"/>
  <c r="J98" i="3"/>
  <c r="K98" i="3"/>
  <c r="J99" i="3"/>
  <c r="K99" i="3"/>
  <c r="J100" i="3"/>
  <c r="K100" i="3"/>
  <c r="H41" i="8"/>
  <c r="H42" i="8"/>
  <c r="H43" i="8"/>
  <c r="S99" i="6" l="1"/>
  <c r="S96" i="6"/>
  <c r="J100" i="6"/>
  <c r="J98" i="6"/>
  <c r="M100" i="6"/>
  <c r="G100" i="6"/>
  <c r="G98" i="6"/>
  <c r="M98" i="6"/>
  <c r="AH64" i="4"/>
  <c r="AH65" i="4"/>
  <c r="AH66" i="4"/>
  <c r="AH67" i="4"/>
  <c r="AK37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M95" i="6"/>
  <c r="S92" i="6"/>
  <c r="S93" i="6"/>
  <c r="J95" i="6"/>
  <c r="G95" i="6"/>
  <c r="P80" i="3"/>
  <c r="Q80" i="3"/>
  <c r="R80" i="3"/>
  <c r="T80" i="3"/>
  <c r="P81" i="3"/>
  <c r="Q81" i="3"/>
  <c r="R81" i="3"/>
  <c r="T81" i="3"/>
  <c r="P82" i="3"/>
  <c r="Q82" i="3"/>
  <c r="R82" i="3"/>
  <c r="T82" i="3"/>
  <c r="P83" i="3"/>
  <c r="Q83" i="3"/>
  <c r="R83" i="3"/>
  <c r="T83" i="3"/>
  <c r="P84" i="3"/>
  <c r="Q84" i="3"/>
  <c r="R84" i="3"/>
  <c r="T84" i="3"/>
  <c r="P85" i="3"/>
  <c r="Q85" i="3"/>
  <c r="R85" i="3"/>
  <c r="T85" i="3"/>
  <c r="P86" i="3"/>
  <c r="Q86" i="3"/>
  <c r="R86" i="3"/>
  <c r="T86" i="3"/>
  <c r="P87" i="3"/>
  <c r="Q87" i="3"/>
  <c r="R87" i="3"/>
  <c r="T87" i="3"/>
  <c r="P88" i="3"/>
  <c r="Q88" i="3"/>
  <c r="R88" i="3"/>
  <c r="T88" i="3"/>
  <c r="P89" i="3"/>
  <c r="Q89" i="3"/>
  <c r="R89" i="3"/>
  <c r="T89" i="3"/>
  <c r="P90" i="3"/>
  <c r="Q90" i="3"/>
  <c r="R90" i="3"/>
  <c r="T90" i="3"/>
  <c r="P91" i="3"/>
  <c r="Q91" i="3"/>
  <c r="R91" i="3"/>
  <c r="T91" i="3"/>
  <c r="J81" i="3"/>
  <c r="K81" i="3"/>
  <c r="J82" i="3"/>
  <c r="K82" i="3"/>
  <c r="J83" i="3"/>
  <c r="K83" i="3"/>
  <c r="J84" i="3"/>
  <c r="K84" i="3"/>
  <c r="J85" i="3"/>
  <c r="K85" i="3"/>
  <c r="J86" i="3"/>
  <c r="K86" i="3"/>
  <c r="J87" i="3"/>
  <c r="K87" i="3"/>
  <c r="J88" i="3"/>
  <c r="K88" i="3"/>
  <c r="J89" i="3"/>
  <c r="K89" i="3"/>
  <c r="J90" i="3"/>
  <c r="K90" i="3"/>
  <c r="J91" i="3"/>
  <c r="K91" i="3"/>
  <c r="AA64" i="4"/>
  <c r="AB64" i="4"/>
  <c r="R64" i="4"/>
  <c r="S64" i="4"/>
  <c r="T64" i="4"/>
  <c r="U64" i="4"/>
  <c r="L64" i="4"/>
  <c r="M64" i="4"/>
  <c r="N64" i="4"/>
  <c r="O64" i="4"/>
  <c r="F64" i="4"/>
  <c r="AC64" i="4" s="1"/>
  <c r="G64" i="4"/>
  <c r="H64" i="4"/>
  <c r="I64" i="4"/>
  <c r="W64" i="4" s="1"/>
  <c r="Z64" i="4" s="1"/>
  <c r="AH63" i="4"/>
  <c r="G61" i="4"/>
  <c r="H61" i="4"/>
  <c r="I61" i="4"/>
  <c r="F62" i="4"/>
  <c r="G62" i="4"/>
  <c r="H62" i="4"/>
  <c r="I62" i="4"/>
  <c r="F63" i="4"/>
  <c r="G63" i="4"/>
  <c r="H63" i="4"/>
  <c r="I63" i="4"/>
  <c r="F65" i="4"/>
  <c r="G65" i="4"/>
  <c r="H65" i="4"/>
  <c r="I65" i="4"/>
  <c r="F66" i="4"/>
  <c r="G66" i="4"/>
  <c r="H66" i="4"/>
  <c r="I66" i="4"/>
  <c r="F67" i="4"/>
  <c r="G67" i="4"/>
  <c r="H67" i="4"/>
  <c r="I67" i="4"/>
  <c r="F68" i="4"/>
  <c r="G68" i="4"/>
  <c r="H68" i="4"/>
  <c r="I68" i="4"/>
  <c r="F69" i="4"/>
  <c r="G69" i="4"/>
  <c r="H69" i="4"/>
  <c r="I69" i="4"/>
  <c r="F70" i="4"/>
  <c r="G70" i="4"/>
  <c r="H70" i="4"/>
  <c r="I70" i="4"/>
  <c r="F71" i="4"/>
  <c r="G71" i="4"/>
  <c r="H71" i="4"/>
  <c r="I71" i="4"/>
  <c r="F72" i="4"/>
  <c r="G72" i="4"/>
  <c r="H72" i="4"/>
  <c r="I72" i="4"/>
  <c r="F73" i="4"/>
  <c r="G73" i="4"/>
  <c r="H73" i="4"/>
  <c r="I73" i="4"/>
  <c r="K48" i="8" l="1"/>
  <c r="K30" i="8"/>
  <c r="C34" i="8"/>
  <c r="D34" i="8"/>
  <c r="E34" i="8"/>
  <c r="F34" i="8"/>
  <c r="H34" i="8"/>
  <c r="I34" i="8"/>
  <c r="C35" i="8"/>
  <c r="D35" i="8"/>
  <c r="E35" i="8"/>
  <c r="F35" i="8"/>
  <c r="H35" i="8"/>
  <c r="I35" i="8"/>
  <c r="C36" i="8"/>
  <c r="D36" i="8"/>
  <c r="E36" i="8"/>
  <c r="F36" i="8"/>
  <c r="H36" i="8"/>
  <c r="I36" i="8"/>
  <c r="C37" i="8"/>
  <c r="D37" i="8"/>
  <c r="E37" i="8"/>
  <c r="F37" i="8"/>
  <c r="H37" i="8"/>
  <c r="I37" i="8"/>
  <c r="C38" i="8"/>
  <c r="D38" i="8"/>
  <c r="E38" i="8"/>
  <c r="F38" i="8"/>
  <c r="H38" i="8"/>
  <c r="I38" i="8"/>
  <c r="C39" i="8"/>
  <c r="D39" i="8"/>
  <c r="E39" i="8"/>
  <c r="F39" i="8"/>
  <c r="H39" i="8"/>
  <c r="I39" i="8"/>
  <c r="C40" i="8"/>
  <c r="D40" i="8"/>
  <c r="E40" i="8"/>
  <c r="F40" i="8"/>
  <c r="H40" i="8"/>
  <c r="I40" i="8"/>
  <c r="C41" i="8"/>
  <c r="D41" i="8"/>
  <c r="E41" i="8"/>
  <c r="F41" i="8"/>
  <c r="I41" i="8"/>
  <c r="C42" i="8"/>
  <c r="D42" i="8"/>
  <c r="E42" i="8"/>
  <c r="F42" i="8"/>
  <c r="I42" i="8"/>
  <c r="C43" i="8"/>
  <c r="D43" i="8"/>
  <c r="E43" i="8"/>
  <c r="F43" i="8"/>
  <c r="I43" i="8"/>
  <c r="J43" i="8"/>
  <c r="L43" i="8"/>
  <c r="C44" i="8"/>
  <c r="D44" i="8"/>
  <c r="E44" i="8"/>
  <c r="F44" i="8"/>
  <c r="H44" i="8"/>
  <c r="I44" i="8"/>
  <c r="J44" i="8"/>
  <c r="L44" i="8"/>
  <c r="C45" i="8"/>
  <c r="D45" i="8"/>
  <c r="E45" i="8"/>
  <c r="F45" i="8"/>
  <c r="H45" i="8"/>
  <c r="I45" i="8"/>
  <c r="L45" i="8"/>
  <c r="C46" i="8"/>
  <c r="D46" i="8"/>
  <c r="E46" i="8"/>
  <c r="F46" i="8"/>
  <c r="H46" i="8"/>
  <c r="I46" i="8"/>
  <c r="P79" i="3"/>
  <c r="Q79" i="3"/>
  <c r="R79" i="3"/>
  <c r="T79" i="3"/>
  <c r="J79" i="3"/>
  <c r="K79" i="3"/>
  <c r="J80" i="3"/>
  <c r="K80" i="3"/>
  <c r="S88" i="6"/>
  <c r="S89" i="6"/>
  <c r="J90" i="6"/>
  <c r="G46" i="8" s="1"/>
  <c r="M90" i="6"/>
  <c r="G90" i="6"/>
  <c r="AH61" i="4"/>
  <c r="AH62" i="4"/>
  <c r="J46" i="8" l="1"/>
  <c r="L46" i="8"/>
  <c r="K74" i="3"/>
  <c r="J75" i="3"/>
  <c r="K75" i="3"/>
  <c r="J76" i="3"/>
  <c r="K76" i="3"/>
  <c r="S85" i="6"/>
  <c r="S86" i="6"/>
  <c r="S84" i="6"/>
  <c r="J87" i="6"/>
  <c r="G45" i="8" s="1"/>
  <c r="M87" i="6"/>
  <c r="J45" i="8" s="1"/>
  <c r="G87" i="6"/>
  <c r="AH59" i="4" l="1"/>
  <c r="AH60" i="4"/>
  <c r="S82" i="6"/>
  <c r="S80" i="6"/>
  <c r="J81" i="6"/>
  <c r="G43" i="8" s="1"/>
  <c r="J83" i="6"/>
  <c r="G44" i="8" s="1"/>
  <c r="G83" i="6"/>
  <c r="G81" i="6"/>
  <c r="J79" i="6"/>
  <c r="G42" i="8" s="1"/>
  <c r="S77" i="6"/>
  <c r="G79" i="6"/>
  <c r="S74" i="6" l="1"/>
  <c r="J75" i="6"/>
  <c r="G41" i="8" s="1"/>
  <c r="M75" i="6"/>
  <c r="G75" i="6"/>
  <c r="AH58" i="4"/>
  <c r="M97" i="3" l="1"/>
  <c r="M101" i="3" s="1"/>
  <c r="AH57" i="4"/>
  <c r="V96" i="3"/>
  <c r="P77" i="6" s="1"/>
  <c r="P79" i="6" s="1"/>
  <c r="L97" i="3"/>
  <c r="L101" i="3" s="1"/>
  <c r="AH56" i="4" l="1"/>
  <c r="S71" i="6"/>
  <c r="S72" i="6"/>
  <c r="J73" i="6"/>
  <c r="G40" i="8" s="1"/>
  <c r="M73" i="6"/>
  <c r="G73" i="6"/>
  <c r="J40" i="8" l="1"/>
  <c r="L40" i="8"/>
  <c r="J70" i="6" l="1"/>
  <c r="G39" i="8" s="1"/>
  <c r="S68" i="6"/>
  <c r="S69" i="6"/>
  <c r="S67" i="6"/>
  <c r="M70" i="6"/>
  <c r="G70" i="6"/>
  <c r="AH55" i="4"/>
  <c r="AH54" i="4"/>
  <c r="AH53" i="4"/>
  <c r="S64" i="6"/>
  <c r="S65" i="6"/>
  <c r="J66" i="6"/>
  <c r="G38" i="8" s="1"/>
  <c r="M66" i="6"/>
  <c r="G66" i="6"/>
  <c r="AH52" i="4"/>
  <c r="AH51" i="4"/>
  <c r="AH50" i="4"/>
  <c r="K10" i="8"/>
  <c r="M8" i="6"/>
  <c r="M5" i="6"/>
  <c r="AH49" i="4"/>
  <c r="M94" i="3"/>
  <c r="V89" i="3"/>
  <c r="P96" i="6" s="1"/>
  <c r="P98" i="6" s="1"/>
  <c r="V90" i="3"/>
  <c r="P92" i="6" s="1"/>
  <c r="V91" i="3"/>
  <c r="P106" i="6" s="1"/>
  <c r="V92" i="3"/>
  <c r="P99" i="6" s="1"/>
  <c r="V93" i="3"/>
  <c r="P93" i="6" s="1"/>
  <c r="L87" i="3"/>
  <c r="L84" i="3"/>
  <c r="L94" i="3" s="1"/>
  <c r="M61" i="6"/>
  <c r="M58" i="6"/>
  <c r="M55" i="6"/>
  <c r="M52" i="6"/>
  <c r="M49" i="6"/>
  <c r="M35" i="6"/>
  <c r="M31" i="6"/>
  <c r="M27" i="6"/>
  <c r="M25" i="6"/>
  <c r="M23" i="6"/>
  <c r="M18" i="6"/>
  <c r="V73" i="3"/>
  <c r="V74" i="3"/>
  <c r="P105" i="6" s="1"/>
  <c r="V83" i="3"/>
  <c r="P74" i="6" s="1"/>
  <c r="P75" i="6" s="1"/>
  <c r="V86" i="3"/>
  <c r="V79" i="3"/>
  <c r="P85" i="6" s="1"/>
  <c r="V80" i="3"/>
  <c r="P86" i="6" s="1"/>
  <c r="V78" i="3"/>
  <c r="P84" i="6" s="1"/>
  <c r="P87" i="6" s="1"/>
  <c r="P74" i="3"/>
  <c r="Q74" i="3"/>
  <c r="R74" i="3"/>
  <c r="T74" i="3"/>
  <c r="P75" i="3"/>
  <c r="Q75" i="3"/>
  <c r="R75" i="3"/>
  <c r="T75" i="3"/>
  <c r="P76" i="3"/>
  <c r="Q76" i="3"/>
  <c r="R76" i="3"/>
  <c r="T76" i="3"/>
  <c r="P77" i="3"/>
  <c r="Q77" i="3"/>
  <c r="R77" i="3"/>
  <c r="T77" i="3"/>
  <c r="P78" i="3"/>
  <c r="Q78" i="3"/>
  <c r="R78" i="3"/>
  <c r="T78" i="3"/>
  <c r="J77" i="3"/>
  <c r="K77" i="3"/>
  <c r="J78" i="3"/>
  <c r="K78" i="3"/>
  <c r="V57" i="3"/>
  <c r="V58" i="3"/>
  <c r="P89" i="6" s="1"/>
  <c r="V59" i="3"/>
  <c r="P110" i="6" s="1"/>
  <c r="V60" i="3"/>
  <c r="P64" i="6" s="1"/>
  <c r="V61" i="3"/>
  <c r="P65" i="6" s="1"/>
  <c r="V62" i="3"/>
  <c r="V63" i="3"/>
  <c r="V64" i="3"/>
  <c r="V65" i="3"/>
  <c r="P67" i="6" s="1"/>
  <c r="V66" i="3"/>
  <c r="P68" i="6" s="1"/>
  <c r="V67" i="3"/>
  <c r="P69" i="6" s="1"/>
  <c r="V68" i="3"/>
  <c r="V69" i="3"/>
  <c r="P71" i="6" s="1"/>
  <c r="V70" i="3"/>
  <c r="P104" i="6" s="1"/>
  <c r="P107" i="6" s="1"/>
  <c r="V71" i="3"/>
  <c r="P72" i="6" s="1"/>
  <c r="V72" i="3"/>
  <c r="S62" i="6"/>
  <c r="P62" i="6"/>
  <c r="P63" i="6"/>
  <c r="J63" i="6"/>
  <c r="G37" i="8" s="1"/>
  <c r="G63" i="6"/>
  <c r="P51" i="3"/>
  <c r="Q51" i="3"/>
  <c r="R51" i="3"/>
  <c r="T51" i="3"/>
  <c r="P52" i="3"/>
  <c r="Q52" i="3"/>
  <c r="R52" i="3"/>
  <c r="T52" i="3"/>
  <c r="P53" i="3"/>
  <c r="Q53" i="3"/>
  <c r="R53" i="3"/>
  <c r="T53" i="3"/>
  <c r="P54" i="3"/>
  <c r="Q54" i="3"/>
  <c r="R54" i="3"/>
  <c r="T54" i="3"/>
  <c r="P55" i="3"/>
  <c r="Q55" i="3"/>
  <c r="R55" i="3"/>
  <c r="T55" i="3"/>
  <c r="P56" i="3"/>
  <c r="Q56" i="3"/>
  <c r="R56" i="3"/>
  <c r="T56" i="3"/>
  <c r="P57" i="3"/>
  <c r="Q57" i="3"/>
  <c r="R57" i="3"/>
  <c r="T57" i="3"/>
  <c r="P58" i="3"/>
  <c r="Q58" i="3"/>
  <c r="R58" i="3"/>
  <c r="T58" i="3"/>
  <c r="Q59" i="3"/>
  <c r="R59" i="3"/>
  <c r="T59" i="3"/>
  <c r="P60" i="3"/>
  <c r="Q60" i="3"/>
  <c r="R60" i="3"/>
  <c r="T60" i="3"/>
  <c r="P61" i="3"/>
  <c r="Q61" i="3"/>
  <c r="R61" i="3"/>
  <c r="T61" i="3"/>
  <c r="P62" i="3"/>
  <c r="Q62" i="3"/>
  <c r="R62" i="3"/>
  <c r="T62" i="3"/>
  <c r="P63" i="3"/>
  <c r="Q63" i="3"/>
  <c r="R63" i="3"/>
  <c r="T63" i="3"/>
  <c r="P64" i="3"/>
  <c r="Q64" i="3"/>
  <c r="R64" i="3"/>
  <c r="T64" i="3"/>
  <c r="P65" i="3"/>
  <c r="Q65" i="3"/>
  <c r="R65" i="3"/>
  <c r="T65" i="3"/>
  <c r="P66" i="3"/>
  <c r="Q66" i="3"/>
  <c r="R66" i="3"/>
  <c r="T66" i="3"/>
  <c r="P67" i="3"/>
  <c r="Q67" i="3"/>
  <c r="R67" i="3"/>
  <c r="T67" i="3"/>
  <c r="P68" i="3"/>
  <c r="Q68" i="3"/>
  <c r="R68" i="3"/>
  <c r="T68" i="3"/>
  <c r="P69" i="3"/>
  <c r="Q69" i="3"/>
  <c r="R69" i="3"/>
  <c r="T69" i="3"/>
  <c r="P70" i="3"/>
  <c r="Q70" i="3"/>
  <c r="R70" i="3"/>
  <c r="T70" i="3"/>
  <c r="P71" i="3"/>
  <c r="Q71" i="3"/>
  <c r="R71" i="3"/>
  <c r="T71" i="3"/>
  <c r="P72" i="3"/>
  <c r="Q72" i="3"/>
  <c r="R72" i="3"/>
  <c r="T72" i="3"/>
  <c r="P73" i="3"/>
  <c r="Q73" i="3"/>
  <c r="R73" i="3"/>
  <c r="T73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J40" i="3"/>
  <c r="K40" i="3"/>
  <c r="J41" i="3"/>
  <c r="K41" i="3"/>
  <c r="J42" i="3"/>
  <c r="K42" i="3"/>
  <c r="J43" i="3"/>
  <c r="K43" i="3"/>
  <c r="J44" i="3"/>
  <c r="K44" i="3"/>
  <c r="J45" i="3"/>
  <c r="K45" i="3"/>
  <c r="J46" i="3"/>
  <c r="K46" i="3"/>
  <c r="J47" i="3"/>
  <c r="K47" i="3"/>
  <c r="J48" i="3"/>
  <c r="K48" i="3"/>
  <c r="J49" i="3"/>
  <c r="K49" i="3"/>
  <c r="J50" i="3"/>
  <c r="K50" i="3"/>
  <c r="J51" i="3"/>
  <c r="K51" i="3"/>
  <c r="J52" i="3"/>
  <c r="K52" i="3"/>
  <c r="J53" i="3"/>
  <c r="K53" i="3"/>
  <c r="J54" i="3"/>
  <c r="K54" i="3"/>
  <c r="J55" i="3"/>
  <c r="K55" i="3"/>
  <c r="J56" i="3"/>
  <c r="K56" i="3"/>
  <c r="J57" i="3"/>
  <c r="K57" i="3"/>
  <c r="J58" i="3"/>
  <c r="K58" i="3"/>
  <c r="J59" i="3"/>
  <c r="K59" i="3"/>
  <c r="J60" i="3"/>
  <c r="K60" i="3"/>
  <c r="J61" i="3"/>
  <c r="K61" i="3"/>
  <c r="J62" i="3"/>
  <c r="K62" i="3"/>
  <c r="J63" i="3"/>
  <c r="K63" i="3"/>
  <c r="J64" i="3"/>
  <c r="K64" i="3"/>
  <c r="J65" i="3"/>
  <c r="K65" i="3"/>
  <c r="J66" i="3"/>
  <c r="K66" i="3"/>
  <c r="J67" i="3"/>
  <c r="K67" i="3"/>
  <c r="J68" i="3"/>
  <c r="K68" i="3"/>
  <c r="J69" i="3"/>
  <c r="K69" i="3"/>
  <c r="J70" i="3"/>
  <c r="K70" i="3"/>
  <c r="J71" i="3"/>
  <c r="K71" i="3"/>
  <c r="J72" i="3"/>
  <c r="K72" i="3"/>
  <c r="J73" i="3"/>
  <c r="K73" i="3"/>
  <c r="J125" i="3"/>
  <c r="K125" i="3"/>
  <c r="J126" i="3"/>
  <c r="K126" i="3"/>
  <c r="J127" i="3"/>
  <c r="K127" i="3"/>
  <c r="J128" i="3"/>
  <c r="K128" i="3"/>
  <c r="J129" i="3"/>
  <c r="K129" i="3"/>
  <c r="J130" i="3"/>
  <c r="K130" i="3"/>
  <c r="J131" i="3"/>
  <c r="K131" i="3"/>
  <c r="J132" i="3"/>
  <c r="K132" i="3"/>
  <c r="J133" i="3"/>
  <c r="K133" i="3"/>
  <c r="J134" i="3"/>
  <c r="K134" i="3"/>
  <c r="J135" i="3"/>
  <c r="K135" i="3"/>
  <c r="J136" i="3"/>
  <c r="K136" i="3"/>
  <c r="J137" i="3"/>
  <c r="K137" i="3"/>
  <c r="J138" i="3"/>
  <c r="K138" i="3"/>
  <c r="J139" i="3"/>
  <c r="K139" i="3"/>
  <c r="J140" i="3"/>
  <c r="K140" i="3"/>
  <c r="J141" i="3"/>
  <c r="K141" i="3"/>
  <c r="J142" i="3"/>
  <c r="K142" i="3"/>
  <c r="J143" i="3"/>
  <c r="K143" i="3"/>
  <c r="J144" i="3"/>
  <c r="K144" i="3"/>
  <c r="J145" i="3"/>
  <c r="K145" i="3"/>
  <c r="J146" i="3"/>
  <c r="K146" i="3"/>
  <c r="J147" i="3"/>
  <c r="K147" i="3"/>
  <c r="J148" i="3"/>
  <c r="K148" i="3"/>
  <c r="J149" i="3"/>
  <c r="K149" i="3"/>
  <c r="J150" i="3"/>
  <c r="K150" i="3"/>
  <c r="J151" i="3"/>
  <c r="K151" i="3"/>
  <c r="J152" i="3"/>
  <c r="K152" i="3"/>
  <c r="J153" i="3"/>
  <c r="K153" i="3"/>
  <c r="J154" i="3"/>
  <c r="K154" i="3"/>
  <c r="J155" i="3"/>
  <c r="K155" i="3"/>
  <c r="J156" i="3"/>
  <c r="K156" i="3"/>
  <c r="J157" i="3"/>
  <c r="K157" i="3"/>
  <c r="J158" i="3"/>
  <c r="K158" i="3"/>
  <c r="J159" i="3"/>
  <c r="K159" i="3"/>
  <c r="J160" i="3"/>
  <c r="K160" i="3"/>
  <c r="J161" i="3"/>
  <c r="K161" i="3"/>
  <c r="J162" i="3"/>
  <c r="K162" i="3"/>
  <c r="J163" i="3"/>
  <c r="K163" i="3"/>
  <c r="J164" i="3"/>
  <c r="K164" i="3"/>
  <c r="J165" i="3"/>
  <c r="K165" i="3"/>
  <c r="J166" i="3"/>
  <c r="K166" i="3"/>
  <c r="J167" i="3"/>
  <c r="K167" i="3"/>
  <c r="J168" i="3"/>
  <c r="K168" i="3"/>
  <c r="J169" i="3"/>
  <c r="K169" i="3"/>
  <c r="J170" i="3"/>
  <c r="K170" i="3"/>
  <c r="J171" i="3"/>
  <c r="K171" i="3"/>
  <c r="J172" i="3"/>
  <c r="K172" i="3"/>
  <c r="J173" i="3"/>
  <c r="K173" i="3"/>
  <c r="J174" i="3"/>
  <c r="K174" i="3"/>
  <c r="J175" i="3"/>
  <c r="K175" i="3"/>
  <c r="J176" i="3"/>
  <c r="K176" i="3"/>
  <c r="J177" i="3"/>
  <c r="K177" i="3"/>
  <c r="J178" i="3"/>
  <c r="K178" i="3"/>
  <c r="J179" i="3"/>
  <c r="K179" i="3"/>
  <c r="J180" i="3"/>
  <c r="K180" i="3"/>
  <c r="J181" i="3"/>
  <c r="K181" i="3"/>
  <c r="J182" i="3"/>
  <c r="K182" i="3"/>
  <c r="J183" i="3"/>
  <c r="K183" i="3"/>
  <c r="J184" i="3"/>
  <c r="K184" i="3"/>
  <c r="J185" i="3"/>
  <c r="K185" i="3"/>
  <c r="J186" i="3"/>
  <c r="K186" i="3"/>
  <c r="J187" i="3"/>
  <c r="K187" i="3"/>
  <c r="J188" i="3"/>
  <c r="K188" i="3"/>
  <c r="J189" i="3"/>
  <c r="K189" i="3"/>
  <c r="J190" i="3"/>
  <c r="K190" i="3"/>
  <c r="J191" i="3"/>
  <c r="K191" i="3"/>
  <c r="J192" i="3"/>
  <c r="K192" i="3"/>
  <c r="J193" i="3"/>
  <c r="K193" i="3"/>
  <c r="J194" i="3"/>
  <c r="K194" i="3"/>
  <c r="J195" i="3"/>
  <c r="K195" i="3"/>
  <c r="J196" i="3"/>
  <c r="K196" i="3"/>
  <c r="J197" i="3"/>
  <c r="K197" i="3"/>
  <c r="J198" i="3"/>
  <c r="K198" i="3"/>
  <c r="J199" i="3"/>
  <c r="K199" i="3"/>
  <c r="J200" i="3"/>
  <c r="K200" i="3"/>
  <c r="J201" i="3"/>
  <c r="K201" i="3"/>
  <c r="J202" i="3"/>
  <c r="K202" i="3"/>
  <c r="J203" i="3"/>
  <c r="K203" i="3"/>
  <c r="J204" i="3"/>
  <c r="K204" i="3"/>
  <c r="J205" i="3"/>
  <c r="K205" i="3"/>
  <c r="J206" i="3"/>
  <c r="K206" i="3"/>
  <c r="J207" i="3"/>
  <c r="K207" i="3"/>
  <c r="J208" i="3"/>
  <c r="K208" i="3"/>
  <c r="J209" i="3"/>
  <c r="K209" i="3"/>
  <c r="J210" i="3"/>
  <c r="K210" i="3"/>
  <c r="J211" i="3"/>
  <c r="K211" i="3"/>
  <c r="J212" i="3"/>
  <c r="K212" i="3"/>
  <c r="J213" i="3"/>
  <c r="K213" i="3"/>
  <c r="J214" i="3"/>
  <c r="K214" i="3"/>
  <c r="J215" i="3"/>
  <c r="K215" i="3"/>
  <c r="J216" i="3"/>
  <c r="K216" i="3"/>
  <c r="J217" i="3"/>
  <c r="K217" i="3"/>
  <c r="J218" i="3"/>
  <c r="K218" i="3"/>
  <c r="J219" i="3"/>
  <c r="K219" i="3"/>
  <c r="J220" i="3"/>
  <c r="K220" i="3"/>
  <c r="J221" i="3"/>
  <c r="K221" i="3"/>
  <c r="J222" i="3"/>
  <c r="K222" i="3"/>
  <c r="J223" i="3"/>
  <c r="K223" i="3"/>
  <c r="J224" i="3"/>
  <c r="K224" i="3"/>
  <c r="J225" i="3"/>
  <c r="K225" i="3"/>
  <c r="J226" i="3"/>
  <c r="K226" i="3"/>
  <c r="J227" i="3"/>
  <c r="K227" i="3"/>
  <c r="J228" i="3"/>
  <c r="K228" i="3"/>
  <c r="J229" i="3"/>
  <c r="K229" i="3"/>
  <c r="J230" i="3"/>
  <c r="K230" i="3"/>
  <c r="J231" i="3"/>
  <c r="K231" i="3"/>
  <c r="J232" i="3"/>
  <c r="K232" i="3"/>
  <c r="J233" i="3"/>
  <c r="K233" i="3"/>
  <c r="J234" i="3"/>
  <c r="K234" i="3"/>
  <c r="J235" i="3"/>
  <c r="K235" i="3"/>
  <c r="J236" i="3"/>
  <c r="K236" i="3"/>
  <c r="J237" i="3"/>
  <c r="K237" i="3"/>
  <c r="J238" i="3"/>
  <c r="K238" i="3"/>
  <c r="J239" i="3"/>
  <c r="K239" i="3"/>
  <c r="J240" i="3"/>
  <c r="K240" i="3"/>
  <c r="J241" i="3"/>
  <c r="K241" i="3"/>
  <c r="J242" i="3"/>
  <c r="K242" i="3"/>
  <c r="J243" i="3"/>
  <c r="K243" i="3"/>
  <c r="J244" i="3"/>
  <c r="K244" i="3"/>
  <c r="J245" i="3"/>
  <c r="K245" i="3"/>
  <c r="J246" i="3"/>
  <c r="K246" i="3"/>
  <c r="J247" i="3"/>
  <c r="K247" i="3"/>
  <c r="J248" i="3"/>
  <c r="K248" i="3"/>
  <c r="J249" i="3"/>
  <c r="K249" i="3"/>
  <c r="J250" i="3"/>
  <c r="K250" i="3"/>
  <c r="J251" i="3"/>
  <c r="K251" i="3"/>
  <c r="J252" i="3"/>
  <c r="K252" i="3"/>
  <c r="J253" i="3"/>
  <c r="K253" i="3"/>
  <c r="J254" i="3"/>
  <c r="K254" i="3"/>
  <c r="J255" i="3"/>
  <c r="K255" i="3"/>
  <c r="J256" i="3"/>
  <c r="K256" i="3"/>
  <c r="J257" i="3"/>
  <c r="K257" i="3"/>
  <c r="J258" i="3"/>
  <c r="K258" i="3"/>
  <c r="J259" i="3"/>
  <c r="K259" i="3"/>
  <c r="J260" i="3"/>
  <c r="K260" i="3"/>
  <c r="J261" i="3"/>
  <c r="K261" i="3"/>
  <c r="J262" i="3"/>
  <c r="K262" i="3"/>
  <c r="J263" i="3"/>
  <c r="K263" i="3"/>
  <c r="J264" i="3"/>
  <c r="K264" i="3"/>
  <c r="J265" i="3"/>
  <c r="K265" i="3"/>
  <c r="J266" i="3"/>
  <c r="K266" i="3"/>
  <c r="J267" i="3"/>
  <c r="K267" i="3"/>
  <c r="J268" i="3"/>
  <c r="K268" i="3"/>
  <c r="J269" i="3"/>
  <c r="K269" i="3"/>
  <c r="J270" i="3"/>
  <c r="K270" i="3"/>
  <c r="J271" i="3"/>
  <c r="K271" i="3"/>
  <c r="J272" i="3"/>
  <c r="K272" i="3"/>
  <c r="J273" i="3"/>
  <c r="K273" i="3"/>
  <c r="J274" i="3"/>
  <c r="K274" i="3"/>
  <c r="J275" i="3"/>
  <c r="K275" i="3"/>
  <c r="J276" i="3"/>
  <c r="K276" i="3"/>
  <c r="J277" i="3"/>
  <c r="K277" i="3"/>
  <c r="J278" i="3"/>
  <c r="K278" i="3"/>
  <c r="J279" i="3"/>
  <c r="K279" i="3"/>
  <c r="J280" i="3"/>
  <c r="K280" i="3"/>
  <c r="J281" i="3"/>
  <c r="K281" i="3"/>
  <c r="J282" i="3"/>
  <c r="K282" i="3"/>
  <c r="J283" i="3"/>
  <c r="K283" i="3"/>
  <c r="J284" i="3"/>
  <c r="K284" i="3"/>
  <c r="J285" i="3"/>
  <c r="K285" i="3"/>
  <c r="J286" i="3"/>
  <c r="K286" i="3"/>
  <c r="J287" i="3"/>
  <c r="K287" i="3"/>
  <c r="J288" i="3"/>
  <c r="K288" i="3"/>
  <c r="J289" i="3"/>
  <c r="K289" i="3"/>
  <c r="J290" i="3"/>
  <c r="K290" i="3"/>
  <c r="J291" i="3"/>
  <c r="K291" i="3"/>
  <c r="J292" i="3"/>
  <c r="K292" i="3"/>
  <c r="J293" i="3"/>
  <c r="K293" i="3"/>
  <c r="J294" i="3"/>
  <c r="K294" i="3"/>
  <c r="J295" i="3"/>
  <c r="K295" i="3"/>
  <c r="J296" i="3"/>
  <c r="K296" i="3"/>
  <c r="J297" i="3"/>
  <c r="K297" i="3"/>
  <c r="U63" i="6"/>
  <c r="U64" i="6"/>
  <c r="U65" i="6"/>
  <c r="U66" i="6"/>
  <c r="T63" i="6"/>
  <c r="T64" i="6"/>
  <c r="T65" i="6"/>
  <c r="T66" i="6"/>
  <c r="AK46" i="4"/>
  <c r="AK45" i="4"/>
  <c r="AK44" i="4"/>
  <c r="AK43" i="4"/>
  <c r="S59" i="6"/>
  <c r="S60" i="6"/>
  <c r="J61" i="6"/>
  <c r="G36" i="8" s="1"/>
  <c r="G61" i="6"/>
  <c r="AK42" i="4"/>
  <c r="J52" i="6"/>
  <c r="J55" i="6"/>
  <c r="G34" i="8" s="1"/>
  <c r="J58" i="6"/>
  <c r="G35" i="8" s="1"/>
  <c r="AH41" i="4"/>
  <c r="AH42" i="4"/>
  <c r="AH43" i="4"/>
  <c r="AH44" i="4"/>
  <c r="AH45" i="4"/>
  <c r="AH46" i="4"/>
  <c r="AH47" i="4"/>
  <c r="AH48" i="4"/>
  <c r="AK41" i="4"/>
  <c r="U60" i="6"/>
  <c r="U61" i="6"/>
  <c r="U62" i="6"/>
  <c r="T60" i="6"/>
  <c r="T61" i="6"/>
  <c r="T62" i="6"/>
  <c r="S56" i="6"/>
  <c r="S57" i="6"/>
  <c r="G58" i="6"/>
  <c r="AK40" i="4"/>
  <c r="AH40" i="4"/>
  <c r="G55" i="6"/>
  <c r="S53" i="6"/>
  <c r="S54" i="6"/>
  <c r="AK39" i="4"/>
  <c r="P73" i="6" l="1"/>
  <c r="P70" i="6"/>
  <c r="P66" i="6"/>
  <c r="P95" i="6"/>
  <c r="P100" i="6" s="1"/>
  <c r="J34" i="8"/>
  <c r="L34" i="8"/>
  <c r="J35" i="8"/>
  <c r="L35" i="8"/>
  <c r="J36" i="8"/>
  <c r="L36" i="8"/>
  <c r="J38" i="8"/>
  <c r="L38" i="8"/>
  <c r="J39" i="8"/>
  <c r="L39" i="8"/>
  <c r="AK38" i="4"/>
  <c r="P59" i="6"/>
  <c r="P56" i="6"/>
  <c r="P60" i="6"/>
  <c r="P53" i="6"/>
  <c r="P54" i="6"/>
  <c r="V56" i="3"/>
  <c r="P88" i="6" s="1"/>
  <c r="P90" i="6" s="1"/>
  <c r="T54" i="6"/>
  <c r="U54" i="6"/>
  <c r="T56" i="6"/>
  <c r="T57" i="6"/>
  <c r="T58" i="6"/>
  <c r="T59" i="6"/>
  <c r="U56" i="6"/>
  <c r="U57" i="6"/>
  <c r="U58" i="6"/>
  <c r="U59" i="6"/>
  <c r="G52" i="6"/>
  <c r="S51" i="6"/>
  <c r="P57" i="6"/>
  <c r="S48" i="6"/>
  <c r="J49" i="6"/>
  <c r="G49" i="6"/>
  <c r="U52" i="6"/>
  <c r="U53" i="6"/>
  <c r="U55" i="6"/>
  <c r="T52" i="6"/>
  <c r="T53" i="6"/>
  <c r="T55" i="6"/>
  <c r="Z677" i="4"/>
  <c r="Z678" i="4"/>
  <c r="Z679" i="4"/>
  <c r="Y677" i="4"/>
  <c r="Y678" i="4"/>
  <c r="Y679" i="4"/>
  <c r="X677" i="4"/>
  <c r="X678" i="4"/>
  <c r="X679" i="4"/>
  <c r="X680" i="4"/>
  <c r="Z676" i="4"/>
  <c r="Y676" i="4"/>
  <c r="X676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Y681" i="4"/>
  <c r="Z681" i="4"/>
  <c r="Y682" i="4"/>
  <c r="Z682" i="4"/>
  <c r="Y683" i="4"/>
  <c r="Z683" i="4"/>
  <c r="Y684" i="4"/>
  <c r="Z684" i="4"/>
  <c r="Y685" i="4"/>
  <c r="Z685" i="4"/>
  <c r="Y686" i="4"/>
  <c r="Z686" i="4"/>
  <c r="Y687" i="4"/>
  <c r="Z687" i="4"/>
  <c r="Y688" i="4"/>
  <c r="Z688" i="4"/>
  <c r="Y689" i="4"/>
  <c r="Z689" i="4"/>
  <c r="Y690" i="4"/>
  <c r="Z690" i="4"/>
  <c r="Y691" i="4"/>
  <c r="Z691" i="4"/>
  <c r="Y692" i="4"/>
  <c r="Z692" i="4"/>
  <c r="Y693" i="4"/>
  <c r="Z693" i="4"/>
  <c r="Y694" i="4"/>
  <c r="Z694" i="4"/>
  <c r="Y695" i="4"/>
  <c r="Z695" i="4"/>
  <c r="Y696" i="4"/>
  <c r="Z696" i="4"/>
  <c r="X681" i="4"/>
  <c r="X682" i="4"/>
  <c r="X683" i="4"/>
  <c r="X684" i="4"/>
  <c r="W695" i="4"/>
  <c r="W694" i="4"/>
  <c r="W693" i="4"/>
  <c r="W692" i="4"/>
  <c r="W691" i="4"/>
  <c r="W690" i="4"/>
  <c r="W689" i="4"/>
  <c r="W688" i="4"/>
  <c r="W687" i="4"/>
  <c r="W686" i="4"/>
  <c r="W685" i="4"/>
  <c r="W684" i="4"/>
  <c r="W683" i="4"/>
  <c r="W682" i="4"/>
  <c r="W681" i="4"/>
  <c r="W680" i="4"/>
  <c r="W679" i="4"/>
  <c r="W678" i="4"/>
  <c r="W677" i="4"/>
  <c r="W696" i="4"/>
  <c r="W675" i="4"/>
  <c r="W676" i="4"/>
  <c r="J47" i="6"/>
  <c r="S45" i="6"/>
  <c r="S46" i="6"/>
  <c r="G47" i="6"/>
  <c r="P61" i="6" l="1"/>
  <c r="P55" i="6"/>
  <c r="P58" i="6"/>
  <c r="M54" i="3" l="1"/>
  <c r="V53" i="3"/>
  <c r="P51" i="6" s="1"/>
  <c r="P52" i="6" s="1"/>
  <c r="U46" i="6" l="1"/>
  <c r="U47" i="6"/>
  <c r="U48" i="6"/>
  <c r="U49" i="6"/>
  <c r="U51" i="6"/>
  <c r="T46" i="6"/>
  <c r="T47" i="6"/>
  <c r="T48" i="6"/>
  <c r="T49" i="6"/>
  <c r="T51" i="6"/>
  <c r="I33" i="4"/>
  <c r="L54" i="3"/>
  <c r="J44" i="6"/>
  <c r="T45" i="6"/>
  <c r="U45" i="6"/>
  <c r="S43" i="6"/>
  <c r="S42" i="6"/>
  <c r="G44" i="6"/>
  <c r="J41" i="6"/>
  <c r="S40" i="6"/>
  <c r="S39" i="6"/>
  <c r="G41" i="6"/>
  <c r="V50" i="3"/>
  <c r="P46" i="6" s="1"/>
  <c r="V49" i="3"/>
  <c r="P45" i="6" s="1"/>
  <c r="P47" i="6" s="1"/>
  <c r="V48" i="3"/>
  <c r="P82" i="6" s="1"/>
  <c r="P83" i="6" s="1"/>
  <c r="V47" i="3"/>
  <c r="V46" i="3"/>
  <c r="K20" i="8"/>
  <c r="I2" i="8"/>
  <c r="L2" i="8" s="1"/>
  <c r="J2" i="8"/>
  <c r="L9" i="8"/>
  <c r="C14" i="8"/>
  <c r="D14" i="8"/>
  <c r="E14" i="8"/>
  <c r="F14" i="8"/>
  <c r="H14" i="8"/>
  <c r="I14" i="8"/>
  <c r="J14" i="8"/>
  <c r="L14" i="8"/>
  <c r="C15" i="8"/>
  <c r="D15" i="8"/>
  <c r="E15" i="8"/>
  <c r="F15" i="8"/>
  <c r="H15" i="8"/>
  <c r="I15" i="8"/>
  <c r="J15" i="8"/>
  <c r="L15" i="8"/>
  <c r="C16" i="8"/>
  <c r="D16" i="8"/>
  <c r="E16" i="8"/>
  <c r="F16" i="8"/>
  <c r="H16" i="8"/>
  <c r="I16" i="8"/>
  <c r="J16" i="8"/>
  <c r="L16" i="8"/>
  <c r="C17" i="8"/>
  <c r="D17" i="8"/>
  <c r="E17" i="8"/>
  <c r="F17" i="8"/>
  <c r="H17" i="8"/>
  <c r="I17" i="8"/>
  <c r="J17" i="8"/>
  <c r="L17" i="8"/>
  <c r="J13" i="8"/>
  <c r="I13" i="8"/>
  <c r="H13" i="8"/>
  <c r="F13" i="8"/>
  <c r="E13" i="8"/>
  <c r="D13" i="8"/>
  <c r="C13" i="8"/>
  <c r="C24" i="8"/>
  <c r="D24" i="8"/>
  <c r="E24" i="8"/>
  <c r="F24" i="8"/>
  <c r="H24" i="8"/>
  <c r="I24" i="8"/>
  <c r="L24" i="8" s="1"/>
  <c r="J24" i="8"/>
  <c r="T40" i="6"/>
  <c r="T41" i="6"/>
  <c r="T42" i="6"/>
  <c r="T43" i="6"/>
  <c r="T44" i="6"/>
  <c r="U40" i="6"/>
  <c r="U41" i="6"/>
  <c r="U42" i="6"/>
  <c r="U43" i="6"/>
  <c r="U44" i="6"/>
  <c r="J38" i="6"/>
  <c r="S37" i="6"/>
  <c r="S36" i="6"/>
  <c r="S34" i="6"/>
  <c r="S33" i="6"/>
  <c r="J35" i="6"/>
  <c r="J29" i="6"/>
  <c r="G38" i="6"/>
  <c r="G35" i="6"/>
  <c r="L34" i="3"/>
  <c r="M34" i="3"/>
  <c r="M41" i="3" s="1"/>
  <c r="V43" i="3"/>
  <c r="P48" i="6" s="1"/>
  <c r="P49" i="6" s="1"/>
  <c r="M44" i="3"/>
  <c r="M51" i="3" s="1"/>
  <c r="L44" i="3"/>
  <c r="AK4" i="4"/>
  <c r="AK5" i="4"/>
  <c r="AK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V37" i="3"/>
  <c r="V38" i="3"/>
  <c r="P80" i="6" s="1"/>
  <c r="P81" i="6" s="1"/>
  <c r="V39" i="3"/>
  <c r="P42" i="6" s="1"/>
  <c r="V40" i="3"/>
  <c r="P43" i="6" s="1"/>
  <c r="V36" i="3"/>
  <c r="V33" i="3"/>
  <c r="P34" i="6" s="1"/>
  <c r="V32" i="3"/>
  <c r="P33" i="6" s="1"/>
  <c r="R4" i="4"/>
  <c r="S4" i="4"/>
  <c r="T4" i="4"/>
  <c r="U4" i="4"/>
  <c r="R5" i="4"/>
  <c r="S5" i="4"/>
  <c r="T5" i="4"/>
  <c r="U5" i="4"/>
  <c r="R6" i="4"/>
  <c r="S6" i="4"/>
  <c r="T6" i="4"/>
  <c r="U6" i="4"/>
  <c r="R7" i="4"/>
  <c r="S7" i="4"/>
  <c r="T7" i="4"/>
  <c r="U7" i="4"/>
  <c r="R8" i="4"/>
  <c r="S8" i="4"/>
  <c r="T8" i="4"/>
  <c r="U8" i="4"/>
  <c r="R9" i="4"/>
  <c r="S9" i="4"/>
  <c r="T9" i="4"/>
  <c r="U9" i="4"/>
  <c r="R10" i="4"/>
  <c r="S10" i="4"/>
  <c r="T10" i="4"/>
  <c r="U10" i="4"/>
  <c r="R11" i="4"/>
  <c r="S11" i="4"/>
  <c r="T11" i="4"/>
  <c r="U11" i="4"/>
  <c r="R12" i="4"/>
  <c r="S12" i="4"/>
  <c r="T12" i="4"/>
  <c r="U12" i="4"/>
  <c r="R13" i="4"/>
  <c r="S13" i="4"/>
  <c r="T13" i="4"/>
  <c r="U13" i="4"/>
  <c r="R14" i="4"/>
  <c r="S14" i="4"/>
  <c r="T14" i="4"/>
  <c r="U14" i="4"/>
  <c r="R15" i="4"/>
  <c r="S15" i="4"/>
  <c r="T15" i="4"/>
  <c r="U15" i="4"/>
  <c r="R16" i="4"/>
  <c r="S16" i="4"/>
  <c r="T16" i="4"/>
  <c r="U16" i="4"/>
  <c r="R17" i="4"/>
  <c r="S17" i="4"/>
  <c r="T17" i="4"/>
  <c r="U17" i="4"/>
  <c r="R18" i="4"/>
  <c r="S18" i="4"/>
  <c r="T18" i="4"/>
  <c r="U18" i="4"/>
  <c r="R19" i="4"/>
  <c r="S19" i="4"/>
  <c r="T19" i="4"/>
  <c r="U19" i="4"/>
  <c r="R20" i="4"/>
  <c r="S20" i="4"/>
  <c r="T20" i="4"/>
  <c r="U20" i="4"/>
  <c r="R21" i="4"/>
  <c r="S21" i="4"/>
  <c r="T21" i="4"/>
  <c r="U21" i="4"/>
  <c r="R22" i="4"/>
  <c r="S22" i="4"/>
  <c r="T22" i="4"/>
  <c r="U22" i="4"/>
  <c r="R23" i="4"/>
  <c r="S23" i="4"/>
  <c r="T23" i="4"/>
  <c r="U23" i="4"/>
  <c r="R24" i="4"/>
  <c r="S24" i="4"/>
  <c r="T24" i="4"/>
  <c r="U24" i="4"/>
  <c r="R25" i="4"/>
  <c r="S25" i="4"/>
  <c r="T25" i="4"/>
  <c r="U25" i="4"/>
  <c r="R26" i="4"/>
  <c r="S26" i="4"/>
  <c r="T26" i="4"/>
  <c r="U26" i="4"/>
  <c r="R27" i="4"/>
  <c r="S27" i="4"/>
  <c r="T27" i="4"/>
  <c r="U27" i="4"/>
  <c r="R28" i="4"/>
  <c r="S28" i="4"/>
  <c r="T28" i="4"/>
  <c r="U28" i="4"/>
  <c r="R29" i="4"/>
  <c r="S29" i="4"/>
  <c r="T29" i="4"/>
  <c r="U29" i="4"/>
  <c r="R30" i="4"/>
  <c r="S30" i="4"/>
  <c r="T30" i="4"/>
  <c r="U30" i="4"/>
  <c r="R31" i="4"/>
  <c r="S31" i="4"/>
  <c r="T31" i="4"/>
  <c r="U31" i="4"/>
  <c r="R32" i="4"/>
  <c r="S32" i="4"/>
  <c r="T32" i="4"/>
  <c r="U32" i="4"/>
  <c r="R33" i="4"/>
  <c r="S33" i="4"/>
  <c r="T33" i="4"/>
  <c r="U33" i="4"/>
  <c r="R34" i="4"/>
  <c r="S34" i="4"/>
  <c r="T34" i="4"/>
  <c r="U34" i="4"/>
  <c r="R35" i="4"/>
  <c r="S35" i="4"/>
  <c r="T35" i="4"/>
  <c r="U35" i="4"/>
  <c r="R36" i="4"/>
  <c r="S36" i="4"/>
  <c r="T36" i="4"/>
  <c r="U36" i="4"/>
  <c r="R37" i="4"/>
  <c r="S37" i="4"/>
  <c r="T37" i="4"/>
  <c r="U37" i="4"/>
  <c r="R38" i="4"/>
  <c r="S38" i="4"/>
  <c r="T38" i="4"/>
  <c r="U38" i="4"/>
  <c r="R39" i="4"/>
  <c r="S39" i="4"/>
  <c r="T39" i="4"/>
  <c r="U39" i="4"/>
  <c r="R40" i="4"/>
  <c r="S40" i="4"/>
  <c r="T40" i="4"/>
  <c r="U40" i="4"/>
  <c r="R41" i="4"/>
  <c r="S41" i="4"/>
  <c r="T41" i="4"/>
  <c r="U41" i="4"/>
  <c r="R42" i="4"/>
  <c r="S42" i="4"/>
  <c r="T42" i="4"/>
  <c r="U42" i="4"/>
  <c r="R43" i="4"/>
  <c r="S43" i="4"/>
  <c r="T43" i="4"/>
  <c r="U43" i="4"/>
  <c r="R44" i="4"/>
  <c r="S44" i="4"/>
  <c r="T44" i="4"/>
  <c r="U44" i="4"/>
  <c r="R45" i="4"/>
  <c r="S45" i="4"/>
  <c r="T45" i="4"/>
  <c r="U45" i="4"/>
  <c r="R46" i="4"/>
  <c r="S46" i="4"/>
  <c r="T46" i="4"/>
  <c r="U46" i="4"/>
  <c r="R47" i="4"/>
  <c r="S47" i="4"/>
  <c r="T47" i="4"/>
  <c r="U47" i="4"/>
  <c r="R48" i="4"/>
  <c r="S48" i="4"/>
  <c r="T48" i="4"/>
  <c r="U48" i="4"/>
  <c r="R49" i="4"/>
  <c r="S49" i="4"/>
  <c r="T49" i="4"/>
  <c r="U49" i="4"/>
  <c r="R50" i="4"/>
  <c r="S50" i="4"/>
  <c r="T50" i="4"/>
  <c r="U50" i="4"/>
  <c r="R51" i="4"/>
  <c r="S51" i="4"/>
  <c r="T51" i="4"/>
  <c r="U51" i="4"/>
  <c r="R52" i="4"/>
  <c r="S52" i="4"/>
  <c r="T52" i="4"/>
  <c r="U52" i="4"/>
  <c r="R53" i="4"/>
  <c r="S53" i="4"/>
  <c r="T53" i="4"/>
  <c r="U53" i="4"/>
  <c r="R54" i="4"/>
  <c r="S54" i="4"/>
  <c r="T54" i="4"/>
  <c r="U54" i="4"/>
  <c r="R55" i="4"/>
  <c r="S55" i="4"/>
  <c r="T55" i="4"/>
  <c r="U55" i="4"/>
  <c r="R56" i="4"/>
  <c r="S56" i="4"/>
  <c r="T56" i="4"/>
  <c r="U56" i="4"/>
  <c r="R57" i="4"/>
  <c r="S57" i="4"/>
  <c r="T57" i="4"/>
  <c r="U57" i="4"/>
  <c r="R58" i="4"/>
  <c r="S58" i="4"/>
  <c r="T58" i="4"/>
  <c r="U58" i="4"/>
  <c r="R59" i="4"/>
  <c r="S59" i="4"/>
  <c r="T59" i="4"/>
  <c r="U59" i="4"/>
  <c r="R60" i="4"/>
  <c r="S60" i="4"/>
  <c r="T60" i="4"/>
  <c r="U60" i="4"/>
  <c r="R61" i="4"/>
  <c r="S61" i="4"/>
  <c r="T61" i="4"/>
  <c r="U61" i="4"/>
  <c r="R62" i="4"/>
  <c r="S62" i="4"/>
  <c r="T62" i="4"/>
  <c r="U62" i="4"/>
  <c r="R63" i="4"/>
  <c r="S63" i="4"/>
  <c r="T63" i="4"/>
  <c r="U63" i="4"/>
  <c r="R65" i="4"/>
  <c r="S65" i="4"/>
  <c r="T65" i="4"/>
  <c r="U65" i="4"/>
  <c r="R66" i="4"/>
  <c r="S66" i="4"/>
  <c r="T66" i="4"/>
  <c r="U66" i="4"/>
  <c r="R67" i="4"/>
  <c r="S67" i="4"/>
  <c r="T67" i="4"/>
  <c r="U67" i="4"/>
  <c r="L4" i="4"/>
  <c r="M4" i="4"/>
  <c r="N4" i="4"/>
  <c r="O4" i="4"/>
  <c r="L5" i="4"/>
  <c r="M5" i="4"/>
  <c r="N5" i="4"/>
  <c r="O5" i="4"/>
  <c r="L6" i="4"/>
  <c r="M6" i="4"/>
  <c r="N6" i="4"/>
  <c r="O6" i="4"/>
  <c r="L7" i="4"/>
  <c r="M7" i="4"/>
  <c r="N7" i="4"/>
  <c r="O7" i="4"/>
  <c r="L8" i="4"/>
  <c r="M8" i="4"/>
  <c r="N8" i="4"/>
  <c r="O8" i="4"/>
  <c r="L9" i="4"/>
  <c r="M9" i="4"/>
  <c r="N9" i="4"/>
  <c r="O9" i="4"/>
  <c r="L10" i="4"/>
  <c r="M10" i="4"/>
  <c r="N10" i="4"/>
  <c r="O10" i="4"/>
  <c r="L11" i="4"/>
  <c r="M11" i="4"/>
  <c r="N11" i="4"/>
  <c r="O11" i="4"/>
  <c r="L12" i="4"/>
  <c r="M12" i="4"/>
  <c r="N12" i="4"/>
  <c r="O12" i="4"/>
  <c r="L13" i="4"/>
  <c r="M13" i="4"/>
  <c r="N13" i="4"/>
  <c r="O13" i="4"/>
  <c r="L14" i="4"/>
  <c r="M14" i="4"/>
  <c r="N14" i="4"/>
  <c r="O14" i="4"/>
  <c r="L15" i="4"/>
  <c r="M15" i="4"/>
  <c r="N15" i="4"/>
  <c r="O15" i="4"/>
  <c r="L16" i="4"/>
  <c r="M16" i="4"/>
  <c r="N16" i="4"/>
  <c r="O16" i="4"/>
  <c r="L17" i="4"/>
  <c r="M17" i="4"/>
  <c r="N17" i="4"/>
  <c r="O17" i="4"/>
  <c r="L18" i="4"/>
  <c r="M18" i="4"/>
  <c r="N18" i="4"/>
  <c r="O18" i="4"/>
  <c r="L19" i="4"/>
  <c r="M19" i="4"/>
  <c r="N19" i="4"/>
  <c r="O19" i="4"/>
  <c r="L20" i="4"/>
  <c r="M20" i="4"/>
  <c r="N20" i="4"/>
  <c r="O20" i="4"/>
  <c r="L21" i="4"/>
  <c r="M21" i="4"/>
  <c r="N21" i="4"/>
  <c r="O21" i="4"/>
  <c r="L22" i="4"/>
  <c r="M22" i="4"/>
  <c r="N22" i="4"/>
  <c r="O22" i="4"/>
  <c r="L23" i="4"/>
  <c r="M23" i="4"/>
  <c r="N23" i="4"/>
  <c r="O23" i="4"/>
  <c r="L24" i="4"/>
  <c r="M24" i="4"/>
  <c r="N24" i="4"/>
  <c r="O24" i="4"/>
  <c r="L25" i="4"/>
  <c r="M25" i="4"/>
  <c r="N25" i="4"/>
  <c r="O25" i="4"/>
  <c r="L26" i="4"/>
  <c r="M26" i="4"/>
  <c r="N26" i="4"/>
  <c r="O26" i="4"/>
  <c r="L27" i="4"/>
  <c r="M27" i="4"/>
  <c r="N27" i="4"/>
  <c r="O27" i="4"/>
  <c r="L28" i="4"/>
  <c r="M28" i="4"/>
  <c r="N28" i="4"/>
  <c r="O28" i="4"/>
  <c r="L29" i="4"/>
  <c r="M29" i="4"/>
  <c r="N29" i="4"/>
  <c r="O29" i="4"/>
  <c r="L30" i="4"/>
  <c r="M30" i="4"/>
  <c r="N30" i="4"/>
  <c r="O30" i="4"/>
  <c r="L31" i="4"/>
  <c r="M31" i="4"/>
  <c r="N31" i="4"/>
  <c r="O31" i="4"/>
  <c r="L32" i="4"/>
  <c r="M32" i="4"/>
  <c r="N32" i="4"/>
  <c r="O32" i="4"/>
  <c r="L33" i="4"/>
  <c r="M33" i="4"/>
  <c r="N33" i="4"/>
  <c r="O33" i="4"/>
  <c r="L34" i="4"/>
  <c r="M34" i="4"/>
  <c r="N34" i="4"/>
  <c r="O34" i="4"/>
  <c r="L35" i="4"/>
  <c r="M35" i="4"/>
  <c r="N35" i="4"/>
  <c r="O35" i="4"/>
  <c r="L36" i="4"/>
  <c r="M36" i="4"/>
  <c r="N36" i="4"/>
  <c r="O36" i="4"/>
  <c r="L37" i="4"/>
  <c r="M37" i="4"/>
  <c r="N37" i="4"/>
  <c r="O37" i="4"/>
  <c r="L38" i="4"/>
  <c r="M38" i="4"/>
  <c r="N38" i="4"/>
  <c r="O38" i="4"/>
  <c r="L39" i="4"/>
  <c r="M39" i="4"/>
  <c r="N39" i="4"/>
  <c r="O39" i="4"/>
  <c r="L40" i="4"/>
  <c r="M40" i="4"/>
  <c r="N40" i="4"/>
  <c r="O40" i="4"/>
  <c r="L41" i="4"/>
  <c r="M41" i="4"/>
  <c r="N41" i="4"/>
  <c r="O41" i="4"/>
  <c r="L42" i="4"/>
  <c r="M42" i="4"/>
  <c r="N42" i="4"/>
  <c r="O42" i="4"/>
  <c r="L43" i="4"/>
  <c r="M43" i="4"/>
  <c r="N43" i="4"/>
  <c r="O43" i="4"/>
  <c r="L44" i="4"/>
  <c r="M44" i="4"/>
  <c r="N44" i="4"/>
  <c r="O44" i="4"/>
  <c r="L45" i="4"/>
  <c r="M45" i="4"/>
  <c r="N45" i="4"/>
  <c r="O45" i="4"/>
  <c r="L46" i="4"/>
  <c r="M46" i="4"/>
  <c r="N46" i="4"/>
  <c r="O46" i="4"/>
  <c r="L47" i="4"/>
  <c r="M47" i="4"/>
  <c r="N47" i="4"/>
  <c r="O47" i="4"/>
  <c r="L48" i="4"/>
  <c r="M48" i="4"/>
  <c r="N48" i="4"/>
  <c r="O48" i="4"/>
  <c r="L49" i="4"/>
  <c r="M49" i="4"/>
  <c r="N49" i="4"/>
  <c r="O49" i="4"/>
  <c r="L50" i="4"/>
  <c r="M50" i="4"/>
  <c r="N50" i="4"/>
  <c r="O50" i="4"/>
  <c r="L51" i="4"/>
  <c r="M51" i="4"/>
  <c r="N51" i="4"/>
  <c r="O51" i="4"/>
  <c r="L52" i="4"/>
  <c r="M52" i="4"/>
  <c r="N52" i="4"/>
  <c r="O52" i="4"/>
  <c r="L53" i="4"/>
  <c r="M53" i="4"/>
  <c r="N53" i="4"/>
  <c r="O53" i="4"/>
  <c r="L54" i="4"/>
  <c r="M54" i="4"/>
  <c r="N54" i="4"/>
  <c r="O54" i="4"/>
  <c r="L55" i="4"/>
  <c r="M55" i="4"/>
  <c r="N55" i="4"/>
  <c r="O55" i="4"/>
  <c r="L56" i="4"/>
  <c r="M56" i="4"/>
  <c r="N56" i="4"/>
  <c r="O56" i="4"/>
  <c r="L57" i="4"/>
  <c r="M57" i="4"/>
  <c r="N57" i="4"/>
  <c r="O57" i="4"/>
  <c r="L58" i="4"/>
  <c r="M58" i="4"/>
  <c r="N58" i="4"/>
  <c r="O58" i="4"/>
  <c r="L59" i="4"/>
  <c r="M59" i="4"/>
  <c r="N59" i="4"/>
  <c r="O59" i="4"/>
  <c r="L60" i="4"/>
  <c r="M60" i="4"/>
  <c r="N60" i="4"/>
  <c r="O60" i="4"/>
  <c r="L61" i="4"/>
  <c r="M61" i="4"/>
  <c r="N61" i="4"/>
  <c r="O61" i="4"/>
  <c r="L62" i="4"/>
  <c r="M62" i="4"/>
  <c r="N62" i="4"/>
  <c r="O62" i="4"/>
  <c r="L63" i="4"/>
  <c r="M63" i="4"/>
  <c r="N63" i="4"/>
  <c r="O63" i="4"/>
  <c r="L65" i="4"/>
  <c r="M65" i="4"/>
  <c r="N65" i="4"/>
  <c r="O65" i="4"/>
  <c r="L66" i="4"/>
  <c r="M66" i="4"/>
  <c r="N66" i="4"/>
  <c r="O66" i="4"/>
  <c r="L67" i="4"/>
  <c r="M67" i="4"/>
  <c r="N67" i="4"/>
  <c r="O67" i="4"/>
  <c r="L68" i="4"/>
  <c r="M68" i="4"/>
  <c r="N68" i="4"/>
  <c r="O68" i="4"/>
  <c r="L69" i="4"/>
  <c r="M69" i="4"/>
  <c r="N69" i="4"/>
  <c r="O69" i="4"/>
  <c r="L70" i="4"/>
  <c r="M70" i="4"/>
  <c r="N70" i="4"/>
  <c r="O70" i="4"/>
  <c r="L71" i="4"/>
  <c r="M71" i="4"/>
  <c r="N71" i="4"/>
  <c r="O71" i="4"/>
  <c r="L72" i="4"/>
  <c r="M72" i="4"/>
  <c r="N72" i="4"/>
  <c r="O72" i="4"/>
  <c r="L73" i="4"/>
  <c r="M73" i="4"/>
  <c r="N73" i="4"/>
  <c r="O73" i="4"/>
  <c r="L74" i="4"/>
  <c r="M74" i="4"/>
  <c r="N74" i="4"/>
  <c r="O74" i="4"/>
  <c r="L75" i="4"/>
  <c r="M75" i="4"/>
  <c r="N75" i="4"/>
  <c r="O75" i="4"/>
  <c r="L76" i="4"/>
  <c r="M76" i="4"/>
  <c r="N76" i="4"/>
  <c r="O76" i="4"/>
  <c r="L77" i="4"/>
  <c r="M77" i="4"/>
  <c r="N77" i="4"/>
  <c r="O77" i="4"/>
  <c r="L78" i="4"/>
  <c r="M78" i="4"/>
  <c r="N78" i="4"/>
  <c r="O78" i="4"/>
  <c r="L79" i="4"/>
  <c r="M79" i="4"/>
  <c r="N79" i="4"/>
  <c r="O79" i="4"/>
  <c r="L80" i="4"/>
  <c r="M80" i="4"/>
  <c r="N80" i="4"/>
  <c r="O80" i="4"/>
  <c r="L81" i="4"/>
  <c r="M81" i="4"/>
  <c r="N81" i="4"/>
  <c r="O81" i="4"/>
  <c r="L82" i="4"/>
  <c r="M82" i="4"/>
  <c r="N82" i="4"/>
  <c r="O82" i="4"/>
  <c r="L83" i="4"/>
  <c r="M83" i="4"/>
  <c r="N83" i="4"/>
  <c r="O83" i="4"/>
  <c r="L84" i="4"/>
  <c r="M84" i="4"/>
  <c r="N84" i="4"/>
  <c r="O84" i="4"/>
  <c r="L85" i="4"/>
  <c r="M85" i="4"/>
  <c r="N85" i="4"/>
  <c r="O85" i="4"/>
  <c r="F4" i="4"/>
  <c r="G4" i="4"/>
  <c r="H4" i="4"/>
  <c r="I4" i="4"/>
  <c r="W4" i="4" s="1"/>
  <c r="Z4" i="4" s="1"/>
  <c r="F5" i="4"/>
  <c r="G5" i="4"/>
  <c r="H5" i="4"/>
  <c r="I5" i="4"/>
  <c r="W5" i="4" s="1"/>
  <c r="Z5" i="4" s="1"/>
  <c r="F6" i="4"/>
  <c r="G6" i="4"/>
  <c r="H6" i="4"/>
  <c r="I6" i="4"/>
  <c r="W6" i="4" s="1"/>
  <c r="Z6" i="4" s="1"/>
  <c r="F7" i="4"/>
  <c r="G7" i="4"/>
  <c r="H7" i="4"/>
  <c r="I7" i="4"/>
  <c r="W7" i="4" s="1"/>
  <c r="Z7" i="4" s="1"/>
  <c r="F8" i="4"/>
  <c r="G8" i="4"/>
  <c r="H8" i="4"/>
  <c r="I8" i="4"/>
  <c r="W8" i="4" s="1"/>
  <c r="Z8" i="4" s="1"/>
  <c r="F9" i="4"/>
  <c r="G9" i="4"/>
  <c r="H9" i="4"/>
  <c r="I9" i="4"/>
  <c r="W9" i="4" s="1"/>
  <c r="Z9" i="4" s="1"/>
  <c r="F10" i="4"/>
  <c r="G10" i="4"/>
  <c r="H10" i="4"/>
  <c r="I10" i="4"/>
  <c r="W10" i="4" s="1"/>
  <c r="Z10" i="4" s="1"/>
  <c r="F11" i="4"/>
  <c r="G11" i="4"/>
  <c r="H11" i="4"/>
  <c r="I11" i="4"/>
  <c r="W11" i="4" s="1"/>
  <c r="Z11" i="4" s="1"/>
  <c r="F12" i="4"/>
  <c r="G12" i="4"/>
  <c r="H12" i="4"/>
  <c r="I12" i="4"/>
  <c r="W12" i="4" s="1"/>
  <c r="Z12" i="4" s="1"/>
  <c r="F13" i="4"/>
  <c r="G13" i="4"/>
  <c r="H13" i="4"/>
  <c r="I13" i="4"/>
  <c r="W13" i="4" s="1"/>
  <c r="Z13" i="4" s="1"/>
  <c r="F14" i="4"/>
  <c r="G14" i="4"/>
  <c r="H14" i="4"/>
  <c r="I14" i="4"/>
  <c r="W14" i="4" s="1"/>
  <c r="Z14" i="4" s="1"/>
  <c r="F15" i="4"/>
  <c r="G15" i="4"/>
  <c r="H15" i="4"/>
  <c r="I15" i="4"/>
  <c r="W15" i="4" s="1"/>
  <c r="Z15" i="4" s="1"/>
  <c r="F16" i="4"/>
  <c r="G16" i="4"/>
  <c r="H16" i="4"/>
  <c r="I16" i="4"/>
  <c r="W16" i="4" s="1"/>
  <c r="Z16" i="4" s="1"/>
  <c r="F17" i="4"/>
  <c r="G17" i="4"/>
  <c r="H17" i="4"/>
  <c r="I17" i="4"/>
  <c r="W17" i="4" s="1"/>
  <c r="Z17" i="4" s="1"/>
  <c r="F18" i="4"/>
  <c r="G18" i="4"/>
  <c r="H18" i="4"/>
  <c r="I18" i="4"/>
  <c r="W18" i="4" s="1"/>
  <c r="Z18" i="4" s="1"/>
  <c r="F19" i="4"/>
  <c r="G19" i="4"/>
  <c r="H19" i="4"/>
  <c r="I19" i="4"/>
  <c r="W19" i="4" s="1"/>
  <c r="Z19" i="4" s="1"/>
  <c r="F20" i="4"/>
  <c r="G20" i="4"/>
  <c r="H20" i="4"/>
  <c r="I20" i="4"/>
  <c r="W20" i="4" s="1"/>
  <c r="Z20" i="4" s="1"/>
  <c r="F21" i="4"/>
  <c r="G21" i="4"/>
  <c r="H21" i="4"/>
  <c r="I21" i="4"/>
  <c r="W21" i="4" s="1"/>
  <c r="Z21" i="4" s="1"/>
  <c r="F22" i="4"/>
  <c r="G22" i="4"/>
  <c r="H22" i="4"/>
  <c r="I22" i="4"/>
  <c r="W22" i="4" s="1"/>
  <c r="Z22" i="4" s="1"/>
  <c r="F23" i="4"/>
  <c r="G23" i="4"/>
  <c r="H23" i="4"/>
  <c r="I23" i="4"/>
  <c r="W23" i="4" s="1"/>
  <c r="Z23" i="4" s="1"/>
  <c r="F24" i="4"/>
  <c r="G24" i="4"/>
  <c r="H24" i="4"/>
  <c r="I24" i="4"/>
  <c r="W24" i="4" s="1"/>
  <c r="Z24" i="4" s="1"/>
  <c r="F25" i="4"/>
  <c r="G25" i="4"/>
  <c r="H25" i="4"/>
  <c r="I25" i="4"/>
  <c r="W25" i="4" s="1"/>
  <c r="Z25" i="4" s="1"/>
  <c r="F26" i="4"/>
  <c r="G26" i="4"/>
  <c r="H26" i="4"/>
  <c r="I26" i="4"/>
  <c r="W26" i="4" s="1"/>
  <c r="Z26" i="4" s="1"/>
  <c r="F27" i="4"/>
  <c r="G27" i="4"/>
  <c r="H27" i="4"/>
  <c r="I27" i="4"/>
  <c r="W27" i="4" s="1"/>
  <c r="Z27" i="4" s="1"/>
  <c r="F28" i="4"/>
  <c r="G28" i="4"/>
  <c r="H28" i="4"/>
  <c r="I28" i="4"/>
  <c r="W28" i="4" s="1"/>
  <c r="Z28" i="4" s="1"/>
  <c r="F29" i="4"/>
  <c r="G29" i="4"/>
  <c r="H29" i="4"/>
  <c r="I29" i="4"/>
  <c r="W29" i="4" s="1"/>
  <c r="Z29" i="4" s="1"/>
  <c r="F30" i="4"/>
  <c r="G30" i="4"/>
  <c r="H30" i="4"/>
  <c r="I30" i="4"/>
  <c r="W30" i="4" s="1"/>
  <c r="Z30" i="4" s="1"/>
  <c r="F31" i="4"/>
  <c r="G31" i="4"/>
  <c r="H31" i="4"/>
  <c r="I31" i="4"/>
  <c r="W31" i="4" s="1"/>
  <c r="Z31" i="4" s="1"/>
  <c r="F32" i="4"/>
  <c r="G32" i="4"/>
  <c r="H32" i="4"/>
  <c r="I32" i="4"/>
  <c r="W32" i="4" s="1"/>
  <c r="Z32" i="4" s="1"/>
  <c r="F33" i="4"/>
  <c r="G33" i="4"/>
  <c r="H33" i="4"/>
  <c r="W33" i="4"/>
  <c r="Z33" i="4" s="1"/>
  <c r="F34" i="4"/>
  <c r="G34" i="4"/>
  <c r="H34" i="4"/>
  <c r="I34" i="4"/>
  <c r="W34" i="4" s="1"/>
  <c r="Z34" i="4" s="1"/>
  <c r="F35" i="4"/>
  <c r="G35" i="4"/>
  <c r="H35" i="4"/>
  <c r="I35" i="4"/>
  <c r="W35" i="4" s="1"/>
  <c r="Z35" i="4" s="1"/>
  <c r="F36" i="4"/>
  <c r="G36" i="4"/>
  <c r="H36" i="4"/>
  <c r="I36" i="4"/>
  <c r="W36" i="4" s="1"/>
  <c r="Z36" i="4" s="1"/>
  <c r="F37" i="4"/>
  <c r="G37" i="4"/>
  <c r="H37" i="4"/>
  <c r="I37" i="4"/>
  <c r="W37" i="4" s="1"/>
  <c r="Z37" i="4" s="1"/>
  <c r="F38" i="4"/>
  <c r="G38" i="4"/>
  <c r="H38" i="4"/>
  <c r="I38" i="4"/>
  <c r="W38" i="4" s="1"/>
  <c r="Z38" i="4" s="1"/>
  <c r="F39" i="4"/>
  <c r="G39" i="4"/>
  <c r="H39" i="4"/>
  <c r="I39" i="4"/>
  <c r="W39" i="4" s="1"/>
  <c r="Z39" i="4" s="1"/>
  <c r="F40" i="4"/>
  <c r="G40" i="4"/>
  <c r="H40" i="4"/>
  <c r="I40" i="4"/>
  <c r="W40" i="4" s="1"/>
  <c r="Z40" i="4" s="1"/>
  <c r="F41" i="4"/>
  <c r="G41" i="4"/>
  <c r="H41" i="4"/>
  <c r="I41" i="4"/>
  <c r="W41" i="4" s="1"/>
  <c r="Z41" i="4" s="1"/>
  <c r="F42" i="4"/>
  <c r="G42" i="4"/>
  <c r="H42" i="4"/>
  <c r="I42" i="4"/>
  <c r="W42" i="4" s="1"/>
  <c r="Z42" i="4" s="1"/>
  <c r="F43" i="4"/>
  <c r="G43" i="4"/>
  <c r="H43" i="4"/>
  <c r="I43" i="4"/>
  <c r="W43" i="4" s="1"/>
  <c r="Z43" i="4" s="1"/>
  <c r="F44" i="4"/>
  <c r="G44" i="4"/>
  <c r="H44" i="4"/>
  <c r="I44" i="4"/>
  <c r="W44" i="4" s="1"/>
  <c r="Z44" i="4" s="1"/>
  <c r="F45" i="4"/>
  <c r="G45" i="4"/>
  <c r="H45" i="4"/>
  <c r="I45" i="4"/>
  <c r="W45" i="4" s="1"/>
  <c r="Z45" i="4" s="1"/>
  <c r="F46" i="4"/>
  <c r="G46" i="4"/>
  <c r="H46" i="4"/>
  <c r="I46" i="4"/>
  <c r="W46" i="4" s="1"/>
  <c r="Z46" i="4" s="1"/>
  <c r="F47" i="4"/>
  <c r="G47" i="4"/>
  <c r="H47" i="4"/>
  <c r="I47" i="4"/>
  <c r="W47" i="4" s="1"/>
  <c r="Z47" i="4" s="1"/>
  <c r="F48" i="4"/>
  <c r="G48" i="4"/>
  <c r="H48" i="4"/>
  <c r="I48" i="4"/>
  <c r="W48" i="4" s="1"/>
  <c r="Z48" i="4" s="1"/>
  <c r="F49" i="4"/>
  <c r="G49" i="4"/>
  <c r="H49" i="4"/>
  <c r="I49" i="4"/>
  <c r="W49" i="4" s="1"/>
  <c r="Z49" i="4" s="1"/>
  <c r="F50" i="4"/>
  <c r="G50" i="4"/>
  <c r="H50" i="4"/>
  <c r="I50" i="4"/>
  <c r="W50" i="4" s="1"/>
  <c r="Z50" i="4" s="1"/>
  <c r="F51" i="4"/>
  <c r="G51" i="4"/>
  <c r="H51" i="4"/>
  <c r="I51" i="4"/>
  <c r="W51" i="4" s="1"/>
  <c r="Z51" i="4" s="1"/>
  <c r="F52" i="4"/>
  <c r="G52" i="4"/>
  <c r="H52" i="4"/>
  <c r="I52" i="4"/>
  <c r="W52" i="4" s="1"/>
  <c r="Z52" i="4" s="1"/>
  <c r="F53" i="4"/>
  <c r="G53" i="4"/>
  <c r="H53" i="4"/>
  <c r="I53" i="4"/>
  <c r="W53" i="4" s="1"/>
  <c r="Z53" i="4" s="1"/>
  <c r="F54" i="4"/>
  <c r="G54" i="4"/>
  <c r="H54" i="4"/>
  <c r="I54" i="4"/>
  <c r="W54" i="4" s="1"/>
  <c r="Z54" i="4" s="1"/>
  <c r="H55" i="4"/>
  <c r="I55" i="4"/>
  <c r="W55" i="4" s="1"/>
  <c r="Z55" i="4" s="1"/>
  <c r="F56" i="4"/>
  <c r="G56" i="4"/>
  <c r="H56" i="4"/>
  <c r="I56" i="4"/>
  <c r="W56" i="4" s="1"/>
  <c r="Z56" i="4" s="1"/>
  <c r="F57" i="4"/>
  <c r="G57" i="4"/>
  <c r="H57" i="4"/>
  <c r="I57" i="4"/>
  <c r="W57" i="4" s="1"/>
  <c r="Z57" i="4" s="1"/>
  <c r="F58" i="4"/>
  <c r="G58" i="4"/>
  <c r="H58" i="4"/>
  <c r="I58" i="4"/>
  <c r="W58" i="4" s="1"/>
  <c r="Z58" i="4" s="1"/>
  <c r="F59" i="4"/>
  <c r="G59" i="4"/>
  <c r="H59" i="4"/>
  <c r="I59" i="4"/>
  <c r="W59" i="4" s="1"/>
  <c r="Z59" i="4" s="1"/>
  <c r="J4" i="3"/>
  <c r="K4" i="3"/>
  <c r="J5" i="3"/>
  <c r="K5" i="3"/>
  <c r="J6" i="3"/>
  <c r="K6" i="3"/>
  <c r="J7" i="3"/>
  <c r="K7" i="3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298" i="3"/>
  <c r="K298" i="3"/>
  <c r="J299" i="3"/>
  <c r="K299" i="3"/>
  <c r="J300" i="3"/>
  <c r="K300" i="3"/>
  <c r="J301" i="3"/>
  <c r="K301" i="3"/>
  <c r="J302" i="3"/>
  <c r="K302" i="3"/>
  <c r="J303" i="3"/>
  <c r="K303" i="3"/>
  <c r="J304" i="3"/>
  <c r="K304" i="3"/>
  <c r="J305" i="3"/>
  <c r="K305" i="3"/>
  <c r="P4" i="3"/>
  <c r="Q4" i="3"/>
  <c r="R4" i="3"/>
  <c r="T4" i="3"/>
  <c r="P5" i="3"/>
  <c r="Q5" i="3"/>
  <c r="R5" i="3"/>
  <c r="T5" i="3"/>
  <c r="P6" i="3"/>
  <c r="Q6" i="3"/>
  <c r="R6" i="3"/>
  <c r="T6" i="3"/>
  <c r="P7" i="3"/>
  <c r="Q7" i="3"/>
  <c r="R7" i="3"/>
  <c r="T7" i="3"/>
  <c r="P8" i="3"/>
  <c r="Q8" i="3"/>
  <c r="R8" i="3"/>
  <c r="T8" i="3"/>
  <c r="P9" i="3"/>
  <c r="Q9" i="3"/>
  <c r="R9" i="3"/>
  <c r="T9" i="3"/>
  <c r="P10" i="3"/>
  <c r="Q10" i="3"/>
  <c r="R10" i="3"/>
  <c r="T10" i="3"/>
  <c r="P11" i="3"/>
  <c r="Q11" i="3"/>
  <c r="R11" i="3"/>
  <c r="T11" i="3"/>
  <c r="P12" i="3"/>
  <c r="Q12" i="3"/>
  <c r="R12" i="3"/>
  <c r="T12" i="3"/>
  <c r="P13" i="3"/>
  <c r="Q13" i="3"/>
  <c r="R13" i="3"/>
  <c r="T13" i="3"/>
  <c r="P14" i="3"/>
  <c r="Q14" i="3"/>
  <c r="R14" i="3"/>
  <c r="T14" i="3"/>
  <c r="P15" i="3"/>
  <c r="Q15" i="3"/>
  <c r="R15" i="3"/>
  <c r="T15" i="3"/>
  <c r="P16" i="3"/>
  <c r="Q16" i="3"/>
  <c r="R16" i="3"/>
  <c r="T16" i="3"/>
  <c r="P17" i="3"/>
  <c r="Q17" i="3"/>
  <c r="R17" i="3"/>
  <c r="T17" i="3"/>
  <c r="P18" i="3"/>
  <c r="Q18" i="3"/>
  <c r="R18" i="3"/>
  <c r="T18" i="3"/>
  <c r="P19" i="3"/>
  <c r="Q19" i="3"/>
  <c r="R19" i="3"/>
  <c r="T19" i="3"/>
  <c r="P20" i="3"/>
  <c r="Q20" i="3"/>
  <c r="R20" i="3"/>
  <c r="T20" i="3"/>
  <c r="P21" i="3"/>
  <c r="Q21" i="3"/>
  <c r="R21" i="3"/>
  <c r="T21" i="3"/>
  <c r="P22" i="3"/>
  <c r="Q22" i="3"/>
  <c r="R22" i="3"/>
  <c r="T22" i="3"/>
  <c r="P23" i="3"/>
  <c r="Q23" i="3"/>
  <c r="R23" i="3"/>
  <c r="T23" i="3"/>
  <c r="P24" i="3"/>
  <c r="Q24" i="3"/>
  <c r="R24" i="3"/>
  <c r="T24" i="3"/>
  <c r="P25" i="3"/>
  <c r="Q25" i="3"/>
  <c r="R25" i="3"/>
  <c r="T25" i="3"/>
  <c r="P26" i="3"/>
  <c r="Q26" i="3"/>
  <c r="R26" i="3"/>
  <c r="T26" i="3"/>
  <c r="P27" i="3"/>
  <c r="Q27" i="3"/>
  <c r="R27" i="3"/>
  <c r="T27" i="3"/>
  <c r="P28" i="3"/>
  <c r="Q28" i="3"/>
  <c r="R28" i="3"/>
  <c r="T28" i="3"/>
  <c r="P29" i="3"/>
  <c r="Q29" i="3"/>
  <c r="R29" i="3"/>
  <c r="T29" i="3"/>
  <c r="P30" i="3"/>
  <c r="Q30" i="3"/>
  <c r="R30" i="3"/>
  <c r="T30" i="3"/>
  <c r="P31" i="3"/>
  <c r="Q31" i="3"/>
  <c r="R31" i="3"/>
  <c r="T31" i="3"/>
  <c r="P32" i="3"/>
  <c r="Q32" i="3"/>
  <c r="R32" i="3"/>
  <c r="T32" i="3"/>
  <c r="P33" i="3"/>
  <c r="Q33" i="3"/>
  <c r="R33" i="3"/>
  <c r="T33" i="3"/>
  <c r="P34" i="3"/>
  <c r="Q34" i="3"/>
  <c r="R34" i="3"/>
  <c r="T34" i="3"/>
  <c r="P35" i="3"/>
  <c r="Q35" i="3"/>
  <c r="R35" i="3"/>
  <c r="T35" i="3"/>
  <c r="P36" i="3"/>
  <c r="Q36" i="3"/>
  <c r="R36" i="3"/>
  <c r="T36" i="3"/>
  <c r="P37" i="3"/>
  <c r="Q37" i="3"/>
  <c r="R37" i="3"/>
  <c r="T37" i="3"/>
  <c r="P38" i="3"/>
  <c r="Q38" i="3"/>
  <c r="R38" i="3"/>
  <c r="T38" i="3"/>
  <c r="P39" i="3"/>
  <c r="Q39" i="3"/>
  <c r="R39" i="3"/>
  <c r="T39" i="3"/>
  <c r="P40" i="3"/>
  <c r="Q40" i="3"/>
  <c r="R40" i="3"/>
  <c r="T40" i="3"/>
  <c r="P41" i="3"/>
  <c r="Q41" i="3"/>
  <c r="R41" i="3"/>
  <c r="T41" i="3"/>
  <c r="P42" i="3"/>
  <c r="Q42" i="3"/>
  <c r="R42" i="3"/>
  <c r="T42" i="3"/>
  <c r="P43" i="3"/>
  <c r="Q43" i="3"/>
  <c r="R43" i="3"/>
  <c r="T43" i="3"/>
  <c r="P44" i="3"/>
  <c r="Q44" i="3"/>
  <c r="R44" i="3"/>
  <c r="T44" i="3"/>
  <c r="P45" i="3"/>
  <c r="Q45" i="3"/>
  <c r="R45" i="3"/>
  <c r="T45" i="3"/>
  <c r="P46" i="3"/>
  <c r="Q46" i="3"/>
  <c r="R46" i="3"/>
  <c r="T46" i="3"/>
  <c r="P47" i="3"/>
  <c r="Q47" i="3"/>
  <c r="R47" i="3"/>
  <c r="T47" i="3"/>
  <c r="P48" i="3"/>
  <c r="Q48" i="3"/>
  <c r="R48" i="3"/>
  <c r="T48" i="3"/>
  <c r="P49" i="3"/>
  <c r="Q49" i="3"/>
  <c r="R49" i="3"/>
  <c r="T49" i="3"/>
  <c r="P50" i="3"/>
  <c r="Q50" i="3"/>
  <c r="R50" i="3"/>
  <c r="T50" i="3"/>
  <c r="P132" i="3"/>
  <c r="Q132" i="3"/>
  <c r="R132" i="3"/>
  <c r="T132" i="3"/>
  <c r="P133" i="3"/>
  <c r="Q133" i="3"/>
  <c r="R133" i="3"/>
  <c r="T133" i="3"/>
  <c r="P134" i="3"/>
  <c r="Q134" i="3"/>
  <c r="R134" i="3"/>
  <c r="T134" i="3"/>
  <c r="P135" i="3"/>
  <c r="Q135" i="3"/>
  <c r="R135" i="3"/>
  <c r="T135" i="3"/>
  <c r="P136" i="3"/>
  <c r="Q136" i="3"/>
  <c r="R136" i="3"/>
  <c r="T136" i="3"/>
  <c r="P137" i="3"/>
  <c r="Q137" i="3"/>
  <c r="R137" i="3"/>
  <c r="T137" i="3"/>
  <c r="P138" i="3"/>
  <c r="Q138" i="3"/>
  <c r="R138" i="3"/>
  <c r="T138" i="3"/>
  <c r="P139" i="3"/>
  <c r="Q139" i="3"/>
  <c r="R139" i="3"/>
  <c r="T139" i="3"/>
  <c r="P140" i="3"/>
  <c r="Q140" i="3"/>
  <c r="R140" i="3"/>
  <c r="T140" i="3"/>
  <c r="P141" i="3"/>
  <c r="Q141" i="3"/>
  <c r="R141" i="3"/>
  <c r="T141" i="3"/>
  <c r="P142" i="3"/>
  <c r="Q142" i="3"/>
  <c r="R142" i="3"/>
  <c r="T142" i="3"/>
  <c r="P143" i="3"/>
  <c r="Q143" i="3"/>
  <c r="R143" i="3"/>
  <c r="T143" i="3"/>
  <c r="P144" i="3"/>
  <c r="Q144" i="3"/>
  <c r="R144" i="3"/>
  <c r="T144" i="3"/>
  <c r="P145" i="3"/>
  <c r="Q145" i="3"/>
  <c r="R145" i="3"/>
  <c r="T145" i="3"/>
  <c r="P146" i="3"/>
  <c r="Q146" i="3"/>
  <c r="R146" i="3"/>
  <c r="T146" i="3"/>
  <c r="P147" i="3"/>
  <c r="Q147" i="3"/>
  <c r="R147" i="3"/>
  <c r="T147" i="3"/>
  <c r="P148" i="3"/>
  <c r="Q148" i="3"/>
  <c r="R148" i="3"/>
  <c r="T148" i="3"/>
  <c r="P149" i="3"/>
  <c r="Q149" i="3"/>
  <c r="R149" i="3"/>
  <c r="T149" i="3"/>
  <c r="P150" i="3"/>
  <c r="Q150" i="3"/>
  <c r="R150" i="3"/>
  <c r="T150" i="3"/>
  <c r="P151" i="3"/>
  <c r="Q151" i="3"/>
  <c r="R151" i="3"/>
  <c r="T151" i="3"/>
  <c r="P152" i="3"/>
  <c r="Q152" i="3"/>
  <c r="R152" i="3"/>
  <c r="T152" i="3"/>
  <c r="P153" i="3"/>
  <c r="Q153" i="3"/>
  <c r="R153" i="3"/>
  <c r="T153" i="3"/>
  <c r="P154" i="3"/>
  <c r="Q154" i="3"/>
  <c r="R154" i="3"/>
  <c r="T154" i="3"/>
  <c r="P155" i="3"/>
  <c r="Q155" i="3"/>
  <c r="R155" i="3"/>
  <c r="T155" i="3"/>
  <c r="P156" i="3"/>
  <c r="Q156" i="3"/>
  <c r="R156" i="3"/>
  <c r="T156" i="3"/>
  <c r="P157" i="3"/>
  <c r="Q157" i="3"/>
  <c r="R157" i="3"/>
  <c r="T157" i="3"/>
  <c r="P158" i="3"/>
  <c r="Q158" i="3"/>
  <c r="R158" i="3"/>
  <c r="T158" i="3"/>
  <c r="P159" i="3"/>
  <c r="Q159" i="3"/>
  <c r="R159" i="3"/>
  <c r="T159" i="3"/>
  <c r="P160" i="3"/>
  <c r="Q160" i="3"/>
  <c r="R160" i="3"/>
  <c r="T160" i="3"/>
  <c r="P161" i="3"/>
  <c r="Q161" i="3"/>
  <c r="R161" i="3"/>
  <c r="T161" i="3"/>
  <c r="P162" i="3"/>
  <c r="Q162" i="3"/>
  <c r="R162" i="3"/>
  <c r="T162" i="3"/>
  <c r="P163" i="3"/>
  <c r="Q163" i="3"/>
  <c r="R163" i="3"/>
  <c r="T163" i="3"/>
  <c r="P164" i="3"/>
  <c r="Q164" i="3"/>
  <c r="R164" i="3"/>
  <c r="T164" i="3"/>
  <c r="P165" i="3"/>
  <c r="Q165" i="3"/>
  <c r="R165" i="3"/>
  <c r="T165" i="3"/>
  <c r="P166" i="3"/>
  <c r="Q166" i="3"/>
  <c r="R166" i="3"/>
  <c r="T166" i="3"/>
  <c r="P167" i="3"/>
  <c r="Q167" i="3"/>
  <c r="R167" i="3"/>
  <c r="T167" i="3"/>
  <c r="P168" i="3"/>
  <c r="Q168" i="3"/>
  <c r="R168" i="3"/>
  <c r="T168" i="3"/>
  <c r="P169" i="3"/>
  <c r="Q169" i="3"/>
  <c r="R169" i="3"/>
  <c r="T169" i="3"/>
  <c r="P170" i="3"/>
  <c r="Q170" i="3"/>
  <c r="R170" i="3"/>
  <c r="T170" i="3"/>
  <c r="P171" i="3"/>
  <c r="Q171" i="3"/>
  <c r="R171" i="3"/>
  <c r="T171" i="3"/>
  <c r="V8" i="3"/>
  <c r="T30" i="6"/>
  <c r="S30" i="6"/>
  <c r="P30" i="6"/>
  <c r="P31" i="6" s="1"/>
  <c r="J31" i="6"/>
  <c r="G31" i="6"/>
  <c r="S28" i="6"/>
  <c r="G29" i="6"/>
  <c r="J27" i="6"/>
  <c r="G27" i="6"/>
  <c r="S26" i="6"/>
  <c r="S24" i="6"/>
  <c r="J25" i="6"/>
  <c r="G25" i="6"/>
  <c r="S22" i="6"/>
  <c r="T25" i="6"/>
  <c r="T26" i="6"/>
  <c r="T27" i="6"/>
  <c r="T28" i="6"/>
  <c r="T29" i="6"/>
  <c r="T31" i="6"/>
  <c r="T33" i="6"/>
  <c r="T34" i="6"/>
  <c r="T35" i="6"/>
  <c r="T36" i="6"/>
  <c r="T37" i="6"/>
  <c r="T38" i="6"/>
  <c r="T39" i="6"/>
  <c r="U25" i="6"/>
  <c r="U26" i="6"/>
  <c r="U27" i="6"/>
  <c r="U28" i="6"/>
  <c r="U29" i="6"/>
  <c r="U30" i="6"/>
  <c r="U31" i="6"/>
  <c r="U33" i="6"/>
  <c r="U34" i="6"/>
  <c r="U35" i="6"/>
  <c r="U36" i="6"/>
  <c r="U37" i="6"/>
  <c r="U38" i="6"/>
  <c r="U39" i="6"/>
  <c r="J23" i="6"/>
  <c r="G23" i="6"/>
  <c r="G5" i="6"/>
  <c r="J5" i="6"/>
  <c r="G8" i="6"/>
  <c r="J8" i="6"/>
  <c r="G10" i="6"/>
  <c r="J10" i="6"/>
  <c r="G12" i="6"/>
  <c r="J12" i="6"/>
  <c r="G14" i="6"/>
  <c r="J14" i="6"/>
  <c r="G16" i="6"/>
  <c r="J16" i="6"/>
  <c r="G21" i="6"/>
  <c r="J21" i="6"/>
  <c r="M26" i="3"/>
  <c r="M75" i="3" s="1"/>
  <c r="M81" i="3" s="1"/>
  <c r="L26" i="3"/>
  <c r="T19" i="6"/>
  <c r="U19" i="6"/>
  <c r="V20" i="3"/>
  <c r="P20" i="6" s="1"/>
  <c r="P21" i="6" s="1"/>
  <c r="L29" i="3"/>
  <c r="L41" i="3" s="1"/>
  <c r="L51" i="3" s="1"/>
  <c r="V28" i="3"/>
  <c r="P22" i="6" s="1"/>
  <c r="V25" i="3"/>
  <c r="P24" i="6" s="1"/>
  <c r="P25" i="6" s="1"/>
  <c r="V24" i="3"/>
  <c r="P26" i="6" s="1"/>
  <c r="P27" i="6" s="1"/>
  <c r="P44" i="6" l="1"/>
  <c r="G14" i="8"/>
  <c r="G15" i="8"/>
  <c r="G16" i="8"/>
  <c r="G17" i="8"/>
  <c r="G13" i="8"/>
  <c r="G24" i="8"/>
  <c r="P40" i="6"/>
  <c r="P39" i="6"/>
  <c r="P41" i="6"/>
  <c r="L13" i="8"/>
  <c r="P37" i="6"/>
  <c r="P35" i="6"/>
  <c r="P36" i="6"/>
  <c r="P38" i="6"/>
  <c r="V5" i="3"/>
  <c r="V6" i="3"/>
  <c r="V7" i="3"/>
  <c r="P108" i="6" s="1"/>
  <c r="P109" i="6" s="1"/>
  <c r="P111" i="6" s="1"/>
  <c r="V9" i="3"/>
  <c r="V10" i="3"/>
  <c r="V11" i="3"/>
  <c r="V12" i="3"/>
  <c r="P28" i="6" s="1"/>
  <c r="P29" i="6" s="1"/>
  <c r="P4" i="6"/>
  <c r="P3" i="6"/>
  <c r="J18" i="6"/>
  <c r="G18" i="6"/>
  <c r="L21" i="3"/>
  <c r="L75" i="3" s="1"/>
  <c r="L81" i="3" s="1"/>
  <c r="S20" i="6" l="1"/>
  <c r="S17" i="6"/>
  <c r="T20" i="6"/>
  <c r="T21" i="6"/>
  <c r="T22" i="6"/>
  <c r="T23" i="6"/>
  <c r="T24" i="6"/>
  <c r="U20" i="6"/>
  <c r="U21" i="6"/>
  <c r="U22" i="6"/>
  <c r="U23" i="6"/>
  <c r="U24" i="6"/>
  <c r="V4" i="3"/>
  <c r="P15" i="6"/>
  <c r="P16" i="6" s="1"/>
  <c r="S15" i="6"/>
  <c r="L18" i="3"/>
  <c r="P5" i="6"/>
  <c r="S3" i="6"/>
  <c r="S4" i="6"/>
  <c r="P6" i="6"/>
  <c r="P8" i="6" s="1"/>
  <c r="S6" i="6"/>
  <c r="P7" i="6"/>
  <c r="S7" i="6"/>
  <c r="S13" i="6" l="1"/>
  <c r="AB12" i="3"/>
  <c r="AK12" i="3"/>
  <c r="S11" i="6" l="1"/>
  <c r="V14" i="3"/>
  <c r="P11" i="6" s="1"/>
  <c r="P12" i="6" s="1"/>
  <c r="T406" i="3"/>
  <c r="T405" i="3"/>
  <c r="T404" i="3"/>
  <c r="T403" i="3"/>
  <c r="T402" i="3"/>
  <c r="T401" i="3"/>
  <c r="T400" i="3"/>
  <c r="T399" i="3"/>
  <c r="T398" i="3"/>
  <c r="T397" i="3"/>
  <c r="T396" i="3"/>
  <c r="T395" i="3"/>
  <c r="T394" i="3"/>
  <c r="T393" i="3"/>
  <c r="T392" i="3"/>
  <c r="T391" i="3"/>
  <c r="T390" i="3"/>
  <c r="T389" i="3"/>
  <c r="T388" i="3"/>
  <c r="T387" i="3"/>
  <c r="T386" i="3"/>
  <c r="T385" i="3"/>
  <c r="T384" i="3"/>
  <c r="T383" i="3"/>
  <c r="T382" i="3"/>
  <c r="T381" i="3"/>
  <c r="T380" i="3"/>
  <c r="T379" i="3"/>
  <c r="T378" i="3"/>
  <c r="T377" i="3"/>
  <c r="T376" i="3"/>
  <c r="T375" i="3"/>
  <c r="T374" i="3"/>
  <c r="T373" i="3"/>
  <c r="T372" i="3"/>
  <c r="T371" i="3"/>
  <c r="T370" i="3"/>
  <c r="T369" i="3"/>
  <c r="T368" i="3"/>
  <c r="T367" i="3"/>
  <c r="T366" i="3"/>
  <c r="T365" i="3"/>
  <c r="T364" i="3"/>
  <c r="T363" i="3"/>
  <c r="T362" i="3"/>
  <c r="T361" i="3"/>
  <c r="T360" i="3"/>
  <c r="T359" i="3"/>
  <c r="T358" i="3"/>
  <c r="T357" i="3"/>
  <c r="T356" i="3"/>
  <c r="T355" i="3"/>
  <c r="T354" i="3"/>
  <c r="T353" i="3"/>
  <c r="T352" i="3"/>
  <c r="T351" i="3"/>
  <c r="T350" i="3"/>
  <c r="T349" i="3"/>
  <c r="T348" i="3"/>
  <c r="T347" i="3"/>
  <c r="T346" i="3"/>
  <c r="T345" i="3"/>
  <c r="T344" i="3"/>
  <c r="T343" i="3"/>
  <c r="T342" i="3"/>
  <c r="T341" i="3"/>
  <c r="T340" i="3"/>
  <c r="T339" i="3"/>
  <c r="T338" i="3"/>
  <c r="T337" i="3"/>
  <c r="T336" i="3"/>
  <c r="T335" i="3"/>
  <c r="T334" i="3"/>
  <c r="T333" i="3"/>
  <c r="T332" i="3"/>
  <c r="T331" i="3"/>
  <c r="T330" i="3"/>
  <c r="T329" i="3"/>
  <c r="T328" i="3"/>
  <c r="T327" i="3"/>
  <c r="T326" i="3"/>
  <c r="T325" i="3"/>
  <c r="T324" i="3"/>
  <c r="T323" i="3"/>
  <c r="T322" i="3"/>
  <c r="T321" i="3"/>
  <c r="T320" i="3"/>
  <c r="T319" i="3"/>
  <c r="T318" i="3"/>
  <c r="T317" i="3"/>
  <c r="T316" i="3"/>
  <c r="T315" i="3"/>
  <c r="T314" i="3"/>
  <c r="T313" i="3"/>
  <c r="T312" i="3"/>
  <c r="T311" i="3"/>
  <c r="T310" i="3"/>
  <c r="T309" i="3"/>
  <c r="T308" i="3"/>
  <c r="T307" i="3"/>
  <c r="T306" i="3"/>
  <c r="T305" i="3"/>
  <c r="T304" i="3"/>
  <c r="T303" i="3"/>
  <c r="T302" i="3"/>
  <c r="T301" i="3"/>
  <c r="T300" i="3"/>
  <c r="T299" i="3"/>
  <c r="T298" i="3"/>
  <c r="T297" i="3"/>
  <c r="T296" i="3"/>
  <c r="T295" i="3"/>
  <c r="T294" i="3"/>
  <c r="T293" i="3"/>
  <c r="T292" i="3"/>
  <c r="T291" i="3"/>
  <c r="T290" i="3"/>
  <c r="T289" i="3"/>
  <c r="T288" i="3"/>
  <c r="T287" i="3"/>
  <c r="T286" i="3"/>
  <c r="T285" i="3"/>
  <c r="T284" i="3"/>
  <c r="T283" i="3"/>
  <c r="T282" i="3"/>
  <c r="T281" i="3"/>
  <c r="T280" i="3"/>
  <c r="T279" i="3"/>
  <c r="T278" i="3"/>
  <c r="T277" i="3"/>
  <c r="T276" i="3"/>
  <c r="T275" i="3"/>
  <c r="T274" i="3"/>
  <c r="T273" i="3"/>
  <c r="T272" i="3"/>
  <c r="T271" i="3"/>
  <c r="T270" i="3"/>
  <c r="T269" i="3"/>
  <c r="T268" i="3"/>
  <c r="T267" i="3"/>
  <c r="T266" i="3"/>
  <c r="T265" i="3"/>
  <c r="T264" i="3"/>
  <c r="T263" i="3"/>
  <c r="T262" i="3"/>
  <c r="T261" i="3"/>
  <c r="T260" i="3"/>
  <c r="T259" i="3"/>
  <c r="T258" i="3"/>
  <c r="T257" i="3"/>
  <c r="T256" i="3"/>
  <c r="T255" i="3"/>
  <c r="T254" i="3"/>
  <c r="T253" i="3"/>
  <c r="T252" i="3"/>
  <c r="T251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R406" i="3"/>
  <c r="Q406" i="3"/>
  <c r="R405" i="3"/>
  <c r="Q405" i="3"/>
  <c r="R404" i="3"/>
  <c r="Q404" i="3"/>
  <c r="R403" i="3"/>
  <c r="Q403" i="3"/>
  <c r="R402" i="3"/>
  <c r="Q402" i="3"/>
  <c r="R401" i="3"/>
  <c r="Q401" i="3"/>
  <c r="R400" i="3"/>
  <c r="Q400" i="3"/>
  <c r="R399" i="3"/>
  <c r="Q399" i="3"/>
  <c r="R398" i="3"/>
  <c r="Q398" i="3"/>
  <c r="R397" i="3"/>
  <c r="Q397" i="3"/>
  <c r="R396" i="3"/>
  <c r="Q396" i="3"/>
  <c r="R395" i="3"/>
  <c r="Q395" i="3"/>
  <c r="R394" i="3"/>
  <c r="Q394" i="3"/>
  <c r="R393" i="3"/>
  <c r="Q393" i="3"/>
  <c r="R392" i="3"/>
  <c r="Q392" i="3"/>
  <c r="R391" i="3"/>
  <c r="Q391" i="3"/>
  <c r="R390" i="3"/>
  <c r="Q390" i="3"/>
  <c r="R389" i="3"/>
  <c r="Q389" i="3"/>
  <c r="R388" i="3"/>
  <c r="Q388" i="3"/>
  <c r="R387" i="3"/>
  <c r="Q387" i="3"/>
  <c r="R386" i="3"/>
  <c r="Q386" i="3"/>
  <c r="R385" i="3"/>
  <c r="Q385" i="3"/>
  <c r="R384" i="3"/>
  <c r="Q384" i="3"/>
  <c r="R383" i="3"/>
  <c r="Q383" i="3"/>
  <c r="R382" i="3"/>
  <c r="Q382" i="3"/>
  <c r="R381" i="3"/>
  <c r="Q381" i="3"/>
  <c r="R380" i="3"/>
  <c r="Q380" i="3"/>
  <c r="R379" i="3"/>
  <c r="Q379" i="3"/>
  <c r="R378" i="3"/>
  <c r="Q378" i="3"/>
  <c r="R377" i="3"/>
  <c r="Q377" i="3"/>
  <c r="R376" i="3"/>
  <c r="Q376" i="3"/>
  <c r="R375" i="3"/>
  <c r="Q375" i="3"/>
  <c r="R374" i="3"/>
  <c r="Q374" i="3"/>
  <c r="R373" i="3"/>
  <c r="Q373" i="3"/>
  <c r="R372" i="3"/>
  <c r="Q372" i="3"/>
  <c r="R371" i="3"/>
  <c r="Q371" i="3"/>
  <c r="R370" i="3"/>
  <c r="Q370" i="3"/>
  <c r="R369" i="3"/>
  <c r="Q369" i="3"/>
  <c r="R368" i="3"/>
  <c r="Q368" i="3"/>
  <c r="R367" i="3"/>
  <c r="Q367" i="3"/>
  <c r="R366" i="3"/>
  <c r="Q366" i="3"/>
  <c r="R365" i="3"/>
  <c r="Q365" i="3"/>
  <c r="R364" i="3"/>
  <c r="Q364" i="3"/>
  <c r="R363" i="3"/>
  <c r="Q363" i="3"/>
  <c r="R362" i="3"/>
  <c r="Q362" i="3"/>
  <c r="R361" i="3"/>
  <c r="Q361" i="3"/>
  <c r="R360" i="3"/>
  <c r="Q360" i="3"/>
  <c r="R359" i="3"/>
  <c r="Q359" i="3"/>
  <c r="R358" i="3"/>
  <c r="Q358" i="3"/>
  <c r="R357" i="3"/>
  <c r="Q357" i="3"/>
  <c r="R356" i="3"/>
  <c r="Q356" i="3"/>
  <c r="R355" i="3"/>
  <c r="Q355" i="3"/>
  <c r="R354" i="3"/>
  <c r="Q354" i="3"/>
  <c r="R353" i="3"/>
  <c r="Q353" i="3"/>
  <c r="R352" i="3"/>
  <c r="Q352" i="3"/>
  <c r="R351" i="3"/>
  <c r="Q351" i="3"/>
  <c r="R350" i="3"/>
  <c r="Q350" i="3"/>
  <c r="R349" i="3"/>
  <c r="Q349" i="3"/>
  <c r="R348" i="3"/>
  <c r="Q348" i="3"/>
  <c r="R347" i="3"/>
  <c r="Q347" i="3"/>
  <c r="R346" i="3"/>
  <c r="Q346" i="3"/>
  <c r="R345" i="3"/>
  <c r="Q345" i="3"/>
  <c r="R344" i="3"/>
  <c r="Q344" i="3"/>
  <c r="R343" i="3"/>
  <c r="Q343" i="3"/>
  <c r="R342" i="3"/>
  <c r="Q342" i="3"/>
  <c r="R341" i="3"/>
  <c r="Q341" i="3"/>
  <c r="R340" i="3"/>
  <c r="Q340" i="3"/>
  <c r="R339" i="3"/>
  <c r="Q339" i="3"/>
  <c r="R338" i="3"/>
  <c r="Q338" i="3"/>
  <c r="R337" i="3"/>
  <c r="Q337" i="3"/>
  <c r="R336" i="3"/>
  <c r="Q336" i="3"/>
  <c r="R335" i="3"/>
  <c r="Q335" i="3"/>
  <c r="R334" i="3"/>
  <c r="Q334" i="3"/>
  <c r="R333" i="3"/>
  <c r="Q333" i="3"/>
  <c r="R332" i="3"/>
  <c r="Q332" i="3"/>
  <c r="R331" i="3"/>
  <c r="Q331" i="3"/>
  <c r="R330" i="3"/>
  <c r="Q330" i="3"/>
  <c r="R329" i="3"/>
  <c r="Q329" i="3"/>
  <c r="R328" i="3"/>
  <c r="Q328" i="3"/>
  <c r="R327" i="3"/>
  <c r="Q327" i="3"/>
  <c r="R326" i="3"/>
  <c r="Q326" i="3"/>
  <c r="R325" i="3"/>
  <c r="Q325" i="3"/>
  <c r="R324" i="3"/>
  <c r="Q324" i="3"/>
  <c r="R323" i="3"/>
  <c r="Q323" i="3"/>
  <c r="R322" i="3"/>
  <c r="Q322" i="3"/>
  <c r="R321" i="3"/>
  <c r="Q321" i="3"/>
  <c r="R320" i="3"/>
  <c r="Q320" i="3"/>
  <c r="R319" i="3"/>
  <c r="Q319" i="3"/>
  <c r="R318" i="3"/>
  <c r="Q318" i="3"/>
  <c r="R317" i="3"/>
  <c r="Q317" i="3"/>
  <c r="R316" i="3"/>
  <c r="Q316" i="3"/>
  <c r="R315" i="3"/>
  <c r="Q315" i="3"/>
  <c r="R314" i="3"/>
  <c r="Q314" i="3"/>
  <c r="R313" i="3"/>
  <c r="Q313" i="3"/>
  <c r="R312" i="3"/>
  <c r="Q312" i="3"/>
  <c r="R311" i="3"/>
  <c r="Q311" i="3"/>
  <c r="R310" i="3"/>
  <c r="Q310" i="3"/>
  <c r="R309" i="3"/>
  <c r="Q309" i="3"/>
  <c r="R308" i="3"/>
  <c r="Q308" i="3"/>
  <c r="R307" i="3"/>
  <c r="Q307" i="3"/>
  <c r="R306" i="3"/>
  <c r="Q306" i="3"/>
  <c r="R305" i="3"/>
  <c r="Q305" i="3"/>
  <c r="R304" i="3"/>
  <c r="Q304" i="3"/>
  <c r="R303" i="3"/>
  <c r="Q303" i="3"/>
  <c r="R302" i="3"/>
  <c r="Q302" i="3"/>
  <c r="R301" i="3"/>
  <c r="Q301" i="3"/>
  <c r="R300" i="3"/>
  <c r="Q300" i="3"/>
  <c r="R299" i="3"/>
  <c r="Q299" i="3"/>
  <c r="R298" i="3"/>
  <c r="Q298" i="3"/>
  <c r="R297" i="3"/>
  <c r="Q297" i="3"/>
  <c r="R296" i="3"/>
  <c r="Q296" i="3"/>
  <c r="R295" i="3"/>
  <c r="Q295" i="3"/>
  <c r="R294" i="3"/>
  <c r="Q294" i="3"/>
  <c r="R293" i="3"/>
  <c r="Q293" i="3"/>
  <c r="R292" i="3"/>
  <c r="Q292" i="3"/>
  <c r="R291" i="3"/>
  <c r="Q291" i="3"/>
  <c r="R290" i="3"/>
  <c r="Q290" i="3"/>
  <c r="R289" i="3"/>
  <c r="Q289" i="3"/>
  <c r="R288" i="3"/>
  <c r="Q288" i="3"/>
  <c r="R287" i="3"/>
  <c r="Q287" i="3"/>
  <c r="R286" i="3"/>
  <c r="Q286" i="3"/>
  <c r="R285" i="3"/>
  <c r="Q285" i="3"/>
  <c r="R284" i="3"/>
  <c r="Q284" i="3"/>
  <c r="R283" i="3"/>
  <c r="Q283" i="3"/>
  <c r="R282" i="3"/>
  <c r="Q282" i="3"/>
  <c r="R281" i="3"/>
  <c r="Q281" i="3"/>
  <c r="R280" i="3"/>
  <c r="Q280" i="3"/>
  <c r="R279" i="3"/>
  <c r="Q279" i="3"/>
  <c r="R278" i="3"/>
  <c r="Q278" i="3"/>
  <c r="R277" i="3"/>
  <c r="Q277" i="3"/>
  <c r="R276" i="3"/>
  <c r="Q276" i="3"/>
  <c r="R275" i="3"/>
  <c r="Q275" i="3"/>
  <c r="R274" i="3"/>
  <c r="Q274" i="3"/>
  <c r="R273" i="3"/>
  <c r="Q273" i="3"/>
  <c r="R272" i="3"/>
  <c r="Q272" i="3"/>
  <c r="R271" i="3"/>
  <c r="Q271" i="3"/>
  <c r="R270" i="3"/>
  <c r="Q270" i="3"/>
  <c r="R269" i="3"/>
  <c r="Q269" i="3"/>
  <c r="R268" i="3"/>
  <c r="Q268" i="3"/>
  <c r="R267" i="3"/>
  <c r="Q267" i="3"/>
  <c r="R266" i="3"/>
  <c r="Q266" i="3"/>
  <c r="R265" i="3"/>
  <c r="Q265" i="3"/>
  <c r="R264" i="3"/>
  <c r="Q264" i="3"/>
  <c r="R263" i="3"/>
  <c r="Q263" i="3"/>
  <c r="R262" i="3"/>
  <c r="Q262" i="3"/>
  <c r="R261" i="3"/>
  <c r="Q261" i="3"/>
  <c r="R260" i="3"/>
  <c r="Q260" i="3"/>
  <c r="R259" i="3"/>
  <c r="Q259" i="3"/>
  <c r="R258" i="3"/>
  <c r="Q258" i="3"/>
  <c r="R257" i="3"/>
  <c r="Q257" i="3"/>
  <c r="R256" i="3"/>
  <c r="Q256" i="3"/>
  <c r="R255" i="3"/>
  <c r="Q255" i="3"/>
  <c r="R254" i="3"/>
  <c r="Q254" i="3"/>
  <c r="R253" i="3"/>
  <c r="Q253" i="3"/>
  <c r="R252" i="3"/>
  <c r="Q252" i="3"/>
  <c r="R251" i="3"/>
  <c r="Q251" i="3"/>
  <c r="R250" i="3"/>
  <c r="Q250" i="3"/>
  <c r="R249" i="3"/>
  <c r="Q249" i="3"/>
  <c r="R248" i="3"/>
  <c r="Q248" i="3"/>
  <c r="R247" i="3"/>
  <c r="Q247" i="3"/>
  <c r="R246" i="3"/>
  <c r="Q246" i="3"/>
  <c r="R245" i="3"/>
  <c r="Q245" i="3"/>
  <c r="R244" i="3"/>
  <c r="Q244" i="3"/>
  <c r="R243" i="3"/>
  <c r="Q243" i="3"/>
  <c r="R242" i="3"/>
  <c r="Q242" i="3"/>
  <c r="R241" i="3"/>
  <c r="Q241" i="3"/>
  <c r="R240" i="3"/>
  <c r="Q240" i="3"/>
  <c r="R239" i="3"/>
  <c r="Q239" i="3"/>
  <c r="R238" i="3"/>
  <c r="Q238" i="3"/>
  <c r="R237" i="3"/>
  <c r="Q237" i="3"/>
  <c r="R236" i="3"/>
  <c r="Q236" i="3"/>
  <c r="R235" i="3"/>
  <c r="Q235" i="3"/>
  <c r="R234" i="3"/>
  <c r="Q234" i="3"/>
  <c r="R233" i="3"/>
  <c r="Q233" i="3"/>
  <c r="R232" i="3"/>
  <c r="Q232" i="3"/>
  <c r="R231" i="3"/>
  <c r="Q231" i="3"/>
  <c r="R230" i="3"/>
  <c r="Q230" i="3"/>
  <c r="R229" i="3"/>
  <c r="Q229" i="3"/>
  <c r="R228" i="3"/>
  <c r="Q228" i="3"/>
  <c r="R227" i="3"/>
  <c r="Q227" i="3"/>
  <c r="R226" i="3"/>
  <c r="Q226" i="3"/>
  <c r="R225" i="3"/>
  <c r="Q225" i="3"/>
  <c r="R224" i="3"/>
  <c r="Q224" i="3"/>
  <c r="R223" i="3"/>
  <c r="Q223" i="3"/>
  <c r="R222" i="3"/>
  <c r="Q222" i="3"/>
  <c r="R221" i="3"/>
  <c r="Q221" i="3"/>
  <c r="R220" i="3"/>
  <c r="Q220" i="3"/>
  <c r="R219" i="3"/>
  <c r="Q219" i="3"/>
  <c r="R218" i="3"/>
  <c r="Q218" i="3"/>
  <c r="R217" i="3"/>
  <c r="Q217" i="3"/>
  <c r="R216" i="3"/>
  <c r="Q216" i="3"/>
  <c r="R215" i="3"/>
  <c r="Q215" i="3"/>
  <c r="R214" i="3"/>
  <c r="Q214" i="3"/>
  <c r="R213" i="3"/>
  <c r="Q213" i="3"/>
  <c r="R212" i="3"/>
  <c r="Q212" i="3"/>
  <c r="R211" i="3"/>
  <c r="Q211" i="3"/>
  <c r="R210" i="3"/>
  <c r="Q210" i="3"/>
  <c r="R209" i="3"/>
  <c r="Q209" i="3"/>
  <c r="R208" i="3"/>
  <c r="Q208" i="3"/>
  <c r="R207" i="3"/>
  <c r="Q207" i="3"/>
  <c r="R206" i="3"/>
  <c r="Q206" i="3"/>
  <c r="R205" i="3"/>
  <c r="Q205" i="3"/>
  <c r="R204" i="3"/>
  <c r="Q204" i="3"/>
  <c r="R203" i="3"/>
  <c r="Q203" i="3"/>
  <c r="R202" i="3"/>
  <c r="Q202" i="3"/>
  <c r="R201" i="3"/>
  <c r="Q201" i="3"/>
  <c r="R200" i="3"/>
  <c r="Q200" i="3"/>
  <c r="R199" i="3"/>
  <c r="Q199" i="3"/>
  <c r="R198" i="3"/>
  <c r="Q198" i="3"/>
  <c r="R197" i="3"/>
  <c r="Q197" i="3"/>
  <c r="R196" i="3"/>
  <c r="Q196" i="3"/>
  <c r="R195" i="3"/>
  <c r="Q195" i="3"/>
  <c r="R194" i="3"/>
  <c r="Q194" i="3"/>
  <c r="R193" i="3"/>
  <c r="Q193" i="3"/>
  <c r="R192" i="3"/>
  <c r="Q192" i="3"/>
  <c r="R191" i="3"/>
  <c r="Q191" i="3"/>
  <c r="R190" i="3"/>
  <c r="Q190" i="3"/>
  <c r="R189" i="3"/>
  <c r="Q189" i="3"/>
  <c r="R188" i="3"/>
  <c r="Q188" i="3"/>
  <c r="R187" i="3"/>
  <c r="Q187" i="3"/>
  <c r="R186" i="3"/>
  <c r="Q186" i="3"/>
  <c r="R185" i="3"/>
  <c r="Q185" i="3"/>
  <c r="R184" i="3"/>
  <c r="Q184" i="3"/>
  <c r="R183" i="3"/>
  <c r="Q183" i="3"/>
  <c r="R182" i="3"/>
  <c r="Q182" i="3"/>
  <c r="R181" i="3"/>
  <c r="Q181" i="3"/>
  <c r="R180" i="3"/>
  <c r="Q180" i="3"/>
  <c r="R179" i="3"/>
  <c r="Q179" i="3"/>
  <c r="R178" i="3"/>
  <c r="Q178" i="3"/>
  <c r="R177" i="3"/>
  <c r="Q177" i="3"/>
  <c r="R176" i="3"/>
  <c r="Q176" i="3"/>
  <c r="R175" i="3"/>
  <c r="Q175" i="3"/>
  <c r="R174" i="3"/>
  <c r="Q174" i="3"/>
  <c r="R173" i="3"/>
  <c r="Q173" i="3"/>
  <c r="R172" i="3"/>
  <c r="Q172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J306" i="3"/>
  <c r="K306" i="3"/>
  <c r="J307" i="3"/>
  <c r="K307" i="3"/>
  <c r="J308" i="3"/>
  <c r="K308" i="3"/>
  <c r="J309" i="3"/>
  <c r="K309" i="3"/>
  <c r="J310" i="3"/>
  <c r="K310" i="3"/>
  <c r="J311" i="3"/>
  <c r="K311" i="3"/>
  <c r="J312" i="3"/>
  <c r="K312" i="3"/>
  <c r="J313" i="3"/>
  <c r="K313" i="3"/>
  <c r="J314" i="3"/>
  <c r="K314" i="3"/>
  <c r="J315" i="3"/>
  <c r="K315" i="3"/>
  <c r="J316" i="3"/>
  <c r="K316" i="3"/>
  <c r="J317" i="3"/>
  <c r="K317" i="3"/>
  <c r="J318" i="3"/>
  <c r="K318" i="3"/>
  <c r="J319" i="3"/>
  <c r="K319" i="3"/>
  <c r="J320" i="3"/>
  <c r="K320" i="3"/>
  <c r="J321" i="3"/>
  <c r="K321" i="3"/>
  <c r="J322" i="3"/>
  <c r="K322" i="3"/>
  <c r="J323" i="3"/>
  <c r="K323" i="3"/>
  <c r="J324" i="3"/>
  <c r="K324" i="3"/>
  <c r="J325" i="3"/>
  <c r="K325" i="3"/>
  <c r="J326" i="3"/>
  <c r="K326" i="3"/>
  <c r="J327" i="3"/>
  <c r="K327" i="3"/>
  <c r="J328" i="3"/>
  <c r="K328" i="3"/>
  <c r="J329" i="3"/>
  <c r="K329" i="3"/>
  <c r="J330" i="3"/>
  <c r="K330" i="3"/>
  <c r="J331" i="3"/>
  <c r="K331" i="3"/>
  <c r="J332" i="3"/>
  <c r="K332" i="3"/>
  <c r="J333" i="3"/>
  <c r="K333" i="3"/>
  <c r="J334" i="3"/>
  <c r="K334" i="3"/>
  <c r="J335" i="3"/>
  <c r="K335" i="3"/>
  <c r="J336" i="3"/>
  <c r="K336" i="3"/>
  <c r="J337" i="3"/>
  <c r="K337" i="3"/>
  <c r="J338" i="3"/>
  <c r="K338" i="3"/>
  <c r="J339" i="3"/>
  <c r="K339" i="3"/>
  <c r="J340" i="3"/>
  <c r="K340" i="3"/>
  <c r="J341" i="3"/>
  <c r="K341" i="3"/>
  <c r="J342" i="3"/>
  <c r="K342" i="3"/>
  <c r="J343" i="3"/>
  <c r="K343" i="3"/>
  <c r="J344" i="3"/>
  <c r="K344" i="3"/>
  <c r="J345" i="3"/>
  <c r="K345" i="3"/>
  <c r="J346" i="3"/>
  <c r="K346" i="3"/>
  <c r="J347" i="3"/>
  <c r="K347" i="3"/>
  <c r="J348" i="3"/>
  <c r="K348" i="3"/>
  <c r="J349" i="3"/>
  <c r="K349" i="3"/>
  <c r="J350" i="3"/>
  <c r="K350" i="3"/>
  <c r="J351" i="3"/>
  <c r="K351" i="3"/>
  <c r="J352" i="3"/>
  <c r="K352" i="3"/>
  <c r="J353" i="3"/>
  <c r="K353" i="3"/>
  <c r="J354" i="3"/>
  <c r="K354" i="3"/>
  <c r="J355" i="3"/>
  <c r="K355" i="3"/>
  <c r="J356" i="3"/>
  <c r="K356" i="3"/>
  <c r="J357" i="3"/>
  <c r="K357" i="3"/>
  <c r="J358" i="3"/>
  <c r="K358" i="3"/>
  <c r="J359" i="3"/>
  <c r="K359" i="3"/>
  <c r="J360" i="3"/>
  <c r="K360" i="3"/>
  <c r="J361" i="3"/>
  <c r="K361" i="3"/>
  <c r="J362" i="3"/>
  <c r="K362" i="3"/>
  <c r="J363" i="3"/>
  <c r="K363" i="3"/>
  <c r="J364" i="3"/>
  <c r="K364" i="3"/>
  <c r="J365" i="3"/>
  <c r="K365" i="3"/>
  <c r="J366" i="3"/>
  <c r="K366" i="3"/>
  <c r="J367" i="3"/>
  <c r="K367" i="3"/>
  <c r="J368" i="3"/>
  <c r="K368" i="3"/>
  <c r="J369" i="3"/>
  <c r="K369" i="3"/>
  <c r="J370" i="3"/>
  <c r="K370" i="3"/>
  <c r="J371" i="3"/>
  <c r="K371" i="3"/>
  <c r="J372" i="3"/>
  <c r="K372" i="3"/>
  <c r="J373" i="3"/>
  <c r="K373" i="3"/>
  <c r="J374" i="3"/>
  <c r="K374" i="3"/>
  <c r="J375" i="3"/>
  <c r="K375" i="3"/>
  <c r="J376" i="3"/>
  <c r="K376" i="3"/>
  <c r="J377" i="3"/>
  <c r="K377" i="3"/>
  <c r="J378" i="3"/>
  <c r="K378" i="3"/>
  <c r="J379" i="3"/>
  <c r="K379" i="3"/>
  <c r="J380" i="3"/>
  <c r="K380" i="3"/>
  <c r="J381" i="3"/>
  <c r="K381" i="3"/>
  <c r="J382" i="3"/>
  <c r="K382" i="3"/>
  <c r="J383" i="3"/>
  <c r="K383" i="3"/>
  <c r="J384" i="3"/>
  <c r="K384" i="3"/>
  <c r="J385" i="3"/>
  <c r="K385" i="3"/>
  <c r="J386" i="3"/>
  <c r="K386" i="3"/>
  <c r="J387" i="3"/>
  <c r="K387" i="3"/>
  <c r="J388" i="3"/>
  <c r="K388" i="3"/>
  <c r="J389" i="3"/>
  <c r="K389" i="3"/>
  <c r="J390" i="3"/>
  <c r="K390" i="3"/>
  <c r="J391" i="3"/>
  <c r="K391" i="3"/>
  <c r="J392" i="3"/>
  <c r="K392" i="3"/>
  <c r="J393" i="3"/>
  <c r="K393" i="3"/>
  <c r="J394" i="3"/>
  <c r="K394" i="3"/>
  <c r="J395" i="3"/>
  <c r="K395" i="3"/>
  <c r="J396" i="3"/>
  <c r="K396" i="3"/>
  <c r="J397" i="3"/>
  <c r="K397" i="3"/>
  <c r="J398" i="3"/>
  <c r="K398" i="3"/>
  <c r="J399" i="3"/>
  <c r="K399" i="3"/>
  <c r="J400" i="3"/>
  <c r="K400" i="3"/>
  <c r="J401" i="3"/>
  <c r="K401" i="3"/>
  <c r="J402" i="3"/>
  <c r="K402" i="3"/>
  <c r="J403" i="3"/>
  <c r="K403" i="3"/>
  <c r="J404" i="3"/>
  <c r="K404" i="3"/>
  <c r="J405" i="3"/>
  <c r="K405" i="3"/>
  <c r="J406" i="3"/>
  <c r="K406" i="3"/>
  <c r="L15" i="3" l="1"/>
  <c r="S9" i="6" l="1"/>
  <c r="F136" i="4"/>
  <c r="G136" i="4"/>
  <c r="H136" i="4"/>
  <c r="I136" i="4"/>
  <c r="L136" i="4"/>
  <c r="M136" i="4"/>
  <c r="N136" i="4"/>
  <c r="O136" i="4"/>
  <c r="R136" i="4"/>
  <c r="S136" i="4"/>
  <c r="T136" i="4"/>
  <c r="U136" i="4"/>
  <c r="W136" i="4"/>
  <c r="Z136" i="4"/>
  <c r="AA136" i="4"/>
  <c r="AB136" i="4"/>
  <c r="AC136" i="4"/>
  <c r="F137" i="4"/>
  <c r="G137" i="4"/>
  <c r="H137" i="4"/>
  <c r="I137" i="4"/>
  <c r="L137" i="4"/>
  <c r="M137" i="4"/>
  <c r="N137" i="4"/>
  <c r="O137" i="4"/>
  <c r="R137" i="4"/>
  <c r="S137" i="4"/>
  <c r="T137" i="4"/>
  <c r="U137" i="4"/>
  <c r="W137" i="4"/>
  <c r="Z137" i="4"/>
  <c r="AA137" i="4"/>
  <c r="AB137" i="4"/>
  <c r="AC137" i="4"/>
  <c r="AB4" i="4"/>
  <c r="AA4" i="4"/>
  <c r="AC4" i="4"/>
  <c r="P13" i="6"/>
  <c r="P14" i="6" s="1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U18" i="6" l="1"/>
  <c r="T18" i="6"/>
  <c r="F290" i="4" l="1"/>
  <c r="G290" i="4"/>
  <c r="H290" i="4"/>
  <c r="I290" i="4"/>
  <c r="F291" i="4"/>
  <c r="G291" i="4"/>
  <c r="H291" i="4"/>
  <c r="I291" i="4"/>
  <c r="F292" i="4"/>
  <c r="G292" i="4"/>
  <c r="H292" i="4"/>
  <c r="I292" i="4"/>
  <c r="F293" i="4"/>
  <c r="G293" i="4"/>
  <c r="H293" i="4"/>
  <c r="I293" i="4"/>
  <c r="F294" i="4"/>
  <c r="G294" i="4"/>
  <c r="H294" i="4"/>
  <c r="I294" i="4"/>
  <c r="F295" i="4"/>
  <c r="G295" i="4"/>
  <c r="H295" i="4"/>
  <c r="I295" i="4"/>
  <c r="L276" i="4" l="1"/>
  <c r="M276" i="4"/>
  <c r="N276" i="4"/>
  <c r="O276" i="4"/>
  <c r="L277" i="4"/>
  <c r="M277" i="4"/>
  <c r="N277" i="4"/>
  <c r="O277" i="4"/>
  <c r="L278" i="4"/>
  <c r="M278" i="4"/>
  <c r="N278" i="4"/>
  <c r="O278" i="4"/>
  <c r="J408" i="3" l="1"/>
  <c r="K408" i="3"/>
  <c r="P408" i="3"/>
  <c r="Q408" i="3"/>
  <c r="R408" i="3"/>
  <c r="T408" i="3"/>
  <c r="J409" i="3"/>
  <c r="K409" i="3"/>
  <c r="P409" i="3"/>
  <c r="Q409" i="3"/>
  <c r="R409" i="3"/>
  <c r="T409" i="3"/>
  <c r="J410" i="3"/>
  <c r="K410" i="3"/>
  <c r="P410" i="3"/>
  <c r="Q410" i="3"/>
  <c r="R410" i="3"/>
  <c r="T410" i="3"/>
  <c r="J411" i="3"/>
  <c r="K411" i="3"/>
  <c r="P411" i="3"/>
  <c r="Q411" i="3"/>
  <c r="R411" i="3"/>
  <c r="T411" i="3"/>
  <c r="J412" i="3"/>
  <c r="K412" i="3"/>
  <c r="P412" i="3"/>
  <c r="Q412" i="3"/>
  <c r="R412" i="3"/>
  <c r="T412" i="3"/>
  <c r="J413" i="3"/>
  <c r="K413" i="3"/>
  <c r="P413" i="3"/>
  <c r="Q413" i="3"/>
  <c r="R413" i="3"/>
  <c r="T413" i="3"/>
  <c r="J414" i="3"/>
  <c r="K414" i="3"/>
  <c r="P414" i="3"/>
  <c r="Q414" i="3"/>
  <c r="R414" i="3"/>
  <c r="T414" i="3"/>
  <c r="J415" i="3"/>
  <c r="K415" i="3"/>
  <c r="P415" i="3"/>
  <c r="Q415" i="3"/>
  <c r="R415" i="3"/>
  <c r="T415" i="3"/>
  <c r="J416" i="3"/>
  <c r="K416" i="3"/>
  <c r="P416" i="3"/>
  <c r="Q416" i="3"/>
  <c r="R416" i="3"/>
  <c r="T416" i="3"/>
  <c r="P9" i="6" l="1"/>
  <c r="P10" i="6" s="1"/>
  <c r="F260" i="4"/>
  <c r="G260" i="4"/>
  <c r="H260" i="4"/>
  <c r="I260" i="4"/>
  <c r="F261" i="4"/>
  <c r="G261" i="4"/>
  <c r="H261" i="4"/>
  <c r="I261" i="4"/>
  <c r="F262" i="4"/>
  <c r="G262" i="4"/>
  <c r="H262" i="4"/>
  <c r="I262" i="4"/>
  <c r="F263" i="4"/>
  <c r="G263" i="4"/>
  <c r="H263" i="4"/>
  <c r="I263" i="4"/>
  <c r="F264" i="4"/>
  <c r="G264" i="4"/>
  <c r="H264" i="4"/>
  <c r="I264" i="4"/>
  <c r="F265" i="4"/>
  <c r="G265" i="4"/>
  <c r="H265" i="4"/>
  <c r="I265" i="4"/>
  <c r="F266" i="4"/>
  <c r="G266" i="4"/>
  <c r="H266" i="4"/>
  <c r="I266" i="4"/>
  <c r="F267" i="4"/>
  <c r="G267" i="4"/>
  <c r="H267" i="4"/>
  <c r="I267" i="4"/>
  <c r="F268" i="4"/>
  <c r="G268" i="4"/>
  <c r="H268" i="4"/>
  <c r="I268" i="4"/>
  <c r="F237" i="4" l="1"/>
  <c r="G237" i="4"/>
  <c r="H237" i="4"/>
  <c r="I237" i="4"/>
  <c r="F238" i="4"/>
  <c r="G238" i="4"/>
  <c r="H238" i="4"/>
  <c r="I238" i="4"/>
  <c r="F239" i="4"/>
  <c r="G239" i="4"/>
  <c r="H239" i="4"/>
  <c r="I239" i="4"/>
  <c r="F240" i="4"/>
  <c r="G240" i="4"/>
  <c r="H240" i="4"/>
  <c r="I240" i="4"/>
  <c r="F241" i="4"/>
  <c r="G241" i="4"/>
  <c r="H241" i="4"/>
  <c r="I241" i="4"/>
  <c r="F242" i="4"/>
  <c r="G242" i="4"/>
  <c r="H242" i="4"/>
  <c r="I242" i="4"/>
  <c r="F243" i="4"/>
  <c r="G243" i="4"/>
  <c r="H243" i="4"/>
  <c r="I243" i="4"/>
  <c r="N160" i="21" l="1"/>
  <c r="N164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1" i="21"/>
  <c r="N162" i="21"/>
  <c r="N163" i="21"/>
  <c r="N165" i="21"/>
  <c r="N166" i="21"/>
  <c r="N167" i="21"/>
  <c r="N168" i="21"/>
  <c r="N169" i="21"/>
  <c r="N170" i="21"/>
  <c r="N171" i="21"/>
  <c r="F3" i="4"/>
  <c r="G3" i="4"/>
  <c r="H3" i="4"/>
  <c r="I3" i="4"/>
  <c r="L3" i="4"/>
  <c r="M3" i="4"/>
  <c r="N3" i="4"/>
  <c r="O3" i="4"/>
  <c r="R3" i="4"/>
  <c r="S3" i="4"/>
  <c r="T3" i="4"/>
  <c r="U3" i="4"/>
  <c r="W3" i="4"/>
  <c r="Z3" i="4"/>
  <c r="AA3" i="4"/>
  <c r="AB3" i="4"/>
  <c r="AC3" i="4"/>
  <c r="AH3" i="4"/>
  <c r="AK3" i="4"/>
  <c r="AA5" i="4"/>
  <c r="AB5" i="4"/>
  <c r="AC5" i="4"/>
  <c r="AA6" i="4"/>
  <c r="AB6" i="4"/>
  <c r="AC6" i="4"/>
  <c r="AA7" i="4"/>
  <c r="AB7" i="4"/>
  <c r="AC7" i="4"/>
  <c r="AA8" i="4"/>
  <c r="AB8" i="4"/>
  <c r="AC8" i="4"/>
  <c r="AA9" i="4"/>
  <c r="AB9" i="4"/>
  <c r="AC9" i="4"/>
  <c r="AA10" i="4"/>
  <c r="AB10" i="4"/>
  <c r="AA11" i="4"/>
  <c r="AB11" i="4"/>
  <c r="AC11" i="4"/>
  <c r="AA12" i="4"/>
  <c r="AB12" i="4"/>
  <c r="AC12" i="4"/>
  <c r="AA13" i="4"/>
  <c r="AB13" i="4"/>
  <c r="AC13" i="4"/>
  <c r="AA14" i="4"/>
  <c r="AB14" i="4"/>
  <c r="AC14" i="4"/>
  <c r="AA15" i="4"/>
  <c r="AB15" i="4"/>
  <c r="AC15" i="4"/>
  <c r="AA16" i="4"/>
  <c r="AB16" i="4"/>
  <c r="AC16" i="4"/>
  <c r="AA17" i="4"/>
  <c r="AB17" i="4"/>
  <c r="AC17" i="4"/>
  <c r="AA18" i="4"/>
  <c r="AB18" i="4"/>
  <c r="AC18" i="4"/>
  <c r="AA19" i="4"/>
  <c r="AB19" i="4"/>
  <c r="AC19" i="4"/>
  <c r="AA20" i="4"/>
  <c r="AB20" i="4"/>
  <c r="AC20" i="4"/>
  <c r="AA21" i="4"/>
  <c r="AB21" i="4"/>
  <c r="AC21" i="4"/>
  <c r="AA22" i="4"/>
  <c r="AB22" i="4"/>
  <c r="AC22" i="4"/>
  <c r="AA23" i="4"/>
  <c r="AB23" i="4"/>
  <c r="AC23" i="4"/>
  <c r="AA24" i="4"/>
  <c r="AB24" i="4"/>
  <c r="AC24" i="4"/>
  <c r="AA25" i="4"/>
  <c r="AB25" i="4"/>
  <c r="AC25" i="4"/>
  <c r="AA26" i="4"/>
  <c r="AB26" i="4"/>
  <c r="AC26" i="4"/>
  <c r="AA27" i="4"/>
  <c r="AB27" i="4"/>
  <c r="AC27" i="4"/>
  <c r="AA28" i="4"/>
  <c r="AB28" i="4"/>
  <c r="AC28" i="4"/>
  <c r="AA29" i="4"/>
  <c r="AB29" i="4"/>
  <c r="AC29" i="4"/>
  <c r="AA30" i="4"/>
  <c r="AB30" i="4"/>
  <c r="AC30" i="4"/>
  <c r="AA31" i="4"/>
  <c r="AB31" i="4"/>
  <c r="AC31" i="4"/>
  <c r="AA32" i="4"/>
  <c r="AB32" i="4"/>
  <c r="AC32" i="4"/>
  <c r="AA33" i="4"/>
  <c r="AB33" i="4"/>
  <c r="AC33" i="4"/>
  <c r="AA34" i="4"/>
  <c r="AB34" i="4"/>
  <c r="AC34" i="4"/>
  <c r="AA35" i="4"/>
  <c r="AB35" i="4"/>
  <c r="AC35" i="4"/>
  <c r="AA36" i="4"/>
  <c r="AB36" i="4"/>
  <c r="AC36" i="4"/>
  <c r="AA37" i="4"/>
  <c r="AB37" i="4"/>
  <c r="AC37" i="4"/>
  <c r="AA38" i="4"/>
  <c r="AB38" i="4"/>
  <c r="AC38" i="4"/>
  <c r="AA39" i="4"/>
  <c r="AB39" i="4"/>
  <c r="AC39" i="4"/>
  <c r="AA40" i="4"/>
  <c r="AB40" i="4"/>
  <c r="AC40" i="4"/>
  <c r="AA41" i="4"/>
  <c r="AB41" i="4"/>
  <c r="AC41" i="4"/>
  <c r="AA42" i="4"/>
  <c r="AB42" i="4"/>
  <c r="AC42" i="4"/>
  <c r="AA43" i="4"/>
  <c r="AB43" i="4"/>
  <c r="AC43" i="4"/>
  <c r="AA44" i="4"/>
  <c r="AB44" i="4"/>
  <c r="AC44" i="4"/>
  <c r="AA45" i="4"/>
  <c r="AB45" i="4"/>
  <c r="AC45" i="4"/>
  <c r="AA46" i="4"/>
  <c r="AB46" i="4"/>
  <c r="AC46" i="4"/>
  <c r="AA47" i="4"/>
  <c r="AB47" i="4"/>
  <c r="AC47" i="4"/>
  <c r="AA48" i="4"/>
  <c r="AB48" i="4"/>
  <c r="AC48" i="4"/>
  <c r="AA49" i="4"/>
  <c r="AB49" i="4"/>
  <c r="AC49" i="4"/>
  <c r="AA50" i="4"/>
  <c r="AB50" i="4"/>
  <c r="AC50" i="4"/>
  <c r="AA51" i="4"/>
  <c r="AB51" i="4"/>
  <c r="AC51" i="4"/>
  <c r="AA52" i="4"/>
  <c r="AB52" i="4"/>
  <c r="AC52" i="4"/>
  <c r="AA53" i="4"/>
  <c r="AB53" i="4"/>
  <c r="AC53" i="4"/>
  <c r="AA54" i="4"/>
  <c r="AB54" i="4"/>
  <c r="AC54" i="4"/>
  <c r="AA55" i="4"/>
  <c r="AB55" i="4"/>
  <c r="AC55" i="4"/>
  <c r="AA56" i="4"/>
  <c r="AB56" i="4"/>
  <c r="AC56" i="4"/>
  <c r="AA57" i="4"/>
  <c r="AB57" i="4"/>
  <c r="AC57" i="4"/>
  <c r="AA58" i="4"/>
  <c r="AB58" i="4"/>
  <c r="AC58" i="4"/>
  <c r="AA59" i="4"/>
  <c r="AB59" i="4"/>
  <c r="AC59" i="4"/>
  <c r="F60" i="4"/>
  <c r="G60" i="4"/>
  <c r="H60" i="4"/>
  <c r="I60" i="4"/>
  <c r="W60" i="4" s="1"/>
  <c r="Z60" i="4" s="1"/>
  <c r="AA60" i="4"/>
  <c r="AB60" i="4"/>
  <c r="AC60" i="4"/>
  <c r="W61" i="4"/>
  <c r="Z61" i="4" s="1"/>
  <c r="AA61" i="4"/>
  <c r="AB61" i="4"/>
  <c r="W62" i="4"/>
  <c r="Z62" i="4" s="1"/>
  <c r="AA62" i="4"/>
  <c r="AB62" i="4"/>
  <c r="AC62" i="4"/>
  <c r="W63" i="4"/>
  <c r="Z63" i="4" s="1"/>
  <c r="AA63" i="4"/>
  <c r="AB63" i="4"/>
  <c r="AC63" i="4"/>
  <c r="W65" i="4"/>
  <c r="Z65" i="4" s="1"/>
  <c r="AA65" i="4"/>
  <c r="AB65" i="4"/>
  <c r="AC65" i="4"/>
  <c r="W66" i="4"/>
  <c r="Z66" i="4" s="1"/>
  <c r="AA66" i="4"/>
  <c r="AB66" i="4"/>
  <c r="AC66" i="4"/>
  <c r="W67" i="4"/>
  <c r="Z67" i="4" s="1"/>
  <c r="AA67" i="4"/>
  <c r="AB67" i="4"/>
  <c r="AC67" i="4"/>
  <c r="R68" i="4"/>
  <c r="S68" i="4"/>
  <c r="T68" i="4"/>
  <c r="U68" i="4"/>
  <c r="AA68" i="4"/>
  <c r="AB68" i="4"/>
  <c r="AC68" i="4"/>
  <c r="R69" i="4"/>
  <c r="S69" i="4"/>
  <c r="T69" i="4"/>
  <c r="U69" i="4"/>
  <c r="AA69" i="4"/>
  <c r="AB69" i="4"/>
  <c r="AC69" i="4"/>
  <c r="R70" i="4"/>
  <c r="S70" i="4"/>
  <c r="T70" i="4"/>
  <c r="U70" i="4"/>
  <c r="AA70" i="4"/>
  <c r="AB70" i="4"/>
  <c r="AC70" i="4"/>
  <c r="R71" i="4"/>
  <c r="S71" i="4"/>
  <c r="T71" i="4"/>
  <c r="U71" i="4"/>
  <c r="AA71" i="4"/>
  <c r="AB71" i="4"/>
  <c r="AC71" i="4"/>
  <c r="R72" i="4"/>
  <c r="S72" i="4"/>
  <c r="T72" i="4"/>
  <c r="U72" i="4"/>
  <c r="AA72" i="4"/>
  <c r="AB72" i="4"/>
  <c r="AC72" i="4"/>
  <c r="R73" i="4"/>
  <c r="S73" i="4"/>
  <c r="T73" i="4"/>
  <c r="U73" i="4"/>
  <c r="AA73" i="4"/>
  <c r="AB73" i="4"/>
  <c r="AC73" i="4"/>
  <c r="F74" i="4"/>
  <c r="G74" i="4"/>
  <c r="H74" i="4"/>
  <c r="I74" i="4"/>
  <c r="R74" i="4"/>
  <c r="S74" i="4"/>
  <c r="T74" i="4"/>
  <c r="U74" i="4"/>
  <c r="AA74" i="4"/>
  <c r="AB74" i="4"/>
  <c r="AC74" i="4"/>
  <c r="F75" i="4"/>
  <c r="G75" i="4"/>
  <c r="H75" i="4"/>
  <c r="I75" i="4"/>
  <c r="R75" i="4"/>
  <c r="S75" i="4"/>
  <c r="T75" i="4"/>
  <c r="U75" i="4"/>
  <c r="AA75" i="4"/>
  <c r="AB75" i="4"/>
  <c r="AC75" i="4"/>
  <c r="F76" i="4"/>
  <c r="G76" i="4"/>
  <c r="H76" i="4"/>
  <c r="I76" i="4"/>
  <c r="R76" i="4"/>
  <c r="S76" i="4"/>
  <c r="T76" i="4"/>
  <c r="U76" i="4"/>
  <c r="AA76" i="4"/>
  <c r="AB76" i="4"/>
  <c r="AC76" i="4"/>
  <c r="F77" i="4"/>
  <c r="G77" i="4"/>
  <c r="H77" i="4"/>
  <c r="I77" i="4"/>
  <c r="R77" i="4"/>
  <c r="S77" i="4"/>
  <c r="T77" i="4"/>
  <c r="U77" i="4"/>
  <c r="AA77" i="4"/>
  <c r="AB77" i="4"/>
  <c r="AC77" i="4"/>
  <c r="F78" i="4"/>
  <c r="G78" i="4"/>
  <c r="H78" i="4"/>
  <c r="I78" i="4"/>
  <c r="R78" i="4"/>
  <c r="S78" i="4"/>
  <c r="T78" i="4"/>
  <c r="U78" i="4"/>
  <c r="AA78" i="4"/>
  <c r="AB78" i="4"/>
  <c r="AC78" i="4"/>
  <c r="F79" i="4"/>
  <c r="G79" i="4"/>
  <c r="H79" i="4"/>
  <c r="I79" i="4"/>
  <c r="R79" i="4"/>
  <c r="S79" i="4"/>
  <c r="T79" i="4"/>
  <c r="U79" i="4"/>
  <c r="AA79" i="4"/>
  <c r="AB79" i="4"/>
  <c r="AC79" i="4"/>
  <c r="F80" i="4"/>
  <c r="G80" i="4"/>
  <c r="H80" i="4"/>
  <c r="I80" i="4"/>
  <c r="R80" i="4"/>
  <c r="S80" i="4"/>
  <c r="T80" i="4"/>
  <c r="U80" i="4"/>
  <c r="AA80" i="4"/>
  <c r="AB80" i="4"/>
  <c r="AC80" i="4"/>
  <c r="F81" i="4"/>
  <c r="G81" i="4"/>
  <c r="H81" i="4"/>
  <c r="I81" i="4"/>
  <c r="R81" i="4"/>
  <c r="S81" i="4"/>
  <c r="T81" i="4"/>
  <c r="U81" i="4"/>
  <c r="AA81" i="4"/>
  <c r="AB81" i="4"/>
  <c r="AC81" i="4"/>
  <c r="F82" i="4"/>
  <c r="G82" i="4"/>
  <c r="H82" i="4"/>
  <c r="I82" i="4"/>
  <c r="R82" i="4"/>
  <c r="S82" i="4"/>
  <c r="T82" i="4"/>
  <c r="U82" i="4"/>
  <c r="AA82" i="4"/>
  <c r="AB82" i="4"/>
  <c r="AC82" i="4"/>
  <c r="F83" i="4"/>
  <c r="G83" i="4"/>
  <c r="H83" i="4"/>
  <c r="I83" i="4"/>
  <c r="R83" i="4"/>
  <c r="S83" i="4"/>
  <c r="T83" i="4"/>
  <c r="U83" i="4"/>
  <c r="AA83" i="4"/>
  <c r="AB83" i="4"/>
  <c r="AC83" i="4"/>
  <c r="F84" i="4"/>
  <c r="G84" i="4"/>
  <c r="H84" i="4"/>
  <c r="I84" i="4"/>
  <c r="R84" i="4"/>
  <c r="S84" i="4"/>
  <c r="T84" i="4"/>
  <c r="U84" i="4"/>
  <c r="AA84" i="4"/>
  <c r="AB84" i="4"/>
  <c r="AC84" i="4"/>
  <c r="F85" i="4"/>
  <c r="G85" i="4"/>
  <c r="H85" i="4"/>
  <c r="I85" i="4"/>
  <c r="R85" i="4"/>
  <c r="S85" i="4"/>
  <c r="T85" i="4"/>
  <c r="U85" i="4"/>
  <c r="AA85" i="4"/>
  <c r="AB85" i="4"/>
  <c r="AC85" i="4"/>
  <c r="F86" i="4"/>
  <c r="G86" i="4"/>
  <c r="H86" i="4"/>
  <c r="I86" i="4"/>
  <c r="L86" i="4"/>
  <c r="M86" i="4"/>
  <c r="N86" i="4"/>
  <c r="O86" i="4"/>
  <c r="R86" i="4"/>
  <c r="S86" i="4"/>
  <c r="T86" i="4"/>
  <c r="U86" i="4"/>
  <c r="AA86" i="4"/>
  <c r="AB86" i="4"/>
  <c r="AC86" i="4"/>
  <c r="F87" i="4"/>
  <c r="G87" i="4"/>
  <c r="H87" i="4"/>
  <c r="I87" i="4"/>
  <c r="L87" i="4"/>
  <c r="M87" i="4"/>
  <c r="N87" i="4"/>
  <c r="O87" i="4"/>
  <c r="R87" i="4"/>
  <c r="S87" i="4"/>
  <c r="T87" i="4"/>
  <c r="U87" i="4"/>
  <c r="AA87" i="4"/>
  <c r="AB87" i="4"/>
  <c r="AC87" i="4"/>
  <c r="F88" i="4"/>
  <c r="G88" i="4"/>
  <c r="H88" i="4"/>
  <c r="I88" i="4"/>
  <c r="L88" i="4"/>
  <c r="M88" i="4"/>
  <c r="N88" i="4"/>
  <c r="O88" i="4"/>
  <c r="R88" i="4"/>
  <c r="S88" i="4"/>
  <c r="T88" i="4"/>
  <c r="U88" i="4"/>
  <c r="AA88" i="4"/>
  <c r="AB88" i="4"/>
  <c r="AC88" i="4"/>
  <c r="F89" i="4"/>
  <c r="G89" i="4"/>
  <c r="H89" i="4"/>
  <c r="I89" i="4"/>
  <c r="L89" i="4"/>
  <c r="M89" i="4"/>
  <c r="N89" i="4"/>
  <c r="O89" i="4"/>
  <c r="R89" i="4"/>
  <c r="S89" i="4"/>
  <c r="T89" i="4"/>
  <c r="U89" i="4"/>
  <c r="AA89" i="4"/>
  <c r="AB89" i="4"/>
  <c r="AC89" i="4"/>
  <c r="F90" i="4"/>
  <c r="G90" i="4"/>
  <c r="H90" i="4"/>
  <c r="I90" i="4"/>
  <c r="L90" i="4"/>
  <c r="M90" i="4"/>
  <c r="N90" i="4"/>
  <c r="O90" i="4"/>
  <c r="R90" i="4"/>
  <c r="S90" i="4"/>
  <c r="T90" i="4"/>
  <c r="U90" i="4"/>
  <c r="AA90" i="4"/>
  <c r="AB90" i="4"/>
  <c r="AC90" i="4"/>
  <c r="F91" i="4"/>
  <c r="G91" i="4"/>
  <c r="H91" i="4"/>
  <c r="I91" i="4"/>
  <c r="L91" i="4"/>
  <c r="M91" i="4"/>
  <c r="N91" i="4"/>
  <c r="O91" i="4"/>
  <c r="R91" i="4"/>
  <c r="S91" i="4"/>
  <c r="T91" i="4"/>
  <c r="U91" i="4"/>
  <c r="AA91" i="4"/>
  <c r="AB91" i="4"/>
  <c r="AC91" i="4"/>
  <c r="F92" i="4"/>
  <c r="G92" i="4"/>
  <c r="H92" i="4"/>
  <c r="I92" i="4"/>
  <c r="L92" i="4"/>
  <c r="M92" i="4"/>
  <c r="N92" i="4"/>
  <c r="O92" i="4"/>
  <c r="R92" i="4"/>
  <c r="S92" i="4"/>
  <c r="T92" i="4"/>
  <c r="U92" i="4"/>
  <c r="AA92" i="4"/>
  <c r="AB92" i="4"/>
  <c r="AC92" i="4"/>
  <c r="F93" i="4"/>
  <c r="G93" i="4"/>
  <c r="H93" i="4"/>
  <c r="I93" i="4"/>
  <c r="L93" i="4"/>
  <c r="M93" i="4"/>
  <c r="N93" i="4"/>
  <c r="O93" i="4"/>
  <c r="R93" i="4"/>
  <c r="S93" i="4"/>
  <c r="T93" i="4"/>
  <c r="U93" i="4"/>
  <c r="AA93" i="4"/>
  <c r="AB93" i="4"/>
  <c r="AC93" i="4"/>
  <c r="F94" i="4"/>
  <c r="G94" i="4"/>
  <c r="H94" i="4"/>
  <c r="I94" i="4"/>
  <c r="L94" i="4"/>
  <c r="M94" i="4"/>
  <c r="N94" i="4"/>
  <c r="O94" i="4"/>
  <c r="R94" i="4"/>
  <c r="S94" i="4"/>
  <c r="T94" i="4"/>
  <c r="U94" i="4"/>
  <c r="AA94" i="4"/>
  <c r="AB94" i="4"/>
  <c r="AC94" i="4"/>
  <c r="F95" i="4"/>
  <c r="G95" i="4"/>
  <c r="H95" i="4"/>
  <c r="I95" i="4"/>
  <c r="L95" i="4"/>
  <c r="M95" i="4"/>
  <c r="N95" i="4"/>
  <c r="O95" i="4"/>
  <c r="R95" i="4"/>
  <c r="S95" i="4"/>
  <c r="T95" i="4"/>
  <c r="U95" i="4"/>
  <c r="AA95" i="4"/>
  <c r="AB95" i="4"/>
  <c r="AC95" i="4"/>
  <c r="F96" i="4"/>
  <c r="G96" i="4"/>
  <c r="H96" i="4"/>
  <c r="I96" i="4"/>
  <c r="L96" i="4"/>
  <c r="M96" i="4"/>
  <c r="N96" i="4"/>
  <c r="O96" i="4"/>
  <c r="R96" i="4"/>
  <c r="S96" i="4"/>
  <c r="T96" i="4"/>
  <c r="U96" i="4"/>
  <c r="AA96" i="4"/>
  <c r="AB96" i="4"/>
  <c r="AC96" i="4"/>
  <c r="F97" i="4"/>
  <c r="G97" i="4"/>
  <c r="H97" i="4"/>
  <c r="I97" i="4"/>
  <c r="L97" i="4"/>
  <c r="M97" i="4"/>
  <c r="N97" i="4"/>
  <c r="O97" i="4"/>
  <c r="R97" i="4"/>
  <c r="S97" i="4"/>
  <c r="T97" i="4"/>
  <c r="U97" i="4"/>
  <c r="AA97" i="4"/>
  <c r="AB97" i="4"/>
  <c r="AC97" i="4"/>
  <c r="F98" i="4"/>
  <c r="G98" i="4"/>
  <c r="H98" i="4"/>
  <c r="I98" i="4"/>
  <c r="L98" i="4"/>
  <c r="M98" i="4"/>
  <c r="N98" i="4"/>
  <c r="O98" i="4"/>
  <c r="R98" i="4"/>
  <c r="S98" i="4"/>
  <c r="T98" i="4"/>
  <c r="U98" i="4"/>
  <c r="AA98" i="4"/>
  <c r="AB98" i="4"/>
  <c r="AC98" i="4"/>
  <c r="F99" i="4"/>
  <c r="G99" i="4"/>
  <c r="H99" i="4"/>
  <c r="I99" i="4"/>
  <c r="L99" i="4"/>
  <c r="M99" i="4"/>
  <c r="N99" i="4"/>
  <c r="O99" i="4"/>
  <c r="R99" i="4"/>
  <c r="S99" i="4"/>
  <c r="T99" i="4"/>
  <c r="U99" i="4"/>
  <c r="AA99" i="4"/>
  <c r="AB99" i="4"/>
  <c r="AC99" i="4"/>
  <c r="F100" i="4"/>
  <c r="G100" i="4"/>
  <c r="H100" i="4"/>
  <c r="I100" i="4"/>
  <c r="L100" i="4"/>
  <c r="M100" i="4"/>
  <c r="N100" i="4"/>
  <c r="O100" i="4"/>
  <c r="R100" i="4"/>
  <c r="S100" i="4"/>
  <c r="T100" i="4"/>
  <c r="U100" i="4"/>
  <c r="AA100" i="4"/>
  <c r="AB100" i="4"/>
  <c r="AC100" i="4"/>
  <c r="F101" i="4"/>
  <c r="G101" i="4"/>
  <c r="H101" i="4"/>
  <c r="I101" i="4"/>
  <c r="L101" i="4"/>
  <c r="M101" i="4"/>
  <c r="N101" i="4"/>
  <c r="O101" i="4"/>
  <c r="R101" i="4"/>
  <c r="S101" i="4"/>
  <c r="T101" i="4"/>
  <c r="U101" i="4"/>
  <c r="AA101" i="4"/>
  <c r="AB101" i="4"/>
  <c r="AC101" i="4"/>
  <c r="F102" i="4"/>
  <c r="G102" i="4"/>
  <c r="H102" i="4"/>
  <c r="I102" i="4"/>
  <c r="L102" i="4"/>
  <c r="M102" i="4"/>
  <c r="N102" i="4"/>
  <c r="O102" i="4"/>
  <c r="R102" i="4"/>
  <c r="S102" i="4"/>
  <c r="T102" i="4"/>
  <c r="U102" i="4"/>
  <c r="AA102" i="4"/>
  <c r="AB102" i="4"/>
  <c r="AC102" i="4"/>
  <c r="F103" i="4"/>
  <c r="G103" i="4"/>
  <c r="H103" i="4"/>
  <c r="I103" i="4"/>
  <c r="L103" i="4"/>
  <c r="M103" i="4"/>
  <c r="N103" i="4"/>
  <c r="O103" i="4"/>
  <c r="R103" i="4"/>
  <c r="S103" i="4"/>
  <c r="T103" i="4"/>
  <c r="U103" i="4"/>
  <c r="W103" i="4"/>
  <c r="Z103" i="4"/>
  <c r="AA103" i="4"/>
  <c r="AB103" i="4"/>
  <c r="AC103" i="4"/>
  <c r="F104" i="4"/>
  <c r="G104" i="4"/>
  <c r="H104" i="4"/>
  <c r="I104" i="4"/>
  <c r="L104" i="4"/>
  <c r="M104" i="4"/>
  <c r="N104" i="4"/>
  <c r="O104" i="4"/>
  <c r="R104" i="4"/>
  <c r="S104" i="4"/>
  <c r="T104" i="4"/>
  <c r="U104" i="4"/>
  <c r="W104" i="4"/>
  <c r="Z104" i="4"/>
  <c r="AA104" i="4"/>
  <c r="AB104" i="4"/>
  <c r="AC104" i="4"/>
  <c r="F105" i="4"/>
  <c r="G105" i="4"/>
  <c r="H105" i="4"/>
  <c r="I105" i="4"/>
  <c r="L105" i="4"/>
  <c r="M105" i="4"/>
  <c r="N105" i="4"/>
  <c r="O105" i="4"/>
  <c r="R105" i="4"/>
  <c r="S105" i="4"/>
  <c r="T105" i="4"/>
  <c r="U105" i="4"/>
  <c r="W105" i="4"/>
  <c r="Z105" i="4"/>
  <c r="AA105" i="4"/>
  <c r="AB105" i="4"/>
  <c r="AC105" i="4"/>
  <c r="F106" i="4"/>
  <c r="G106" i="4"/>
  <c r="H106" i="4"/>
  <c r="I106" i="4"/>
  <c r="L106" i="4"/>
  <c r="M106" i="4"/>
  <c r="N106" i="4"/>
  <c r="O106" i="4"/>
  <c r="R106" i="4"/>
  <c r="S106" i="4"/>
  <c r="T106" i="4"/>
  <c r="U106" i="4"/>
  <c r="W106" i="4"/>
  <c r="Z106" i="4"/>
  <c r="AA106" i="4"/>
  <c r="AB106" i="4"/>
  <c r="AC106" i="4"/>
  <c r="F107" i="4"/>
  <c r="G107" i="4"/>
  <c r="H107" i="4"/>
  <c r="I107" i="4"/>
  <c r="L107" i="4"/>
  <c r="M107" i="4"/>
  <c r="N107" i="4"/>
  <c r="O107" i="4"/>
  <c r="R107" i="4"/>
  <c r="S107" i="4"/>
  <c r="T107" i="4"/>
  <c r="U107" i="4"/>
  <c r="W107" i="4"/>
  <c r="Z107" i="4"/>
  <c r="AA107" i="4"/>
  <c r="AB107" i="4"/>
  <c r="AC107" i="4"/>
  <c r="F108" i="4"/>
  <c r="G108" i="4"/>
  <c r="H108" i="4"/>
  <c r="I108" i="4"/>
  <c r="L108" i="4"/>
  <c r="M108" i="4"/>
  <c r="N108" i="4"/>
  <c r="O108" i="4"/>
  <c r="R108" i="4"/>
  <c r="S108" i="4"/>
  <c r="T108" i="4"/>
  <c r="U108" i="4"/>
  <c r="W108" i="4"/>
  <c r="Z108" i="4"/>
  <c r="AA108" i="4"/>
  <c r="AB108" i="4"/>
  <c r="AC108" i="4"/>
  <c r="F109" i="4"/>
  <c r="G109" i="4"/>
  <c r="H109" i="4"/>
  <c r="I109" i="4"/>
  <c r="L109" i="4"/>
  <c r="M109" i="4"/>
  <c r="N109" i="4"/>
  <c r="O109" i="4"/>
  <c r="R109" i="4"/>
  <c r="S109" i="4"/>
  <c r="T109" i="4"/>
  <c r="U109" i="4"/>
  <c r="W109" i="4"/>
  <c r="Z109" i="4"/>
  <c r="AA109" i="4"/>
  <c r="AB109" i="4"/>
  <c r="AC109" i="4"/>
  <c r="F110" i="4"/>
  <c r="G110" i="4"/>
  <c r="H110" i="4"/>
  <c r="I110" i="4"/>
  <c r="L110" i="4"/>
  <c r="M110" i="4"/>
  <c r="N110" i="4"/>
  <c r="O110" i="4"/>
  <c r="R110" i="4"/>
  <c r="S110" i="4"/>
  <c r="T110" i="4"/>
  <c r="U110" i="4"/>
  <c r="W110" i="4"/>
  <c r="Z110" i="4"/>
  <c r="AA110" i="4"/>
  <c r="AB110" i="4"/>
  <c r="AC110" i="4"/>
  <c r="F111" i="4"/>
  <c r="G111" i="4"/>
  <c r="H111" i="4"/>
  <c r="I111" i="4"/>
  <c r="L111" i="4"/>
  <c r="M111" i="4"/>
  <c r="N111" i="4"/>
  <c r="O111" i="4"/>
  <c r="R111" i="4"/>
  <c r="S111" i="4"/>
  <c r="T111" i="4"/>
  <c r="U111" i="4"/>
  <c r="W111" i="4"/>
  <c r="Z111" i="4"/>
  <c r="AA111" i="4"/>
  <c r="AB111" i="4"/>
  <c r="AC111" i="4"/>
  <c r="F112" i="4"/>
  <c r="G112" i="4"/>
  <c r="H112" i="4"/>
  <c r="I112" i="4"/>
  <c r="L112" i="4"/>
  <c r="M112" i="4"/>
  <c r="N112" i="4"/>
  <c r="O112" i="4"/>
  <c r="R112" i="4"/>
  <c r="S112" i="4"/>
  <c r="T112" i="4"/>
  <c r="U112" i="4"/>
  <c r="W112" i="4"/>
  <c r="Z112" i="4"/>
  <c r="AA112" i="4"/>
  <c r="AB112" i="4"/>
  <c r="AC112" i="4"/>
  <c r="F113" i="4"/>
  <c r="G113" i="4"/>
  <c r="H113" i="4"/>
  <c r="I113" i="4"/>
  <c r="L113" i="4"/>
  <c r="M113" i="4"/>
  <c r="N113" i="4"/>
  <c r="O113" i="4"/>
  <c r="R113" i="4"/>
  <c r="S113" i="4"/>
  <c r="T113" i="4"/>
  <c r="U113" i="4"/>
  <c r="W113" i="4"/>
  <c r="Z113" i="4"/>
  <c r="AA113" i="4"/>
  <c r="AB113" i="4"/>
  <c r="AC113" i="4"/>
  <c r="F114" i="4"/>
  <c r="G114" i="4"/>
  <c r="H114" i="4"/>
  <c r="I114" i="4"/>
  <c r="L114" i="4"/>
  <c r="M114" i="4"/>
  <c r="N114" i="4"/>
  <c r="O114" i="4"/>
  <c r="R114" i="4"/>
  <c r="S114" i="4"/>
  <c r="T114" i="4"/>
  <c r="U114" i="4"/>
  <c r="W114" i="4"/>
  <c r="Z114" i="4"/>
  <c r="AA114" i="4"/>
  <c r="AB114" i="4"/>
  <c r="AC114" i="4"/>
  <c r="F115" i="4"/>
  <c r="G115" i="4"/>
  <c r="H115" i="4"/>
  <c r="I115" i="4"/>
  <c r="L115" i="4"/>
  <c r="M115" i="4"/>
  <c r="N115" i="4"/>
  <c r="O115" i="4"/>
  <c r="R115" i="4"/>
  <c r="S115" i="4"/>
  <c r="T115" i="4"/>
  <c r="U115" i="4"/>
  <c r="W115" i="4"/>
  <c r="Z115" i="4"/>
  <c r="AA115" i="4"/>
  <c r="AB115" i="4"/>
  <c r="AC115" i="4"/>
  <c r="F116" i="4"/>
  <c r="G116" i="4"/>
  <c r="H116" i="4"/>
  <c r="I116" i="4"/>
  <c r="L116" i="4"/>
  <c r="M116" i="4"/>
  <c r="N116" i="4"/>
  <c r="O116" i="4"/>
  <c r="R116" i="4"/>
  <c r="S116" i="4"/>
  <c r="T116" i="4"/>
  <c r="U116" i="4"/>
  <c r="W116" i="4"/>
  <c r="Z116" i="4"/>
  <c r="AA116" i="4"/>
  <c r="AB116" i="4"/>
  <c r="AC116" i="4"/>
  <c r="F117" i="4"/>
  <c r="G117" i="4"/>
  <c r="H117" i="4"/>
  <c r="I117" i="4"/>
  <c r="L117" i="4"/>
  <c r="M117" i="4"/>
  <c r="N117" i="4"/>
  <c r="O117" i="4"/>
  <c r="R117" i="4"/>
  <c r="S117" i="4"/>
  <c r="T117" i="4"/>
  <c r="U117" i="4"/>
  <c r="W117" i="4"/>
  <c r="Z117" i="4"/>
  <c r="AA117" i="4"/>
  <c r="AB117" i="4"/>
  <c r="AC117" i="4"/>
  <c r="F118" i="4"/>
  <c r="G118" i="4"/>
  <c r="H118" i="4"/>
  <c r="I118" i="4"/>
  <c r="L118" i="4"/>
  <c r="M118" i="4"/>
  <c r="N118" i="4"/>
  <c r="O118" i="4"/>
  <c r="R118" i="4"/>
  <c r="S118" i="4"/>
  <c r="T118" i="4"/>
  <c r="U118" i="4"/>
  <c r="W118" i="4"/>
  <c r="Z118" i="4"/>
  <c r="AA118" i="4"/>
  <c r="AB118" i="4"/>
  <c r="AC118" i="4"/>
  <c r="F119" i="4"/>
  <c r="G119" i="4"/>
  <c r="H119" i="4"/>
  <c r="I119" i="4"/>
  <c r="L119" i="4"/>
  <c r="M119" i="4"/>
  <c r="N119" i="4"/>
  <c r="O119" i="4"/>
  <c r="R119" i="4"/>
  <c r="S119" i="4"/>
  <c r="T119" i="4"/>
  <c r="U119" i="4"/>
  <c r="W119" i="4"/>
  <c r="Z119" i="4"/>
  <c r="AA119" i="4"/>
  <c r="AB119" i="4"/>
  <c r="AC119" i="4"/>
  <c r="F120" i="4"/>
  <c r="G120" i="4"/>
  <c r="H120" i="4"/>
  <c r="I120" i="4"/>
  <c r="L120" i="4"/>
  <c r="M120" i="4"/>
  <c r="N120" i="4"/>
  <c r="O120" i="4"/>
  <c r="R120" i="4"/>
  <c r="S120" i="4"/>
  <c r="T120" i="4"/>
  <c r="U120" i="4"/>
  <c r="W120" i="4"/>
  <c r="Z120" i="4"/>
  <c r="AA120" i="4"/>
  <c r="AB120" i="4"/>
  <c r="AC120" i="4"/>
  <c r="F121" i="4"/>
  <c r="G121" i="4"/>
  <c r="H121" i="4"/>
  <c r="I121" i="4"/>
  <c r="L121" i="4"/>
  <c r="M121" i="4"/>
  <c r="N121" i="4"/>
  <c r="O121" i="4"/>
  <c r="R121" i="4"/>
  <c r="S121" i="4"/>
  <c r="T121" i="4"/>
  <c r="U121" i="4"/>
  <c r="W121" i="4"/>
  <c r="Z121" i="4"/>
  <c r="AA121" i="4"/>
  <c r="AB121" i="4"/>
  <c r="AC121" i="4"/>
  <c r="F122" i="4"/>
  <c r="G122" i="4"/>
  <c r="H122" i="4"/>
  <c r="I122" i="4"/>
  <c r="L122" i="4"/>
  <c r="M122" i="4"/>
  <c r="N122" i="4"/>
  <c r="O122" i="4"/>
  <c r="R122" i="4"/>
  <c r="S122" i="4"/>
  <c r="T122" i="4"/>
  <c r="U122" i="4"/>
  <c r="W122" i="4"/>
  <c r="Z122" i="4"/>
  <c r="AA122" i="4"/>
  <c r="AB122" i="4"/>
  <c r="AC122" i="4"/>
  <c r="F123" i="4"/>
  <c r="G123" i="4"/>
  <c r="H123" i="4"/>
  <c r="I123" i="4"/>
  <c r="L123" i="4"/>
  <c r="M123" i="4"/>
  <c r="N123" i="4"/>
  <c r="O123" i="4"/>
  <c r="R123" i="4"/>
  <c r="S123" i="4"/>
  <c r="T123" i="4"/>
  <c r="U123" i="4"/>
  <c r="W123" i="4"/>
  <c r="Z123" i="4"/>
  <c r="AA123" i="4"/>
  <c r="AB123" i="4"/>
  <c r="AC123" i="4"/>
  <c r="F124" i="4"/>
  <c r="G124" i="4"/>
  <c r="H124" i="4"/>
  <c r="I124" i="4"/>
  <c r="L124" i="4"/>
  <c r="M124" i="4"/>
  <c r="N124" i="4"/>
  <c r="O124" i="4"/>
  <c r="R124" i="4"/>
  <c r="S124" i="4"/>
  <c r="T124" i="4"/>
  <c r="U124" i="4"/>
  <c r="W124" i="4"/>
  <c r="Z124" i="4"/>
  <c r="AA124" i="4"/>
  <c r="AB124" i="4"/>
  <c r="AC124" i="4"/>
  <c r="F125" i="4"/>
  <c r="G125" i="4"/>
  <c r="H125" i="4"/>
  <c r="I125" i="4"/>
  <c r="L125" i="4"/>
  <c r="M125" i="4"/>
  <c r="N125" i="4"/>
  <c r="O125" i="4"/>
  <c r="R125" i="4"/>
  <c r="S125" i="4"/>
  <c r="T125" i="4"/>
  <c r="U125" i="4"/>
  <c r="W125" i="4"/>
  <c r="Z125" i="4"/>
  <c r="AA125" i="4"/>
  <c r="AB125" i="4"/>
  <c r="AC125" i="4"/>
  <c r="F126" i="4"/>
  <c r="G126" i="4"/>
  <c r="H126" i="4"/>
  <c r="I126" i="4"/>
  <c r="L126" i="4"/>
  <c r="M126" i="4"/>
  <c r="N126" i="4"/>
  <c r="O126" i="4"/>
  <c r="R126" i="4"/>
  <c r="S126" i="4"/>
  <c r="T126" i="4"/>
  <c r="U126" i="4"/>
  <c r="W126" i="4"/>
  <c r="Z126" i="4"/>
  <c r="AA126" i="4"/>
  <c r="AB126" i="4"/>
  <c r="AC126" i="4"/>
  <c r="F127" i="4"/>
  <c r="G127" i="4"/>
  <c r="H127" i="4"/>
  <c r="I127" i="4"/>
  <c r="L127" i="4"/>
  <c r="M127" i="4"/>
  <c r="N127" i="4"/>
  <c r="O127" i="4"/>
  <c r="R127" i="4"/>
  <c r="S127" i="4"/>
  <c r="T127" i="4"/>
  <c r="U127" i="4"/>
  <c r="W127" i="4"/>
  <c r="Z127" i="4"/>
  <c r="AA127" i="4"/>
  <c r="AB127" i="4"/>
  <c r="AC127" i="4"/>
  <c r="F128" i="4"/>
  <c r="G128" i="4"/>
  <c r="H128" i="4"/>
  <c r="I128" i="4"/>
  <c r="L128" i="4"/>
  <c r="M128" i="4"/>
  <c r="N128" i="4"/>
  <c r="O128" i="4"/>
  <c r="R128" i="4"/>
  <c r="S128" i="4"/>
  <c r="T128" i="4"/>
  <c r="U128" i="4"/>
  <c r="W128" i="4"/>
  <c r="Z128" i="4"/>
  <c r="AA128" i="4"/>
  <c r="AB128" i="4"/>
  <c r="AC128" i="4"/>
  <c r="F129" i="4"/>
  <c r="G129" i="4"/>
  <c r="H129" i="4"/>
  <c r="I129" i="4"/>
  <c r="L129" i="4"/>
  <c r="M129" i="4"/>
  <c r="N129" i="4"/>
  <c r="O129" i="4"/>
  <c r="R129" i="4"/>
  <c r="S129" i="4"/>
  <c r="T129" i="4"/>
  <c r="U129" i="4"/>
  <c r="W129" i="4"/>
  <c r="Z129" i="4"/>
  <c r="AA129" i="4"/>
  <c r="AB129" i="4"/>
  <c r="AC129" i="4"/>
  <c r="F130" i="4"/>
  <c r="G130" i="4"/>
  <c r="H130" i="4"/>
  <c r="I130" i="4"/>
  <c r="L130" i="4"/>
  <c r="M130" i="4"/>
  <c r="N130" i="4"/>
  <c r="O130" i="4"/>
  <c r="R130" i="4"/>
  <c r="S130" i="4"/>
  <c r="T130" i="4"/>
  <c r="U130" i="4"/>
  <c r="W130" i="4"/>
  <c r="Z130" i="4"/>
  <c r="AA130" i="4"/>
  <c r="AB130" i="4"/>
  <c r="AC130" i="4"/>
  <c r="F131" i="4"/>
  <c r="G131" i="4"/>
  <c r="H131" i="4"/>
  <c r="I131" i="4"/>
  <c r="L131" i="4"/>
  <c r="M131" i="4"/>
  <c r="N131" i="4"/>
  <c r="O131" i="4"/>
  <c r="R131" i="4"/>
  <c r="S131" i="4"/>
  <c r="T131" i="4"/>
  <c r="U131" i="4"/>
  <c r="W131" i="4"/>
  <c r="Z131" i="4"/>
  <c r="AA131" i="4"/>
  <c r="AB131" i="4"/>
  <c r="AC131" i="4"/>
  <c r="F132" i="4"/>
  <c r="G132" i="4"/>
  <c r="H132" i="4"/>
  <c r="I132" i="4"/>
  <c r="L132" i="4"/>
  <c r="M132" i="4"/>
  <c r="N132" i="4"/>
  <c r="O132" i="4"/>
  <c r="R132" i="4"/>
  <c r="S132" i="4"/>
  <c r="T132" i="4"/>
  <c r="U132" i="4"/>
  <c r="W132" i="4"/>
  <c r="Z132" i="4"/>
  <c r="AA132" i="4"/>
  <c r="AB132" i="4"/>
  <c r="AC132" i="4"/>
  <c r="F133" i="4"/>
  <c r="G133" i="4"/>
  <c r="H133" i="4"/>
  <c r="I133" i="4"/>
  <c r="L133" i="4"/>
  <c r="M133" i="4"/>
  <c r="N133" i="4"/>
  <c r="O133" i="4"/>
  <c r="R133" i="4"/>
  <c r="S133" i="4"/>
  <c r="T133" i="4"/>
  <c r="U133" i="4"/>
  <c r="W133" i="4"/>
  <c r="Z133" i="4"/>
  <c r="AA133" i="4"/>
  <c r="AB133" i="4"/>
  <c r="AC133" i="4"/>
  <c r="F134" i="4"/>
  <c r="G134" i="4"/>
  <c r="H134" i="4"/>
  <c r="I134" i="4"/>
  <c r="L134" i="4"/>
  <c r="M134" i="4"/>
  <c r="N134" i="4"/>
  <c r="O134" i="4"/>
  <c r="R134" i="4"/>
  <c r="S134" i="4"/>
  <c r="T134" i="4"/>
  <c r="U134" i="4"/>
  <c r="W134" i="4"/>
  <c r="Z134" i="4"/>
  <c r="AA134" i="4"/>
  <c r="AB134" i="4"/>
  <c r="AC134" i="4"/>
  <c r="F135" i="4"/>
  <c r="G135" i="4"/>
  <c r="H135" i="4"/>
  <c r="I135" i="4"/>
  <c r="L135" i="4"/>
  <c r="M135" i="4"/>
  <c r="N135" i="4"/>
  <c r="O135" i="4"/>
  <c r="R135" i="4"/>
  <c r="S135" i="4"/>
  <c r="T135" i="4"/>
  <c r="U135" i="4"/>
  <c r="W135" i="4"/>
  <c r="Z135" i="4"/>
  <c r="AA135" i="4"/>
  <c r="AB135" i="4"/>
  <c r="AC135" i="4"/>
  <c r="AK137" i="4"/>
  <c r="F138" i="4"/>
  <c r="G138" i="4"/>
  <c r="H138" i="4"/>
  <c r="I138" i="4"/>
  <c r="L138" i="4"/>
  <c r="M138" i="4"/>
  <c r="N138" i="4"/>
  <c r="O138" i="4"/>
  <c r="R138" i="4"/>
  <c r="S138" i="4"/>
  <c r="T138" i="4"/>
  <c r="U138" i="4"/>
  <c r="W138" i="4"/>
  <c r="Z138" i="4"/>
  <c r="AA138" i="4"/>
  <c r="AB138" i="4"/>
  <c r="AC138" i="4"/>
  <c r="F139" i="4"/>
  <c r="G139" i="4"/>
  <c r="H139" i="4"/>
  <c r="I139" i="4"/>
  <c r="L139" i="4"/>
  <c r="M139" i="4"/>
  <c r="N139" i="4"/>
  <c r="O139" i="4"/>
  <c r="R139" i="4"/>
  <c r="S139" i="4"/>
  <c r="T139" i="4"/>
  <c r="U139" i="4"/>
  <c r="W139" i="4"/>
  <c r="Z139" i="4"/>
  <c r="AA139" i="4"/>
  <c r="AB139" i="4"/>
  <c r="AC139" i="4"/>
  <c r="F140" i="4"/>
  <c r="G140" i="4"/>
  <c r="H140" i="4"/>
  <c r="I140" i="4"/>
  <c r="L140" i="4"/>
  <c r="M140" i="4"/>
  <c r="N140" i="4"/>
  <c r="O140" i="4"/>
  <c r="R140" i="4"/>
  <c r="S140" i="4"/>
  <c r="T140" i="4"/>
  <c r="U140" i="4"/>
  <c r="W140" i="4"/>
  <c r="Z140" i="4"/>
  <c r="AA140" i="4"/>
  <c r="AB140" i="4"/>
  <c r="AC140" i="4"/>
  <c r="F141" i="4"/>
  <c r="G141" i="4"/>
  <c r="H141" i="4"/>
  <c r="I141" i="4"/>
  <c r="L141" i="4"/>
  <c r="M141" i="4"/>
  <c r="N141" i="4"/>
  <c r="O141" i="4"/>
  <c r="R141" i="4"/>
  <c r="S141" i="4"/>
  <c r="T141" i="4"/>
  <c r="U141" i="4"/>
  <c r="W141" i="4"/>
  <c r="Z141" i="4"/>
  <c r="AA141" i="4"/>
  <c r="AB141" i="4"/>
  <c r="AC141" i="4"/>
  <c r="F142" i="4"/>
  <c r="G142" i="4"/>
  <c r="H142" i="4"/>
  <c r="I142" i="4"/>
  <c r="L142" i="4"/>
  <c r="M142" i="4"/>
  <c r="N142" i="4"/>
  <c r="O142" i="4"/>
  <c r="R142" i="4"/>
  <c r="S142" i="4"/>
  <c r="T142" i="4"/>
  <c r="U142" i="4"/>
  <c r="W142" i="4"/>
  <c r="Z142" i="4"/>
  <c r="AA142" i="4"/>
  <c r="AB142" i="4"/>
  <c r="AC142" i="4"/>
  <c r="F143" i="4"/>
  <c r="G143" i="4"/>
  <c r="H143" i="4"/>
  <c r="I143" i="4"/>
  <c r="L143" i="4"/>
  <c r="M143" i="4"/>
  <c r="N143" i="4"/>
  <c r="O143" i="4"/>
  <c r="R143" i="4"/>
  <c r="S143" i="4"/>
  <c r="T143" i="4"/>
  <c r="U143" i="4"/>
  <c r="W143" i="4"/>
  <c r="Z143" i="4"/>
  <c r="AA143" i="4"/>
  <c r="AB143" i="4"/>
  <c r="AC143" i="4"/>
  <c r="F144" i="4"/>
  <c r="G144" i="4"/>
  <c r="H144" i="4"/>
  <c r="I144" i="4"/>
  <c r="L144" i="4"/>
  <c r="M144" i="4"/>
  <c r="N144" i="4"/>
  <c r="O144" i="4"/>
  <c r="R144" i="4"/>
  <c r="S144" i="4"/>
  <c r="T144" i="4"/>
  <c r="U144" i="4"/>
  <c r="W144" i="4"/>
  <c r="Z144" i="4"/>
  <c r="AA144" i="4"/>
  <c r="AB144" i="4"/>
  <c r="AC144" i="4"/>
  <c r="F145" i="4"/>
  <c r="G145" i="4"/>
  <c r="H145" i="4"/>
  <c r="I145" i="4"/>
  <c r="L145" i="4"/>
  <c r="M145" i="4"/>
  <c r="N145" i="4"/>
  <c r="O145" i="4"/>
  <c r="R145" i="4"/>
  <c r="S145" i="4"/>
  <c r="T145" i="4"/>
  <c r="U145" i="4"/>
  <c r="W145" i="4"/>
  <c r="Z145" i="4"/>
  <c r="AA145" i="4"/>
  <c r="AB145" i="4"/>
  <c r="AC145" i="4"/>
  <c r="F146" i="4"/>
  <c r="G146" i="4"/>
  <c r="H146" i="4"/>
  <c r="I146" i="4"/>
  <c r="L146" i="4"/>
  <c r="M146" i="4"/>
  <c r="N146" i="4"/>
  <c r="O146" i="4"/>
  <c r="R146" i="4"/>
  <c r="S146" i="4"/>
  <c r="T146" i="4"/>
  <c r="U146" i="4"/>
  <c r="W146" i="4"/>
  <c r="Z146" i="4"/>
  <c r="AA146" i="4"/>
  <c r="AB146" i="4"/>
  <c r="AC146" i="4"/>
  <c r="F147" i="4"/>
  <c r="G147" i="4"/>
  <c r="H147" i="4"/>
  <c r="I147" i="4"/>
  <c r="L147" i="4"/>
  <c r="M147" i="4"/>
  <c r="N147" i="4"/>
  <c r="O147" i="4"/>
  <c r="R147" i="4"/>
  <c r="S147" i="4"/>
  <c r="T147" i="4"/>
  <c r="U147" i="4"/>
  <c r="W147" i="4"/>
  <c r="Z147" i="4"/>
  <c r="AA147" i="4"/>
  <c r="AB147" i="4"/>
  <c r="AC147" i="4"/>
  <c r="F148" i="4"/>
  <c r="G148" i="4"/>
  <c r="H148" i="4"/>
  <c r="I148" i="4"/>
  <c r="L148" i="4"/>
  <c r="M148" i="4"/>
  <c r="N148" i="4"/>
  <c r="O148" i="4"/>
  <c r="R148" i="4"/>
  <c r="S148" i="4"/>
  <c r="T148" i="4"/>
  <c r="U148" i="4"/>
  <c r="W148" i="4"/>
  <c r="Z148" i="4"/>
  <c r="AA148" i="4"/>
  <c r="AB148" i="4"/>
  <c r="AC148" i="4"/>
  <c r="F149" i="4"/>
  <c r="G149" i="4"/>
  <c r="H149" i="4"/>
  <c r="I149" i="4"/>
  <c r="L149" i="4"/>
  <c r="M149" i="4"/>
  <c r="N149" i="4"/>
  <c r="O149" i="4"/>
  <c r="R149" i="4"/>
  <c r="S149" i="4"/>
  <c r="T149" i="4"/>
  <c r="U149" i="4"/>
  <c r="W149" i="4"/>
  <c r="Z149" i="4"/>
  <c r="AA149" i="4"/>
  <c r="AB149" i="4"/>
  <c r="AC149" i="4"/>
  <c r="F150" i="4"/>
  <c r="G150" i="4"/>
  <c r="H150" i="4"/>
  <c r="I150" i="4"/>
  <c r="L150" i="4"/>
  <c r="M150" i="4"/>
  <c r="N150" i="4"/>
  <c r="O150" i="4"/>
  <c r="R150" i="4"/>
  <c r="S150" i="4"/>
  <c r="T150" i="4"/>
  <c r="U150" i="4"/>
  <c r="W150" i="4"/>
  <c r="Z150" i="4"/>
  <c r="AA150" i="4"/>
  <c r="AB150" i="4"/>
  <c r="AC150" i="4"/>
  <c r="F151" i="4"/>
  <c r="G151" i="4"/>
  <c r="H151" i="4"/>
  <c r="I151" i="4"/>
  <c r="L151" i="4"/>
  <c r="M151" i="4"/>
  <c r="N151" i="4"/>
  <c r="O151" i="4"/>
  <c r="R151" i="4"/>
  <c r="S151" i="4"/>
  <c r="T151" i="4"/>
  <c r="U151" i="4"/>
  <c r="W151" i="4"/>
  <c r="Z151" i="4"/>
  <c r="AA151" i="4"/>
  <c r="AB151" i="4"/>
  <c r="AC151" i="4"/>
  <c r="F152" i="4"/>
  <c r="G152" i="4"/>
  <c r="H152" i="4"/>
  <c r="I152" i="4"/>
  <c r="L152" i="4"/>
  <c r="M152" i="4"/>
  <c r="N152" i="4"/>
  <c r="O152" i="4"/>
  <c r="R152" i="4"/>
  <c r="S152" i="4"/>
  <c r="T152" i="4"/>
  <c r="U152" i="4"/>
  <c r="W152" i="4"/>
  <c r="Z152" i="4"/>
  <c r="AA152" i="4"/>
  <c r="AB152" i="4"/>
  <c r="AC152" i="4"/>
  <c r="F153" i="4"/>
  <c r="G153" i="4"/>
  <c r="H153" i="4"/>
  <c r="I153" i="4"/>
  <c r="L153" i="4"/>
  <c r="M153" i="4"/>
  <c r="N153" i="4"/>
  <c r="O153" i="4"/>
  <c r="R153" i="4"/>
  <c r="S153" i="4"/>
  <c r="T153" i="4"/>
  <c r="U153" i="4"/>
  <c r="W153" i="4"/>
  <c r="Z153" i="4"/>
  <c r="AA153" i="4"/>
  <c r="AB153" i="4"/>
  <c r="AC153" i="4"/>
  <c r="F154" i="4"/>
  <c r="G154" i="4"/>
  <c r="H154" i="4"/>
  <c r="I154" i="4"/>
  <c r="L154" i="4"/>
  <c r="M154" i="4"/>
  <c r="N154" i="4"/>
  <c r="O154" i="4"/>
  <c r="R154" i="4"/>
  <c r="S154" i="4"/>
  <c r="T154" i="4"/>
  <c r="U154" i="4"/>
  <c r="W154" i="4"/>
  <c r="Z154" i="4"/>
  <c r="AA154" i="4"/>
  <c r="AB154" i="4"/>
  <c r="AC154" i="4"/>
  <c r="F155" i="4"/>
  <c r="G155" i="4"/>
  <c r="H155" i="4"/>
  <c r="I155" i="4"/>
  <c r="L155" i="4"/>
  <c r="M155" i="4"/>
  <c r="N155" i="4"/>
  <c r="O155" i="4"/>
  <c r="R155" i="4"/>
  <c r="S155" i="4"/>
  <c r="T155" i="4"/>
  <c r="U155" i="4"/>
  <c r="W155" i="4"/>
  <c r="Z155" i="4"/>
  <c r="AA155" i="4"/>
  <c r="AB155" i="4"/>
  <c r="AC155" i="4"/>
  <c r="F156" i="4"/>
  <c r="G156" i="4"/>
  <c r="H156" i="4"/>
  <c r="I156" i="4"/>
  <c r="L156" i="4"/>
  <c r="M156" i="4"/>
  <c r="N156" i="4"/>
  <c r="O156" i="4"/>
  <c r="R156" i="4"/>
  <c r="S156" i="4"/>
  <c r="T156" i="4"/>
  <c r="U156" i="4"/>
  <c r="W156" i="4"/>
  <c r="Z156" i="4"/>
  <c r="AA156" i="4"/>
  <c r="AB156" i="4"/>
  <c r="AC156" i="4"/>
  <c r="F157" i="4"/>
  <c r="G157" i="4"/>
  <c r="H157" i="4"/>
  <c r="I157" i="4"/>
  <c r="L157" i="4"/>
  <c r="M157" i="4"/>
  <c r="N157" i="4"/>
  <c r="O157" i="4"/>
  <c r="R157" i="4"/>
  <c r="S157" i="4"/>
  <c r="T157" i="4"/>
  <c r="U157" i="4"/>
  <c r="W157" i="4"/>
  <c r="Z157" i="4"/>
  <c r="AA157" i="4"/>
  <c r="AB157" i="4"/>
  <c r="AC157" i="4"/>
  <c r="F158" i="4"/>
  <c r="G158" i="4"/>
  <c r="H158" i="4"/>
  <c r="I158" i="4"/>
  <c r="L158" i="4"/>
  <c r="M158" i="4"/>
  <c r="N158" i="4"/>
  <c r="O158" i="4"/>
  <c r="R158" i="4"/>
  <c r="S158" i="4"/>
  <c r="T158" i="4"/>
  <c r="U158" i="4"/>
  <c r="W158" i="4"/>
  <c r="Z158" i="4"/>
  <c r="AA158" i="4"/>
  <c r="AB158" i="4"/>
  <c r="AC158" i="4"/>
  <c r="F159" i="4"/>
  <c r="G159" i="4"/>
  <c r="H159" i="4"/>
  <c r="I159" i="4"/>
  <c r="L159" i="4"/>
  <c r="M159" i="4"/>
  <c r="N159" i="4"/>
  <c r="O159" i="4"/>
  <c r="R159" i="4"/>
  <c r="S159" i="4"/>
  <c r="T159" i="4"/>
  <c r="U159" i="4"/>
  <c r="W159" i="4"/>
  <c r="Z159" i="4"/>
  <c r="AA159" i="4"/>
  <c r="AB159" i="4"/>
  <c r="AC159" i="4"/>
  <c r="F160" i="4"/>
  <c r="G160" i="4"/>
  <c r="H160" i="4"/>
  <c r="I160" i="4"/>
  <c r="L160" i="4"/>
  <c r="M160" i="4"/>
  <c r="N160" i="4"/>
  <c r="O160" i="4"/>
  <c r="R160" i="4"/>
  <c r="S160" i="4"/>
  <c r="T160" i="4"/>
  <c r="U160" i="4"/>
  <c r="W160" i="4"/>
  <c r="Z160" i="4"/>
  <c r="AA160" i="4"/>
  <c r="AB160" i="4"/>
  <c r="AC160" i="4"/>
  <c r="F161" i="4"/>
  <c r="G161" i="4"/>
  <c r="H161" i="4"/>
  <c r="I161" i="4"/>
  <c r="L161" i="4"/>
  <c r="M161" i="4"/>
  <c r="N161" i="4"/>
  <c r="O161" i="4"/>
  <c r="R161" i="4"/>
  <c r="S161" i="4"/>
  <c r="T161" i="4"/>
  <c r="U161" i="4"/>
  <c r="W161" i="4"/>
  <c r="Z161" i="4"/>
  <c r="AA161" i="4"/>
  <c r="AB161" i="4"/>
  <c r="AC161" i="4"/>
  <c r="F162" i="4"/>
  <c r="G162" i="4"/>
  <c r="H162" i="4"/>
  <c r="I162" i="4"/>
  <c r="L162" i="4"/>
  <c r="M162" i="4"/>
  <c r="N162" i="4"/>
  <c r="O162" i="4"/>
  <c r="R162" i="4"/>
  <c r="S162" i="4"/>
  <c r="T162" i="4"/>
  <c r="U162" i="4"/>
  <c r="W162" i="4"/>
  <c r="Z162" i="4"/>
  <c r="AA162" i="4"/>
  <c r="AB162" i="4"/>
  <c r="AC162" i="4"/>
  <c r="F163" i="4"/>
  <c r="G163" i="4"/>
  <c r="H163" i="4"/>
  <c r="I163" i="4"/>
  <c r="L163" i="4"/>
  <c r="M163" i="4"/>
  <c r="N163" i="4"/>
  <c r="O163" i="4"/>
  <c r="R163" i="4"/>
  <c r="S163" i="4"/>
  <c r="T163" i="4"/>
  <c r="U163" i="4"/>
  <c r="W163" i="4"/>
  <c r="Z163" i="4"/>
  <c r="AA163" i="4"/>
  <c r="AB163" i="4"/>
  <c r="AC163" i="4"/>
  <c r="F164" i="4"/>
  <c r="G164" i="4"/>
  <c r="H164" i="4"/>
  <c r="I164" i="4"/>
  <c r="L164" i="4"/>
  <c r="M164" i="4"/>
  <c r="N164" i="4"/>
  <c r="O164" i="4"/>
  <c r="R164" i="4"/>
  <c r="S164" i="4"/>
  <c r="T164" i="4"/>
  <c r="U164" i="4"/>
  <c r="W164" i="4"/>
  <c r="Z164" i="4"/>
  <c r="AA164" i="4"/>
  <c r="AB164" i="4"/>
  <c r="AC164" i="4"/>
  <c r="F165" i="4"/>
  <c r="G165" i="4"/>
  <c r="H165" i="4"/>
  <c r="I165" i="4"/>
  <c r="L165" i="4"/>
  <c r="M165" i="4"/>
  <c r="N165" i="4"/>
  <c r="O165" i="4"/>
  <c r="R165" i="4"/>
  <c r="S165" i="4"/>
  <c r="T165" i="4"/>
  <c r="U165" i="4"/>
  <c r="W165" i="4"/>
  <c r="Z165" i="4"/>
  <c r="AA165" i="4"/>
  <c r="AB165" i="4"/>
  <c r="AC165" i="4"/>
  <c r="F166" i="4"/>
  <c r="G166" i="4"/>
  <c r="H166" i="4"/>
  <c r="I166" i="4"/>
  <c r="L166" i="4"/>
  <c r="M166" i="4"/>
  <c r="N166" i="4"/>
  <c r="O166" i="4"/>
  <c r="R166" i="4"/>
  <c r="S166" i="4"/>
  <c r="T166" i="4"/>
  <c r="U166" i="4"/>
  <c r="W166" i="4"/>
  <c r="Z166" i="4"/>
  <c r="AA166" i="4"/>
  <c r="AB166" i="4"/>
  <c r="AC166" i="4"/>
  <c r="F167" i="4"/>
  <c r="G167" i="4"/>
  <c r="H167" i="4"/>
  <c r="I167" i="4"/>
  <c r="L167" i="4"/>
  <c r="M167" i="4"/>
  <c r="N167" i="4"/>
  <c r="O167" i="4"/>
  <c r="R167" i="4"/>
  <c r="S167" i="4"/>
  <c r="T167" i="4"/>
  <c r="U167" i="4"/>
  <c r="W167" i="4"/>
  <c r="Z167" i="4"/>
  <c r="AA167" i="4"/>
  <c r="AB167" i="4"/>
  <c r="AC167" i="4"/>
  <c r="F168" i="4"/>
  <c r="G168" i="4"/>
  <c r="H168" i="4"/>
  <c r="I168" i="4"/>
  <c r="L168" i="4"/>
  <c r="M168" i="4"/>
  <c r="N168" i="4"/>
  <c r="O168" i="4"/>
  <c r="R168" i="4"/>
  <c r="S168" i="4"/>
  <c r="T168" i="4"/>
  <c r="U168" i="4"/>
  <c r="W168" i="4"/>
  <c r="Z168" i="4"/>
  <c r="AA168" i="4"/>
  <c r="AB168" i="4"/>
  <c r="AC168" i="4"/>
  <c r="F169" i="4"/>
  <c r="G169" i="4"/>
  <c r="H169" i="4"/>
  <c r="I169" i="4"/>
  <c r="L169" i="4"/>
  <c r="M169" i="4"/>
  <c r="N169" i="4"/>
  <c r="O169" i="4"/>
  <c r="R169" i="4"/>
  <c r="S169" i="4"/>
  <c r="T169" i="4"/>
  <c r="U169" i="4"/>
  <c r="W169" i="4"/>
  <c r="Z169" i="4"/>
  <c r="AA169" i="4"/>
  <c r="AB169" i="4"/>
  <c r="AC169" i="4"/>
  <c r="F170" i="4"/>
  <c r="G170" i="4"/>
  <c r="H170" i="4"/>
  <c r="I170" i="4"/>
  <c r="L170" i="4"/>
  <c r="M170" i="4"/>
  <c r="N170" i="4"/>
  <c r="O170" i="4"/>
  <c r="R170" i="4"/>
  <c r="S170" i="4"/>
  <c r="T170" i="4"/>
  <c r="U170" i="4"/>
  <c r="W170" i="4"/>
  <c r="Z170" i="4"/>
  <c r="AA170" i="4"/>
  <c r="AB170" i="4"/>
  <c r="AC170" i="4"/>
  <c r="F171" i="4"/>
  <c r="G171" i="4"/>
  <c r="H171" i="4"/>
  <c r="I171" i="4"/>
  <c r="L171" i="4"/>
  <c r="M171" i="4"/>
  <c r="N171" i="4"/>
  <c r="O171" i="4"/>
  <c r="R171" i="4"/>
  <c r="S171" i="4"/>
  <c r="T171" i="4"/>
  <c r="U171" i="4"/>
  <c r="W171" i="4"/>
  <c r="Z171" i="4"/>
  <c r="AA171" i="4"/>
  <c r="AB171" i="4"/>
  <c r="AC171" i="4"/>
  <c r="F172" i="4"/>
  <c r="G172" i="4"/>
  <c r="H172" i="4"/>
  <c r="I172" i="4"/>
  <c r="L172" i="4"/>
  <c r="M172" i="4"/>
  <c r="N172" i="4"/>
  <c r="O172" i="4"/>
  <c r="R172" i="4"/>
  <c r="S172" i="4"/>
  <c r="T172" i="4"/>
  <c r="U172" i="4"/>
  <c r="W172" i="4"/>
  <c r="Z172" i="4"/>
  <c r="AA172" i="4"/>
  <c r="AB172" i="4"/>
  <c r="AC172" i="4"/>
  <c r="F173" i="4"/>
  <c r="G173" i="4"/>
  <c r="H173" i="4"/>
  <c r="I173" i="4"/>
  <c r="L173" i="4"/>
  <c r="M173" i="4"/>
  <c r="N173" i="4"/>
  <c r="O173" i="4"/>
  <c r="R173" i="4"/>
  <c r="S173" i="4"/>
  <c r="T173" i="4"/>
  <c r="U173" i="4"/>
  <c r="W173" i="4"/>
  <c r="Z173" i="4"/>
  <c r="AA173" i="4"/>
  <c r="AB173" i="4"/>
  <c r="AC173" i="4"/>
  <c r="F174" i="4"/>
  <c r="G174" i="4"/>
  <c r="H174" i="4"/>
  <c r="I174" i="4"/>
  <c r="L174" i="4"/>
  <c r="M174" i="4"/>
  <c r="N174" i="4"/>
  <c r="O174" i="4"/>
  <c r="R174" i="4"/>
  <c r="S174" i="4"/>
  <c r="T174" i="4"/>
  <c r="U174" i="4"/>
  <c r="W174" i="4"/>
  <c r="Z174" i="4"/>
  <c r="AA174" i="4"/>
  <c r="AB174" i="4"/>
  <c r="AC174" i="4"/>
  <c r="F175" i="4"/>
  <c r="G175" i="4"/>
  <c r="H175" i="4"/>
  <c r="I175" i="4"/>
  <c r="L175" i="4"/>
  <c r="M175" i="4"/>
  <c r="N175" i="4"/>
  <c r="O175" i="4"/>
  <c r="R175" i="4"/>
  <c r="S175" i="4"/>
  <c r="T175" i="4"/>
  <c r="U175" i="4"/>
  <c r="W175" i="4"/>
  <c r="Z175" i="4"/>
  <c r="AA175" i="4"/>
  <c r="AB175" i="4"/>
  <c r="AC175" i="4"/>
  <c r="F176" i="4"/>
  <c r="G176" i="4"/>
  <c r="H176" i="4"/>
  <c r="I176" i="4"/>
  <c r="L176" i="4"/>
  <c r="M176" i="4"/>
  <c r="N176" i="4"/>
  <c r="O176" i="4"/>
  <c r="R176" i="4"/>
  <c r="S176" i="4"/>
  <c r="T176" i="4"/>
  <c r="U176" i="4"/>
  <c r="W176" i="4"/>
  <c r="Z176" i="4"/>
  <c r="AA176" i="4"/>
  <c r="AB176" i="4"/>
  <c r="AC176" i="4"/>
  <c r="F177" i="4"/>
  <c r="G177" i="4"/>
  <c r="H177" i="4"/>
  <c r="I177" i="4"/>
  <c r="L177" i="4"/>
  <c r="M177" i="4"/>
  <c r="N177" i="4"/>
  <c r="O177" i="4"/>
  <c r="R177" i="4"/>
  <c r="S177" i="4"/>
  <c r="T177" i="4"/>
  <c r="U177" i="4"/>
  <c r="W177" i="4"/>
  <c r="Z177" i="4"/>
  <c r="AA177" i="4"/>
  <c r="AB177" i="4"/>
  <c r="AC177" i="4"/>
  <c r="F178" i="4"/>
  <c r="G178" i="4"/>
  <c r="H178" i="4"/>
  <c r="I178" i="4"/>
  <c r="L178" i="4"/>
  <c r="M178" i="4"/>
  <c r="N178" i="4"/>
  <c r="O178" i="4"/>
  <c r="R178" i="4"/>
  <c r="S178" i="4"/>
  <c r="T178" i="4"/>
  <c r="U178" i="4"/>
  <c r="W178" i="4"/>
  <c r="Z178" i="4"/>
  <c r="AA178" i="4"/>
  <c r="AB178" i="4"/>
  <c r="AC178" i="4"/>
  <c r="F179" i="4"/>
  <c r="G179" i="4"/>
  <c r="H179" i="4"/>
  <c r="I179" i="4"/>
  <c r="L179" i="4"/>
  <c r="M179" i="4"/>
  <c r="N179" i="4"/>
  <c r="O179" i="4"/>
  <c r="R179" i="4"/>
  <c r="S179" i="4"/>
  <c r="T179" i="4"/>
  <c r="U179" i="4"/>
  <c r="W179" i="4"/>
  <c r="Z179" i="4"/>
  <c r="AA179" i="4"/>
  <c r="AB179" i="4"/>
  <c r="AC179" i="4"/>
  <c r="F180" i="4"/>
  <c r="G180" i="4"/>
  <c r="H180" i="4"/>
  <c r="I180" i="4"/>
  <c r="L180" i="4"/>
  <c r="M180" i="4"/>
  <c r="N180" i="4"/>
  <c r="O180" i="4"/>
  <c r="R180" i="4"/>
  <c r="S180" i="4"/>
  <c r="T180" i="4"/>
  <c r="U180" i="4"/>
  <c r="W180" i="4"/>
  <c r="Z180" i="4"/>
  <c r="AA180" i="4"/>
  <c r="AB180" i="4"/>
  <c r="AC180" i="4"/>
  <c r="F181" i="4"/>
  <c r="G181" i="4"/>
  <c r="H181" i="4"/>
  <c r="I181" i="4"/>
  <c r="L181" i="4"/>
  <c r="M181" i="4"/>
  <c r="N181" i="4"/>
  <c r="O181" i="4"/>
  <c r="R181" i="4"/>
  <c r="S181" i="4"/>
  <c r="T181" i="4"/>
  <c r="U181" i="4"/>
  <c r="W181" i="4"/>
  <c r="Z181" i="4"/>
  <c r="AA181" i="4"/>
  <c r="AB181" i="4"/>
  <c r="AC181" i="4"/>
  <c r="F182" i="4"/>
  <c r="G182" i="4"/>
  <c r="H182" i="4"/>
  <c r="I182" i="4"/>
  <c r="L182" i="4"/>
  <c r="M182" i="4"/>
  <c r="N182" i="4"/>
  <c r="O182" i="4"/>
  <c r="R182" i="4"/>
  <c r="S182" i="4"/>
  <c r="T182" i="4"/>
  <c r="U182" i="4"/>
  <c r="W182" i="4"/>
  <c r="Z182" i="4"/>
  <c r="AA182" i="4"/>
  <c r="AB182" i="4"/>
  <c r="AC182" i="4"/>
  <c r="F183" i="4"/>
  <c r="G183" i="4"/>
  <c r="H183" i="4"/>
  <c r="I183" i="4"/>
  <c r="L183" i="4"/>
  <c r="M183" i="4"/>
  <c r="N183" i="4"/>
  <c r="O183" i="4"/>
  <c r="R183" i="4"/>
  <c r="S183" i="4"/>
  <c r="T183" i="4"/>
  <c r="U183" i="4"/>
  <c r="W183" i="4"/>
  <c r="Z183" i="4"/>
  <c r="AA183" i="4"/>
  <c r="AB183" i="4"/>
  <c r="AC183" i="4"/>
  <c r="F184" i="4"/>
  <c r="G184" i="4"/>
  <c r="H184" i="4"/>
  <c r="I184" i="4"/>
  <c r="L184" i="4"/>
  <c r="M184" i="4"/>
  <c r="N184" i="4"/>
  <c r="O184" i="4"/>
  <c r="R184" i="4"/>
  <c r="S184" i="4"/>
  <c r="T184" i="4"/>
  <c r="U184" i="4"/>
  <c r="W184" i="4"/>
  <c r="Z184" i="4"/>
  <c r="AA184" i="4"/>
  <c r="AB184" i="4"/>
  <c r="AC184" i="4"/>
  <c r="F185" i="4"/>
  <c r="G185" i="4"/>
  <c r="H185" i="4"/>
  <c r="I185" i="4"/>
  <c r="L185" i="4"/>
  <c r="M185" i="4"/>
  <c r="N185" i="4"/>
  <c r="O185" i="4"/>
  <c r="R185" i="4"/>
  <c r="S185" i="4"/>
  <c r="T185" i="4"/>
  <c r="U185" i="4"/>
  <c r="W185" i="4"/>
  <c r="Z185" i="4"/>
  <c r="AA185" i="4"/>
  <c r="AB185" i="4"/>
  <c r="AC185" i="4"/>
  <c r="F186" i="4"/>
  <c r="G186" i="4"/>
  <c r="H186" i="4"/>
  <c r="I186" i="4"/>
  <c r="L186" i="4"/>
  <c r="M186" i="4"/>
  <c r="N186" i="4"/>
  <c r="O186" i="4"/>
  <c r="R186" i="4"/>
  <c r="S186" i="4"/>
  <c r="T186" i="4"/>
  <c r="U186" i="4"/>
  <c r="W186" i="4"/>
  <c r="Z186" i="4"/>
  <c r="AA186" i="4"/>
  <c r="AB186" i="4"/>
  <c r="AC186" i="4"/>
  <c r="F187" i="4"/>
  <c r="G187" i="4"/>
  <c r="H187" i="4"/>
  <c r="I187" i="4"/>
  <c r="L187" i="4"/>
  <c r="M187" i="4"/>
  <c r="N187" i="4"/>
  <c r="O187" i="4"/>
  <c r="R187" i="4"/>
  <c r="S187" i="4"/>
  <c r="T187" i="4"/>
  <c r="U187" i="4"/>
  <c r="W187" i="4"/>
  <c r="Z187" i="4"/>
  <c r="AA187" i="4"/>
  <c r="AB187" i="4"/>
  <c r="AC187" i="4"/>
  <c r="F188" i="4"/>
  <c r="G188" i="4"/>
  <c r="H188" i="4"/>
  <c r="I188" i="4"/>
  <c r="L188" i="4"/>
  <c r="M188" i="4"/>
  <c r="N188" i="4"/>
  <c r="O188" i="4"/>
  <c r="R188" i="4"/>
  <c r="S188" i="4"/>
  <c r="T188" i="4"/>
  <c r="U188" i="4"/>
  <c r="W188" i="4"/>
  <c r="Z188" i="4"/>
  <c r="AA188" i="4"/>
  <c r="AB188" i="4"/>
  <c r="AC188" i="4"/>
  <c r="F189" i="4"/>
  <c r="G189" i="4"/>
  <c r="H189" i="4"/>
  <c r="I189" i="4"/>
  <c r="L189" i="4"/>
  <c r="M189" i="4"/>
  <c r="N189" i="4"/>
  <c r="O189" i="4"/>
  <c r="R189" i="4"/>
  <c r="S189" i="4"/>
  <c r="T189" i="4"/>
  <c r="U189" i="4"/>
  <c r="W189" i="4"/>
  <c r="Z189" i="4"/>
  <c r="AA189" i="4"/>
  <c r="AB189" i="4"/>
  <c r="AC189" i="4"/>
  <c r="F190" i="4"/>
  <c r="G190" i="4"/>
  <c r="H190" i="4"/>
  <c r="I190" i="4"/>
  <c r="L190" i="4"/>
  <c r="M190" i="4"/>
  <c r="N190" i="4"/>
  <c r="O190" i="4"/>
  <c r="R190" i="4"/>
  <c r="S190" i="4"/>
  <c r="T190" i="4"/>
  <c r="U190" i="4"/>
  <c r="W190" i="4"/>
  <c r="Z190" i="4"/>
  <c r="AA190" i="4"/>
  <c r="AB190" i="4"/>
  <c r="AC190" i="4"/>
  <c r="F191" i="4"/>
  <c r="G191" i="4"/>
  <c r="H191" i="4"/>
  <c r="I191" i="4"/>
  <c r="L191" i="4"/>
  <c r="M191" i="4"/>
  <c r="N191" i="4"/>
  <c r="O191" i="4"/>
  <c r="R191" i="4"/>
  <c r="S191" i="4"/>
  <c r="T191" i="4"/>
  <c r="U191" i="4"/>
  <c r="W191" i="4"/>
  <c r="Z191" i="4"/>
  <c r="AA191" i="4"/>
  <c r="AB191" i="4"/>
  <c r="AC191" i="4"/>
  <c r="F192" i="4"/>
  <c r="G192" i="4"/>
  <c r="H192" i="4"/>
  <c r="I192" i="4"/>
  <c r="L192" i="4"/>
  <c r="M192" i="4"/>
  <c r="N192" i="4"/>
  <c r="O192" i="4"/>
  <c r="R192" i="4"/>
  <c r="S192" i="4"/>
  <c r="T192" i="4"/>
  <c r="U192" i="4"/>
  <c r="W192" i="4"/>
  <c r="Z192" i="4"/>
  <c r="AA192" i="4"/>
  <c r="AB192" i="4"/>
  <c r="AC192" i="4"/>
  <c r="F193" i="4"/>
  <c r="G193" i="4"/>
  <c r="H193" i="4"/>
  <c r="I193" i="4"/>
  <c r="L193" i="4"/>
  <c r="M193" i="4"/>
  <c r="N193" i="4"/>
  <c r="O193" i="4"/>
  <c r="R193" i="4"/>
  <c r="S193" i="4"/>
  <c r="T193" i="4"/>
  <c r="U193" i="4"/>
  <c r="W193" i="4"/>
  <c r="Z193" i="4"/>
  <c r="AA193" i="4"/>
  <c r="AB193" i="4"/>
  <c r="AC193" i="4"/>
  <c r="F194" i="4"/>
  <c r="G194" i="4"/>
  <c r="H194" i="4"/>
  <c r="I194" i="4"/>
  <c r="L194" i="4"/>
  <c r="M194" i="4"/>
  <c r="N194" i="4"/>
  <c r="O194" i="4"/>
  <c r="R194" i="4"/>
  <c r="S194" i="4"/>
  <c r="T194" i="4"/>
  <c r="U194" i="4"/>
  <c r="W194" i="4"/>
  <c r="Z194" i="4"/>
  <c r="AA194" i="4"/>
  <c r="AB194" i="4"/>
  <c r="AC194" i="4"/>
  <c r="F195" i="4"/>
  <c r="G195" i="4"/>
  <c r="H195" i="4"/>
  <c r="I195" i="4"/>
  <c r="L195" i="4"/>
  <c r="M195" i="4"/>
  <c r="N195" i="4"/>
  <c r="O195" i="4"/>
  <c r="R195" i="4"/>
  <c r="S195" i="4"/>
  <c r="T195" i="4"/>
  <c r="U195" i="4"/>
  <c r="W195" i="4"/>
  <c r="Z195" i="4"/>
  <c r="AA195" i="4"/>
  <c r="AB195" i="4"/>
  <c r="AC195" i="4"/>
  <c r="F196" i="4"/>
  <c r="G196" i="4"/>
  <c r="H196" i="4"/>
  <c r="I196" i="4"/>
  <c r="L196" i="4"/>
  <c r="M196" i="4"/>
  <c r="N196" i="4"/>
  <c r="O196" i="4"/>
  <c r="R196" i="4"/>
  <c r="S196" i="4"/>
  <c r="T196" i="4"/>
  <c r="U196" i="4"/>
  <c r="W196" i="4"/>
  <c r="Z196" i="4"/>
  <c r="AA196" i="4"/>
  <c r="AB196" i="4"/>
  <c r="AC196" i="4"/>
  <c r="F197" i="4"/>
  <c r="G197" i="4"/>
  <c r="H197" i="4"/>
  <c r="I197" i="4"/>
  <c r="L197" i="4"/>
  <c r="M197" i="4"/>
  <c r="N197" i="4"/>
  <c r="O197" i="4"/>
  <c r="R197" i="4"/>
  <c r="S197" i="4"/>
  <c r="T197" i="4"/>
  <c r="U197" i="4"/>
  <c r="W197" i="4"/>
  <c r="Z197" i="4"/>
  <c r="AA197" i="4"/>
  <c r="AB197" i="4"/>
  <c r="AC197" i="4"/>
  <c r="F198" i="4"/>
  <c r="G198" i="4"/>
  <c r="H198" i="4"/>
  <c r="I198" i="4"/>
  <c r="L198" i="4"/>
  <c r="M198" i="4"/>
  <c r="N198" i="4"/>
  <c r="O198" i="4"/>
  <c r="R198" i="4"/>
  <c r="S198" i="4"/>
  <c r="T198" i="4"/>
  <c r="U198" i="4"/>
  <c r="W198" i="4"/>
  <c r="Z198" i="4"/>
  <c r="AA198" i="4"/>
  <c r="AB198" i="4"/>
  <c r="AC198" i="4"/>
  <c r="F199" i="4"/>
  <c r="G199" i="4"/>
  <c r="H199" i="4"/>
  <c r="I199" i="4"/>
  <c r="L199" i="4"/>
  <c r="M199" i="4"/>
  <c r="N199" i="4"/>
  <c r="O199" i="4"/>
  <c r="R199" i="4"/>
  <c r="S199" i="4"/>
  <c r="T199" i="4"/>
  <c r="U199" i="4"/>
  <c r="W199" i="4"/>
  <c r="Z199" i="4"/>
  <c r="AA199" i="4"/>
  <c r="AB199" i="4"/>
  <c r="AC199" i="4"/>
  <c r="F200" i="4"/>
  <c r="G200" i="4"/>
  <c r="H200" i="4"/>
  <c r="I200" i="4"/>
  <c r="L200" i="4"/>
  <c r="M200" i="4"/>
  <c r="N200" i="4"/>
  <c r="O200" i="4"/>
  <c r="R200" i="4"/>
  <c r="S200" i="4"/>
  <c r="T200" i="4"/>
  <c r="U200" i="4"/>
  <c r="W200" i="4"/>
  <c r="Z200" i="4"/>
  <c r="AA200" i="4"/>
  <c r="AB200" i="4"/>
  <c r="AC200" i="4"/>
  <c r="F201" i="4"/>
  <c r="G201" i="4"/>
  <c r="H201" i="4"/>
  <c r="I201" i="4"/>
  <c r="L201" i="4"/>
  <c r="M201" i="4"/>
  <c r="N201" i="4"/>
  <c r="O201" i="4"/>
  <c r="R201" i="4"/>
  <c r="S201" i="4"/>
  <c r="T201" i="4"/>
  <c r="U201" i="4"/>
  <c r="W201" i="4"/>
  <c r="Z201" i="4"/>
  <c r="AA201" i="4"/>
  <c r="AB201" i="4"/>
  <c r="AC201" i="4"/>
  <c r="F202" i="4"/>
  <c r="G202" i="4"/>
  <c r="H202" i="4"/>
  <c r="I202" i="4"/>
  <c r="L202" i="4"/>
  <c r="M202" i="4"/>
  <c r="N202" i="4"/>
  <c r="O202" i="4"/>
  <c r="R202" i="4"/>
  <c r="S202" i="4"/>
  <c r="T202" i="4"/>
  <c r="U202" i="4"/>
  <c r="W202" i="4"/>
  <c r="Z202" i="4"/>
  <c r="AA202" i="4"/>
  <c r="AB202" i="4"/>
  <c r="AC202" i="4"/>
  <c r="F203" i="4"/>
  <c r="G203" i="4"/>
  <c r="H203" i="4"/>
  <c r="I203" i="4"/>
  <c r="L203" i="4"/>
  <c r="M203" i="4"/>
  <c r="N203" i="4"/>
  <c r="O203" i="4"/>
  <c r="R203" i="4"/>
  <c r="S203" i="4"/>
  <c r="T203" i="4"/>
  <c r="U203" i="4"/>
  <c r="W203" i="4"/>
  <c r="Z203" i="4"/>
  <c r="AA203" i="4"/>
  <c r="AB203" i="4"/>
  <c r="AC203" i="4"/>
  <c r="F204" i="4"/>
  <c r="G204" i="4"/>
  <c r="H204" i="4"/>
  <c r="I204" i="4"/>
  <c r="L204" i="4"/>
  <c r="M204" i="4"/>
  <c r="N204" i="4"/>
  <c r="O204" i="4"/>
  <c r="R204" i="4"/>
  <c r="S204" i="4"/>
  <c r="T204" i="4"/>
  <c r="U204" i="4"/>
  <c r="W204" i="4"/>
  <c r="Z204" i="4"/>
  <c r="AA204" i="4"/>
  <c r="AB204" i="4"/>
  <c r="AC204" i="4"/>
  <c r="F205" i="4"/>
  <c r="G205" i="4"/>
  <c r="H205" i="4"/>
  <c r="I205" i="4"/>
  <c r="L205" i="4"/>
  <c r="M205" i="4"/>
  <c r="N205" i="4"/>
  <c r="O205" i="4"/>
  <c r="R205" i="4"/>
  <c r="S205" i="4"/>
  <c r="T205" i="4"/>
  <c r="U205" i="4"/>
  <c r="W205" i="4"/>
  <c r="Z205" i="4"/>
  <c r="AA205" i="4"/>
  <c r="AB205" i="4"/>
  <c r="AC205" i="4"/>
  <c r="F206" i="4"/>
  <c r="G206" i="4"/>
  <c r="H206" i="4"/>
  <c r="I206" i="4"/>
  <c r="L206" i="4"/>
  <c r="M206" i="4"/>
  <c r="N206" i="4"/>
  <c r="O206" i="4"/>
  <c r="R206" i="4"/>
  <c r="S206" i="4"/>
  <c r="T206" i="4"/>
  <c r="U206" i="4"/>
  <c r="W206" i="4"/>
  <c r="Z206" i="4"/>
  <c r="AA206" i="4"/>
  <c r="AB206" i="4"/>
  <c r="AC206" i="4"/>
  <c r="F207" i="4"/>
  <c r="G207" i="4"/>
  <c r="H207" i="4"/>
  <c r="I207" i="4"/>
  <c r="L207" i="4"/>
  <c r="M207" i="4"/>
  <c r="N207" i="4"/>
  <c r="O207" i="4"/>
  <c r="R207" i="4"/>
  <c r="S207" i="4"/>
  <c r="T207" i="4"/>
  <c r="U207" i="4"/>
  <c r="W207" i="4"/>
  <c r="Z207" i="4"/>
  <c r="AA207" i="4"/>
  <c r="AB207" i="4"/>
  <c r="AC207" i="4"/>
  <c r="F208" i="4"/>
  <c r="G208" i="4"/>
  <c r="H208" i="4"/>
  <c r="I208" i="4"/>
  <c r="L208" i="4"/>
  <c r="M208" i="4"/>
  <c r="N208" i="4"/>
  <c r="O208" i="4"/>
  <c r="R208" i="4"/>
  <c r="S208" i="4"/>
  <c r="T208" i="4"/>
  <c r="U208" i="4"/>
  <c r="W208" i="4"/>
  <c r="Z208" i="4"/>
  <c r="AA208" i="4"/>
  <c r="AB208" i="4"/>
  <c r="AC208" i="4"/>
  <c r="F209" i="4"/>
  <c r="G209" i="4"/>
  <c r="H209" i="4"/>
  <c r="I209" i="4"/>
  <c r="L209" i="4"/>
  <c r="M209" i="4"/>
  <c r="N209" i="4"/>
  <c r="O209" i="4"/>
  <c r="R209" i="4"/>
  <c r="S209" i="4"/>
  <c r="T209" i="4"/>
  <c r="U209" i="4"/>
  <c r="W209" i="4"/>
  <c r="Z209" i="4"/>
  <c r="AA209" i="4"/>
  <c r="AB209" i="4"/>
  <c r="AC209" i="4"/>
  <c r="F210" i="4"/>
  <c r="G210" i="4"/>
  <c r="H210" i="4"/>
  <c r="I210" i="4"/>
  <c r="L210" i="4"/>
  <c r="M210" i="4"/>
  <c r="N210" i="4"/>
  <c r="O210" i="4"/>
  <c r="R210" i="4"/>
  <c r="S210" i="4"/>
  <c r="T210" i="4"/>
  <c r="U210" i="4"/>
  <c r="W210" i="4"/>
  <c r="Z210" i="4"/>
  <c r="AA210" i="4"/>
  <c r="AB210" i="4"/>
  <c r="AC210" i="4"/>
  <c r="F211" i="4"/>
  <c r="G211" i="4"/>
  <c r="H211" i="4"/>
  <c r="I211" i="4"/>
  <c r="L211" i="4"/>
  <c r="M211" i="4"/>
  <c r="N211" i="4"/>
  <c r="O211" i="4"/>
  <c r="R211" i="4"/>
  <c r="S211" i="4"/>
  <c r="T211" i="4"/>
  <c r="U211" i="4"/>
  <c r="W211" i="4"/>
  <c r="Z211" i="4"/>
  <c r="AA211" i="4"/>
  <c r="AB211" i="4"/>
  <c r="AC211" i="4"/>
  <c r="F212" i="4"/>
  <c r="G212" i="4"/>
  <c r="H212" i="4"/>
  <c r="I212" i="4"/>
  <c r="L212" i="4"/>
  <c r="M212" i="4"/>
  <c r="N212" i="4"/>
  <c r="O212" i="4"/>
  <c r="R212" i="4"/>
  <c r="S212" i="4"/>
  <c r="T212" i="4"/>
  <c r="U212" i="4"/>
  <c r="W212" i="4"/>
  <c r="Z212" i="4"/>
  <c r="AA212" i="4"/>
  <c r="AB212" i="4"/>
  <c r="AC212" i="4"/>
  <c r="F213" i="4"/>
  <c r="G213" i="4"/>
  <c r="H213" i="4"/>
  <c r="I213" i="4"/>
  <c r="L213" i="4"/>
  <c r="M213" i="4"/>
  <c r="N213" i="4"/>
  <c r="O213" i="4"/>
  <c r="R213" i="4"/>
  <c r="S213" i="4"/>
  <c r="T213" i="4"/>
  <c r="U213" i="4"/>
  <c r="W213" i="4"/>
  <c r="Z213" i="4"/>
  <c r="AA213" i="4"/>
  <c r="AB213" i="4"/>
  <c r="AC213" i="4"/>
  <c r="F214" i="4"/>
  <c r="G214" i="4"/>
  <c r="H214" i="4"/>
  <c r="I214" i="4"/>
  <c r="L214" i="4"/>
  <c r="M214" i="4"/>
  <c r="N214" i="4"/>
  <c r="O214" i="4"/>
  <c r="R214" i="4"/>
  <c r="S214" i="4"/>
  <c r="T214" i="4"/>
  <c r="U214" i="4"/>
  <c r="W214" i="4"/>
  <c r="Z214" i="4"/>
  <c r="AA214" i="4"/>
  <c r="AB214" i="4"/>
  <c r="AC214" i="4"/>
  <c r="F215" i="4"/>
  <c r="G215" i="4"/>
  <c r="H215" i="4"/>
  <c r="I215" i="4"/>
  <c r="L215" i="4"/>
  <c r="M215" i="4"/>
  <c r="N215" i="4"/>
  <c r="O215" i="4"/>
  <c r="R215" i="4"/>
  <c r="S215" i="4"/>
  <c r="T215" i="4"/>
  <c r="U215" i="4"/>
  <c r="W215" i="4"/>
  <c r="Z215" i="4"/>
  <c r="AA215" i="4"/>
  <c r="AB215" i="4"/>
  <c r="AC215" i="4"/>
  <c r="F216" i="4"/>
  <c r="G216" i="4"/>
  <c r="H216" i="4"/>
  <c r="I216" i="4"/>
  <c r="L216" i="4"/>
  <c r="M216" i="4"/>
  <c r="N216" i="4"/>
  <c r="O216" i="4"/>
  <c r="R216" i="4"/>
  <c r="S216" i="4"/>
  <c r="T216" i="4"/>
  <c r="U216" i="4"/>
  <c r="W216" i="4"/>
  <c r="Z216" i="4"/>
  <c r="AA216" i="4"/>
  <c r="AB216" i="4"/>
  <c r="AC216" i="4"/>
  <c r="F217" i="4"/>
  <c r="G217" i="4"/>
  <c r="H217" i="4"/>
  <c r="I217" i="4"/>
  <c r="L217" i="4"/>
  <c r="M217" i="4"/>
  <c r="N217" i="4"/>
  <c r="O217" i="4"/>
  <c r="R217" i="4"/>
  <c r="S217" i="4"/>
  <c r="T217" i="4"/>
  <c r="U217" i="4"/>
  <c r="W217" i="4"/>
  <c r="Z217" i="4"/>
  <c r="AA217" i="4"/>
  <c r="AB217" i="4"/>
  <c r="AC217" i="4"/>
  <c r="F218" i="4"/>
  <c r="G218" i="4"/>
  <c r="H218" i="4"/>
  <c r="I218" i="4"/>
  <c r="L218" i="4"/>
  <c r="M218" i="4"/>
  <c r="N218" i="4"/>
  <c r="O218" i="4"/>
  <c r="R218" i="4"/>
  <c r="S218" i="4"/>
  <c r="T218" i="4"/>
  <c r="U218" i="4"/>
  <c r="W218" i="4"/>
  <c r="Z218" i="4"/>
  <c r="AA218" i="4"/>
  <c r="AB218" i="4"/>
  <c r="AC218" i="4"/>
  <c r="F219" i="4"/>
  <c r="G219" i="4"/>
  <c r="H219" i="4"/>
  <c r="I219" i="4"/>
  <c r="L219" i="4"/>
  <c r="M219" i="4"/>
  <c r="N219" i="4"/>
  <c r="O219" i="4"/>
  <c r="R219" i="4"/>
  <c r="S219" i="4"/>
  <c r="T219" i="4"/>
  <c r="U219" i="4"/>
  <c r="W219" i="4"/>
  <c r="Z219" i="4"/>
  <c r="AA219" i="4"/>
  <c r="AB219" i="4"/>
  <c r="AC219" i="4"/>
  <c r="F220" i="4"/>
  <c r="G220" i="4"/>
  <c r="H220" i="4"/>
  <c r="I220" i="4"/>
  <c r="L220" i="4"/>
  <c r="M220" i="4"/>
  <c r="N220" i="4"/>
  <c r="O220" i="4"/>
  <c r="R220" i="4"/>
  <c r="S220" i="4"/>
  <c r="T220" i="4"/>
  <c r="U220" i="4"/>
  <c r="W220" i="4"/>
  <c r="Z220" i="4"/>
  <c r="AA220" i="4"/>
  <c r="AB220" i="4"/>
  <c r="AC220" i="4"/>
  <c r="F221" i="4"/>
  <c r="G221" i="4"/>
  <c r="H221" i="4"/>
  <c r="I221" i="4"/>
  <c r="L221" i="4"/>
  <c r="M221" i="4"/>
  <c r="N221" i="4"/>
  <c r="O221" i="4"/>
  <c r="R221" i="4"/>
  <c r="S221" i="4"/>
  <c r="T221" i="4"/>
  <c r="U221" i="4"/>
  <c r="W221" i="4"/>
  <c r="Z221" i="4"/>
  <c r="AA221" i="4"/>
  <c r="AB221" i="4"/>
  <c r="AC221" i="4"/>
  <c r="F222" i="4"/>
  <c r="G222" i="4"/>
  <c r="H222" i="4"/>
  <c r="I222" i="4"/>
  <c r="L222" i="4"/>
  <c r="M222" i="4"/>
  <c r="N222" i="4"/>
  <c r="O222" i="4"/>
  <c r="R222" i="4"/>
  <c r="S222" i="4"/>
  <c r="T222" i="4"/>
  <c r="U222" i="4"/>
  <c r="W222" i="4"/>
  <c r="Z222" i="4"/>
  <c r="AA222" i="4"/>
  <c r="AB222" i="4"/>
  <c r="AC222" i="4"/>
  <c r="F223" i="4"/>
  <c r="G223" i="4"/>
  <c r="H223" i="4"/>
  <c r="I223" i="4"/>
  <c r="L223" i="4"/>
  <c r="M223" i="4"/>
  <c r="N223" i="4"/>
  <c r="O223" i="4"/>
  <c r="R223" i="4"/>
  <c r="S223" i="4"/>
  <c r="T223" i="4"/>
  <c r="U223" i="4"/>
  <c r="W223" i="4"/>
  <c r="Z223" i="4"/>
  <c r="AA223" i="4"/>
  <c r="AB223" i="4"/>
  <c r="AC223" i="4"/>
  <c r="F224" i="4"/>
  <c r="G224" i="4"/>
  <c r="H224" i="4"/>
  <c r="I224" i="4"/>
  <c r="L224" i="4"/>
  <c r="M224" i="4"/>
  <c r="N224" i="4"/>
  <c r="O224" i="4"/>
  <c r="R224" i="4"/>
  <c r="S224" i="4"/>
  <c r="T224" i="4"/>
  <c r="U224" i="4"/>
  <c r="W224" i="4"/>
  <c r="Z224" i="4"/>
  <c r="AA224" i="4"/>
  <c r="AB224" i="4"/>
  <c r="AC224" i="4"/>
  <c r="F225" i="4"/>
  <c r="G225" i="4"/>
  <c r="H225" i="4"/>
  <c r="I225" i="4"/>
  <c r="L225" i="4"/>
  <c r="M225" i="4"/>
  <c r="N225" i="4"/>
  <c r="O225" i="4"/>
  <c r="R225" i="4"/>
  <c r="S225" i="4"/>
  <c r="T225" i="4"/>
  <c r="U225" i="4"/>
  <c r="W225" i="4"/>
  <c r="Z225" i="4"/>
  <c r="AA225" i="4"/>
  <c r="AB225" i="4"/>
  <c r="AC225" i="4"/>
  <c r="F226" i="4"/>
  <c r="G226" i="4"/>
  <c r="H226" i="4"/>
  <c r="I226" i="4"/>
  <c r="L226" i="4"/>
  <c r="M226" i="4"/>
  <c r="N226" i="4"/>
  <c r="O226" i="4"/>
  <c r="R226" i="4"/>
  <c r="S226" i="4"/>
  <c r="T226" i="4"/>
  <c r="U226" i="4"/>
  <c r="W226" i="4"/>
  <c r="Z226" i="4"/>
  <c r="AA226" i="4"/>
  <c r="AB226" i="4"/>
  <c r="AC226" i="4"/>
  <c r="F227" i="4"/>
  <c r="G227" i="4"/>
  <c r="H227" i="4"/>
  <c r="I227" i="4"/>
  <c r="L227" i="4"/>
  <c r="M227" i="4"/>
  <c r="N227" i="4"/>
  <c r="O227" i="4"/>
  <c r="R227" i="4"/>
  <c r="S227" i="4"/>
  <c r="T227" i="4"/>
  <c r="U227" i="4"/>
  <c r="W227" i="4"/>
  <c r="Z227" i="4"/>
  <c r="AA227" i="4"/>
  <c r="AB227" i="4"/>
  <c r="AC227" i="4"/>
  <c r="F228" i="4"/>
  <c r="G228" i="4"/>
  <c r="H228" i="4"/>
  <c r="I228" i="4"/>
  <c r="L228" i="4"/>
  <c r="M228" i="4"/>
  <c r="N228" i="4"/>
  <c r="O228" i="4"/>
  <c r="R228" i="4"/>
  <c r="S228" i="4"/>
  <c r="T228" i="4"/>
  <c r="U228" i="4"/>
  <c r="W228" i="4"/>
  <c r="Z228" i="4"/>
  <c r="AA228" i="4"/>
  <c r="AB228" i="4"/>
  <c r="AC228" i="4"/>
  <c r="F229" i="4"/>
  <c r="G229" i="4"/>
  <c r="H229" i="4"/>
  <c r="I229" i="4"/>
  <c r="L229" i="4"/>
  <c r="M229" i="4"/>
  <c r="N229" i="4"/>
  <c r="O229" i="4"/>
  <c r="R229" i="4"/>
  <c r="S229" i="4"/>
  <c r="T229" i="4"/>
  <c r="U229" i="4"/>
  <c r="W229" i="4"/>
  <c r="Z229" i="4"/>
  <c r="AA229" i="4"/>
  <c r="AB229" i="4"/>
  <c r="AC229" i="4"/>
  <c r="F230" i="4"/>
  <c r="G230" i="4"/>
  <c r="H230" i="4"/>
  <c r="I230" i="4"/>
  <c r="L230" i="4"/>
  <c r="M230" i="4"/>
  <c r="N230" i="4"/>
  <c r="O230" i="4"/>
  <c r="R230" i="4"/>
  <c r="S230" i="4"/>
  <c r="T230" i="4"/>
  <c r="U230" i="4"/>
  <c r="W230" i="4"/>
  <c r="Z230" i="4"/>
  <c r="AA230" i="4"/>
  <c r="AB230" i="4"/>
  <c r="AC230" i="4"/>
  <c r="F231" i="4"/>
  <c r="G231" i="4"/>
  <c r="H231" i="4"/>
  <c r="I231" i="4"/>
  <c r="L231" i="4"/>
  <c r="M231" i="4"/>
  <c r="N231" i="4"/>
  <c r="O231" i="4"/>
  <c r="R231" i="4"/>
  <c r="S231" i="4"/>
  <c r="T231" i="4"/>
  <c r="U231" i="4"/>
  <c r="W231" i="4"/>
  <c r="Z231" i="4"/>
  <c r="AA231" i="4"/>
  <c r="AB231" i="4"/>
  <c r="AC231" i="4"/>
  <c r="F232" i="4"/>
  <c r="G232" i="4"/>
  <c r="H232" i="4"/>
  <c r="I232" i="4"/>
  <c r="L232" i="4"/>
  <c r="M232" i="4"/>
  <c r="N232" i="4"/>
  <c r="O232" i="4"/>
  <c r="R232" i="4"/>
  <c r="S232" i="4"/>
  <c r="T232" i="4"/>
  <c r="U232" i="4"/>
  <c r="W232" i="4"/>
  <c r="Z232" i="4"/>
  <c r="AA232" i="4"/>
  <c r="AB232" i="4"/>
  <c r="AC232" i="4"/>
  <c r="F233" i="4"/>
  <c r="G233" i="4"/>
  <c r="H233" i="4"/>
  <c r="I233" i="4"/>
  <c r="L233" i="4"/>
  <c r="M233" i="4"/>
  <c r="N233" i="4"/>
  <c r="O233" i="4"/>
  <c r="R233" i="4"/>
  <c r="S233" i="4"/>
  <c r="T233" i="4"/>
  <c r="U233" i="4"/>
  <c r="W233" i="4"/>
  <c r="Z233" i="4"/>
  <c r="AA233" i="4"/>
  <c r="AB233" i="4"/>
  <c r="AC233" i="4"/>
  <c r="F234" i="4"/>
  <c r="G234" i="4"/>
  <c r="H234" i="4"/>
  <c r="I234" i="4"/>
  <c r="L234" i="4"/>
  <c r="M234" i="4"/>
  <c r="N234" i="4"/>
  <c r="O234" i="4"/>
  <c r="R234" i="4"/>
  <c r="S234" i="4"/>
  <c r="T234" i="4"/>
  <c r="U234" i="4"/>
  <c r="W234" i="4"/>
  <c r="Z234" i="4"/>
  <c r="AA234" i="4"/>
  <c r="AB234" i="4"/>
  <c r="AC234" i="4"/>
  <c r="F235" i="4"/>
  <c r="G235" i="4"/>
  <c r="H235" i="4"/>
  <c r="I235" i="4"/>
  <c r="L235" i="4"/>
  <c r="M235" i="4"/>
  <c r="N235" i="4"/>
  <c r="O235" i="4"/>
  <c r="R235" i="4"/>
  <c r="S235" i="4"/>
  <c r="T235" i="4"/>
  <c r="U235" i="4"/>
  <c r="W235" i="4"/>
  <c r="Z235" i="4"/>
  <c r="AA235" i="4"/>
  <c r="AB235" i="4"/>
  <c r="AC235" i="4"/>
  <c r="F236" i="4"/>
  <c r="G236" i="4"/>
  <c r="H236" i="4"/>
  <c r="I236" i="4"/>
  <c r="L236" i="4"/>
  <c r="M236" i="4"/>
  <c r="N236" i="4"/>
  <c r="O236" i="4"/>
  <c r="R236" i="4"/>
  <c r="S236" i="4"/>
  <c r="T236" i="4"/>
  <c r="U236" i="4"/>
  <c r="W236" i="4"/>
  <c r="Z236" i="4"/>
  <c r="AA236" i="4"/>
  <c r="AB236" i="4"/>
  <c r="AC236" i="4"/>
  <c r="L237" i="4"/>
  <c r="M237" i="4"/>
  <c r="N237" i="4"/>
  <c r="O237" i="4"/>
  <c r="R237" i="4"/>
  <c r="S237" i="4"/>
  <c r="T237" i="4"/>
  <c r="U237" i="4"/>
  <c r="W237" i="4"/>
  <c r="Z237" i="4"/>
  <c r="AA237" i="4"/>
  <c r="AB237" i="4"/>
  <c r="AC237" i="4"/>
  <c r="L238" i="4"/>
  <c r="M238" i="4"/>
  <c r="N238" i="4"/>
  <c r="O238" i="4"/>
  <c r="R238" i="4"/>
  <c r="S238" i="4"/>
  <c r="T238" i="4"/>
  <c r="U238" i="4"/>
  <c r="W238" i="4"/>
  <c r="Z238" i="4"/>
  <c r="AA238" i="4"/>
  <c r="AB238" i="4"/>
  <c r="AC238" i="4"/>
  <c r="L239" i="4"/>
  <c r="M239" i="4"/>
  <c r="N239" i="4"/>
  <c r="O239" i="4"/>
  <c r="R239" i="4"/>
  <c r="S239" i="4"/>
  <c r="T239" i="4"/>
  <c r="U239" i="4"/>
  <c r="W239" i="4"/>
  <c r="Z239" i="4"/>
  <c r="AA239" i="4"/>
  <c r="AB239" i="4"/>
  <c r="L240" i="4"/>
  <c r="M240" i="4"/>
  <c r="N240" i="4"/>
  <c r="O240" i="4"/>
  <c r="R240" i="4"/>
  <c r="S240" i="4"/>
  <c r="T240" i="4"/>
  <c r="U240" i="4"/>
  <c r="W240" i="4"/>
  <c r="Z240" i="4"/>
  <c r="AA240" i="4"/>
  <c r="AB240" i="4"/>
  <c r="AC240" i="4"/>
  <c r="L241" i="4"/>
  <c r="M241" i="4"/>
  <c r="N241" i="4"/>
  <c r="O241" i="4"/>
  <c r="R241" i="4"/>
  <c r="S241" i="4"/>
  <c r="T241" i="4"/>
  <c r="U241" i="4"/>
  <c r="W241" i="4"/>
  <c r="Z241" i="4"/>
  <c r="AA241" i="4"/>
  <c r="AB241" i="4"/>
  <c r="AC241" i="4"/>
  <c r="L242" i="4"/>
  <c r="M242" i="4"/>
  <c r="N242" i="4"/>
  <c r="O242" i="4"/>
  <c r="R242" i="4"/>
  <c r="S242" i="4"/>
  <c r="T242" i="4"/>
  <c r="U242" i="4"/>
  <c r="W242" i="4"/>
  <c r="Z242" i="4"/>
  <c r="AA242" i="4"/>
  <c r="AB242" i="4"/>
  <c r="AC242" i="4"/>
  <c r="L243" i="4"/>
  <c r="M243" i="4"/>
  <c r="N243" i="4"/>
  <c r="O243" i="4"/>
  <c r="R243" i="4"/>
  <c r="S243" i="4"/>
  <c r="T243" i="4"/>
  <c r="U243" i="4"/>
  <c r="W243" i="4"/>
  <c r="Z243" i="4"/>
  <c r="AA243" i="4"/>
  <c r="AB243" i="4"/>
  <c r="AC243" i="4"/>
  <c r="F244" i="4"/>
  <c r="G244" i="4"/>
  <c r="H244" i="4"/>
  <c r="I244" i="4"/>
  <c r="L244" i="4"/>
  <c r="M244" i="4"/>
  <c r="N244" i="4"/>
  <c r="O244" i="4"/>
  <c r="R244" i="4"/>
  <c r="S244" i="4"/>
  <c r="T244" i="4"/>
  <c r="U244" i="4"/>
  <c r="W244" i="4"/>
  <c r="Z244" i="4"/>
  <c r="AA244" i="4"/>
  <c r="AB244" i="4"/>
  <c r="AC244" i="4"/>
  <c r="F245" i="4"/>
  <c r="G245" i="4"/>
  <c r="H245" i="4"/>
  <c r="I245" i="4"/>
  <c r="L245" i="4"/>
  <c r="M245" i="4"/>
  <c r="N245" i="4"/>
  <c r="O245" i="4"/>
  <c r="R245" i="4"/>
  <c r="S245" i="4"/>
  <c r="T245" i="4"/>
  <c r="U245" i="4"/>
  <c r="W245" i="4"/>
  <c r="Z245" i="4"/>
  <c r="AA245" i="4"/>
  <c r="AB245" i="4"/>
  <c r="AC245" i="4"/>
  <c r="F246" i="4"/>
  <c r="G246" i="4"/>
  <c r="H246" i="4"/>
  <c r="I246" i="4"/>
  <c r="L246" i="4"/>
  <c r="M246" i="4"/>
  <c r="N246" i="4"/>
  <c r="O246" i="4"/>
  <c r="R246" i="4"/>
  <c r="S246" i="4"/>
  <c r="T246" i="4"/>
  <c r="U246" i="4"/>
  <c r="W246" i="4"/>
  <c r="Z246" i="4"/>
  <c r="AA246" i="4"/>
  <c r="AB246" i="4"/>
  <c r="AC246" i="4"/>
  <c r="F247" i="4"/>
  <c r="G247" i="4"/>
  <c r="H247" i="4"/>
  <c r="I247" i="4"/>
  <c r="L247" i="4"/>
  <c r="M247" i="4"/>
  <c r="N247" i="4"/>
  <c r="O247" i="4"/>
  <c r="R247" i="4"/>
  <c r="S247" i="4"/>
  <c r="T247" i="4"/>
  <c r="U247" i="4"/>
  <c r="W247" i="4"/>
  <c r="Z247" i="4"/>
  <c r="AA247" i="4"/>
  <c r="AB247" i="4"/>
  <c r="AC247" i="4"/>
  <c r="F248" i="4"/>
  <c r="G248" i="4"/>
  <c r="H248" i="4"/>
  <c r="I248" i="4"/>
  <c r="L248" i="4"/>
  <c r="M248" i="4"/>
  <c r="N248" i="4"/>
  <c r="O248" i="4"/>
  <c r="R248" i="4"/>
  <c r="S248" i="4"/>
  <c r="T248" i="4"/>
  <c r="U248" i="4"/>
  <c r="W248" i="4"/>
  <c r="Z248" i="4"/>
  <c r="AA248" i="4"/>
  <c r="AB248" i="4"/>
  <c r="AC248" i="4"/>
  <c r="F249" i="4"/>
  <c r="G249" i="4"/>
  <c r="H249" i="4"/>
  <c r="I249" i="4"/>
  <c r="L249" i="4"/>
  <c r="M249" i="4"/>
  <c r="N249" i="4"/>
  <c r="O249" i="4"/>
  <c r="R249" i="4"/>
  <c r="S249" i="4"/>
  <c r="T249" i="4"/>
  <c r="U249" i="4"/>
  <c r="W249" i="4"/>
  <c r="Z249" i="4"/>
  <c r="AA249" i="4"/>
  <c r="AB249" i="4"/>
  <c r="AC249" i="4"/>
  <c r="F250" i="4"/>
  <c r="G250" i="4"/>
  <c r="H250" i="4"/>
  <c r="I250" i="4"/>
  <c r="L250" i="4"/>
  <c r="M250" i="4"/>
  <c r="N250" i="4"/>
  <c r="O250" i="4"/>
  <c r="R250" i="4"/>
  <c r="S250" i="4"/>
  <c r="T250" i="4"/>
  <c r="U250" i="4"/>
  <c r="W250" i="4"/>
  <c r="Z250" i="4"/>
  <c r="AA250" i="4"/>
  <c r="AB250" i="4"/>
  <c r="AC250" i="4"/>
  <c r="F251" i="4"/>
  <c r="G251" i="4"/>
  <c r="H251" i="4"/>
  <c r="I251" i="4"/>
  <c r="L251" i="4"/>
  <c r="M251" i="4"/>
  <c r="N251" i="4"/>
  <c r="O251" i="4"/>
  <c r="R251" i="4"/>
  <c r="S251" i="4"/>
  <c r="T251" i="4"/>
  <c r="U251" i="4"/>
  <c r="W251" i="4"/>
  <c r="Z251" i="4"/>
  <c r="AA251" i="4"/>
  <c r="AB251" i="4"/>
  <c r="AC251" i="4"/>
  <c r="F252" i="4"/>
  <c r="G252" i="4"/>
  <c r="H252" i="4"/>
  <c r="I252" i="4"/>
  <c r="L252" i="4"/>
  <c r="M252" i="4"/>
  <c r="N252" i="4"/>
  <c r="O252" i="4"/>
  <c r="R252" i="4"/>
  <c r="S252" i="4"/>
  <c r="T252" i="4"/>
  <c r="U252" i="4"/>
  <c r="W252" i="4"/>
  <c r="Z252" i="4"/>
  <c r="AA252" i="4"/>
  <c r="AB252" i="4"/>
  <c r="AC252" i="4"/>
  <c r="F253" i="4"/>
  <c r="G253" i="4"/>
  <c r="H253" i="4"/>
  <c r="I253" i="4"/>
  <c r="L253" i="4"/>
  <c r="M253" i="4"/>
  <c r="N253" i="4"/>
  <c r="O253" i="4"/>
  <c r="R253" i="4"/>
  <c r="S253" i="4"/>
  <c r="T253" i="4"/>
  <c r="U253" i="4"/>
  <c r="W253" i="4"/>
  <c r="Z253" i="4"/>
  <c r="AA253" i="4"/>
  <c r="AB253" i="4"/>
  <c r="AC253" i="4"/>
  <c r="F254" i="4"/>
  <c r="G254" i="4"/>
  <c r="H254" i="4"/>
  <c r="I254" i="4"/>
  <c r="L254" i="4"/>
  <c r="M254" i="4"/>
  <c r="N254" i="4"/>
  <c r="O254" i="4"/>
  <c r="R254" i="4"/>
  <c r="S254" i="4"/>
  <c r="T254" i="4"/>
  <c r="U254" i="4"/>
  <c r="W254" i="4"/>
  <c r="Z254" i="4"/>
  <c r="AA254" i="4"/>
  <c r="AB254" i="4"/>
  <c r="AC254" i="4"/>
  <c r="F255" i="4"/>
  <c r="G255" i="4"/>
  <c r="H255" i="4"/>
  <c r="I255" i="4"/>
  <c r="L255" i="4"/>
  <c r="M255" i="4"/>
  <c r="N255" i="4"/>
  <c r="O255" i="4"/>
  <c r="R255" i="4"/>
  <c r="S255" i="4"/>
  <c r="T255" i="4"/>
  <c r="U255" i="4"/>
  <c r="W255" i="4"/>
  <c r="Z255" i="4"/>
  <c r="AA255" i="4"/>
  <c r="AB255" i="4"/>
  <c r="AC255" i="4"/>
  <c r="F256" i="4"/>
  <c r="G256" i="4"/>
  <c r="H256" i="4"/>
  <c r="I256" i="4"/>
  <c r="L256" i="4"/>
  <c r="M256" i="4"/>
  <c r="N256" i="4"/>
  <c r="O256" i="4"/>
  <c r="R256" i="4"/>
  <c r="S256" i="4"/>
  <c r="T256" i="4"/>
  <c r="U256" i="4"/>
  <c r="W256" i="4"/>
  <c r="Z256" i="4"/>
  <c r="AA256" i="4"/>
  <c r="AB256" i="4"/>
  <c r="AC256" i="4"/>
  <c r="F257" i="4"/>
  <c r="G257" i="4"/>
  <c r="H257" i="4"/>
  <c r="I257" i="4"/>
  <c r="L257" i="4"/>
  <c r="M257" i="4"/>
  <c r="N257" i="4"/>
  <c r="O257" i="4"/>
  <c r="R257" i="4"/>
  <c r="S257" i="4"/>
  <c r="T257" i="4"/>
  <c r="U257" i="4"/>
  <c r="W257" i="4"/>
  <c r="Z257" i="4"/>
  <c r="AA257" i="4"/>
  <c r="AB257" i="4"/>
  <c r="AC257" i="4"/>
  <c r="F258" i="4"/>
  <c r="G258" i="4"/>
  <c r="H258" i="4"/>
  <c r="I258" i="4"/>
  <c r="L258" i="4"/>
  <c r="M258" i="4"/>
  <c r="N258" i="4"/>
  <c r="O258" i="4"/>
  <c r="R258" i="4"/>
  <c r="S258" i="4"/>
  <c r="T258" i="4"/>
  <c r="U258" i="4"/>
  <c r="W258" i="4"/>
  <c r="Z258" i="4"/>
  <c r="AA258" i="4"/>
  <c r="AB258" i="4"/>
  <c r="AC258" i="4"/>
  <c r="F259" i="4"/>
  <c r="G259" i="4"/>
  <c r="H259" i="4"/>
  <c r="I259" i="4"/>
  <c r="L259" i="4"/>
  <c r="M259" i="4"/>
  <c r="N259" i="4"/>
  <c r="O259" i="4"/>
  <c r="R259" i="4"/>
  <c r="S259" i="4"/>
  <c r="T259" i="4"/>
  <c r="U259" i="4"/>
  <c r="W259" i="4"/>
  <c r="Z259" i="4"/>
  <c r="AA259" i="4"/>
  <c r="AB259" i="4"/>
  <c r="AC259" i="4"/>
  <c r="L260" i="4"/>
  <c r="M260" i="4"/>
  <c r="N260" i="4"/>
  <c r="O260" i="4"/>
  <c r="R260" i="4"/>
  <c r="S260" i="4"/>
  <c r="T260" i="4"/>
  <c r="U260" i="4"/>
  <c r="W260" i="4"/>
  <c r="Z260" i="4"/>
  <c r="AA260" i="4"/>
  <c r="AB260" i="4"/>
  <c r="AC260" i="4"/>
  <c r="L261" i="4"/>
  <c r="M261" i="4"/>
  <c r="N261" i="4"/>
  <c r="O261" i="4"/>
  <c r="R261" i="4"/>
  <c r="S261" i="4"/>
  <c r="T261" i="4"/>
  <c r="U261" i="4"/>
  <c r="W261" i="4"/>
  <c r="Z261" i="4"/>
  <c r="AA261" i="4"/>
  <c r="AB261" i="4"/>
  <c r="AC261" i="4"/>
  <c r="L262" i="4"/>
  <c r="M262" i="4"/>
  <c r="N262" i="4"/>
  <c r="O262" i="4"/>
  <c r="R262" i="4"/>
  <c r="S262" i="4"/>
  <c r="T262" i="4"/>
  <c r="U262" i="4"/>
  <c r="W262" i="4"/>
  <c r="Z262" i="4"/>
  <c r="AA262" i="4"/>
  <c r="AB262" i="4"/>
  <c r="AC262" i="4"/>
  <c r="L263" i="4"/>
  <c r="M263" i="4"/>
  <c r="N263" i="4"/>
  <c r="O263" i="4"/>
  <c r="R263" i="4"/>
  <c r="S263" i="4"/>
  <c r="T263" i="4"/>
  <c r="U263" i="4"/>
  <c r="W263" i="4"/>
  <c r="Z263" i="4"/>
  <c r="AA263" i="4"/>
  <c r="AB263" i="4"/>
  <c r="AC263" i="4"/>
  <c r="L264" i="4"/>
  <c r="M264" i="4"/>
  <c r="N264" i="4"/>
  <c r="O264" i="4"/>
  <c r="R264" i="4"/>
  <c r="S264" i="4"/>
  <c r="T264" i="4"/>
  <c r="U264" i="4"/>
  <c r="W264" i="4"/>
  <c r="Z264" i="4"/>
  <c r="AA264" i="4"/>
  <c r="AB264" i="4"/>
  <c r="AC264" i="4"/>
  <c r="L265" i="4"/>
  <c r="M265" i="4"/>
  <c r="N265" i="4"/>
  <c r="O265" i="4"/>
  <c r="R265" i="4"/>
  <c r="S265" i="4"/>
  <c r="T265" i="4"/>
  <c r="U265" i="4"/>
  <c r="W265" i="4"/>
  <c r="Z265" i="4"/>
  <c r="AA265" i="4"/>
  <c r="AB265" i="4"/>
  <c r="AC265" i="4"/>
  <c r="L266" i="4"/>
  <c r="M266" i="4"/>
  <c r="N266" i="4"/>
  <c r="O266" i="4"/>
  <c r="R266" i="4"/>
  <c r="S266" i="4"/>
  <c r="T266" i="4"/>
  <c r="U266" i="4"/>
  <c r="W266" i="4"/>
  <c r="Z266" i="4"/>
  <c r="AA266" i="4"/>
  <c r="AB266" i="4"/>
  <c r="AC266" i="4"/>
  <c r="L267" i="4"/>
  <c r="M267" i="4"/>
  <c r="N267" i="4"/>
  <c r="O267" i="4"/>
  <c r="R267" i="4"/>
  <c r="S267" i="4"/>
  <c r="T267" i="4"/>
  <c r="U267" i="4"/>
  <c r="W267" i="4"/>
  <c r="Z267" i="4"/>
  <c r="AA267" i="4"/>
  <c r="AB267" i="4"/>
  <c r="AC267" i="4"/>
  <c r="L268" i="4"/>
  <c r="M268" i="4"/>
  <c r="N268" i="4"/>
  <c r="O268" i="4"/>
  <c r="R268" i="4"/>
  <c r="S268" i="4"/>
  <c r="T268" i="4"/>
  <c r="U268" i="4"/>
  <c r="W268" i="4"/>
  <c r="Z268" i="4"/>
  <c r="AA268" i="4"/>
  <c r="AB268" i="4"/>
  <c r="AC268" i="4"/>
  <c r="F269" i="4"/>
  <c r="G269" i="4"/>
  <c r="H269" i="4"/>
  <c r="I269" i="4"/>
  <c r="L269" i="4"/>
  <c r="M269" i="4"/>
  <c r="N269" i="4"/>
  <c r="O269" i="4"/>
  <c r="R269" i="4"/>
  <c r="S269" i="4"/>
  <c r="T269" i="4"/>
  <c r="U269" i="4"/>
  <c r="W269" i="4"/>
  <c r="Z269" i="4"/>
  <c r="AA269" i="4"/>
  <c r="AB269" i="4"/>
  <c r="AC269" i="4"/>
  <c r="F270" i="4"/>
  <c r="G270" i="4"/>
  <c r="H270" i="4"/>
  <c r="I270" i="4"/>
  <c r="L270" i="4"/>
  <c r="M270" i="4"/>
  <c r="N270" i="4"/>
  <c r="O270" i="4"/>
  <c r="R270" i="4"/>
  <c r="S270" i="4"/>
  <c r="T270" i="4"/>
  <c r="U270" i="4"/>
  <c r="W270" i="4"/>
  <c r="Z270" i="4"/>
  <c r="AA270" i="4"/>
  <c r="AB270" i="4"/>
  <c r="AC270" i="4"/>
  <c r="F271" i="4"/>
  <c r="G271" i="4"/>
  <c r="H271" i="4"/>
  <c r="I271" i="4"/>
  <c r="L271" i="4"/>
  <c r="M271" i="4"/>
  <c r="N271" i="4"/>
  <c r="O271" i="4"/>
  <c r="R271" i="4"/>
  <c r="S271" i="4"/>
  <c r="T271" i="4"/>
  <c r="U271" i="4"/>
  <c r="W271" i="4"/>
  <c r="Z271" i="4"/>
  <c r="AA271" i="4"/>
  <c r="AB271" i="4"/>
  <c r="AC271" i="4"/>
  <c r="F272" i="4"/>
  <c r="G272" i="4"/>
  <c r="H272" i="4"/>
  <c r="I272" i="4"/>
  <c r="L272" i="4"/>
  <c r="M272" i="4"/>
  <c r="N272" i="4"/>
  <c r="O272" i="4"/>
  <c r="R272" i="4"/>
  <c r="S272" i="4"/>
  <c r="T272" i="4"/>
  <c r="U272" i="4"/>
  <c r="W272" i="4"/>
  <c r="Z272" i="4"/>
  <c r="AA272" i="4"/>
  <c r="AB272" i="4"/>
  <c r="AC272" i="4"/>
  <c r="F273" i="4"/>
  <c r="G273" i="4"/>
  <c r="H273" i="4"/>
  <c r="I273" i="4"/>
  <c r="L273" i="4"/>
  <c r="M273" i="4"/>
  <c r="N273" i="4"/>
  <c r="O273" i="4"/>
  <c r="R273" i="4"/>
  <c r="S273" i="4"/>
  <c r="T273" i="4"/>
  <c r="U273" i="4"/>
  <c r="W273" i="4"/>
  <c r="Z273" i="4"/>
  <c r="AA273" i="4"/>
  <c r="AB273" i="4"/>
  <c r="AC273" i="4"/>
  <c r="F274" i="4"/>
  <c r="G274" i="4"/>
  <c r="H274" i="4"/>
  <c r="I274" i="4"/>
  <c r="L274" i="4"/>
  <c r="M274" i="4"/>
  <c r="N274" i="4"/>
  <c r="O274" i="4"/>
  <c r="R274" i="4"/>
  <c r="S274" i="4"/>
  <c r="T274" i="4"/>
  <c r="U274" i="4"/>
  <c r="W274" i="4"/>
  <c r="Z274" i="4"/>
  <c r="AA274" i="4"/>
  <c r="AB274" i="4"/>
  <c r="AC274" i="4"/>
  <c r="F275" i="4"/>
  <c r="G275" i="4"/>
  <c r="H275" i="4"/>
  <c r="I275" i="4"/>
  <c r="L275" i="4"/>
  <c r="M275" i="4"/>
  <c r="N275" i="4"/>
  <c r="O275" i="4"/>
  <c r="R275" i="4"/>
  <c r="S275" i="4"/>
  <c r="T275" i="4"/>
  <c r="U275" i="4"/>
  <c r="W275" i="4"/>
  <c r="Z275" i="4"/>
  <c r="AA275" i="4"/>
  <c r="AB275" i="4"/>
  <c r="AC275" i="4"/>
  <c r="F276" i="4"/>
  <c r="G276" i="4"/>
  <c r="H276" i="4"/>
  <c r="I276" i="4"/>
  <c r="R276" i="4"/>
  <c r="S276" i="4"/>
  <c r="T276" i="4"/>
  <c r="U276" i="4"/>
  <c r="W276" i="4"/>
  <c r="Z276" i="4"/>
  <c r="AA276" i="4"/>
  <c r="AB276" i="4"/>
  <c r="AC276" i="4"/>
  <c r="F277" i="4"/>
  <c r="G277" i="4"/>
  <c r="H277" i="4"/>
  <c r="I277" i="4"/>
  <c r="R277" i="4"/>
  <c r="S277" i="4"/>
  <c r="T277" i="4"/>
  <c r="U277" i="4"/>
  <c r="W277" i="4"/>
  <c r="Z277" i="4"/>
  <c r="AA277" i="4"/>
  <c r="AB277" i="4"/>
  <c r="AC277" i="4"/>
  <c r="F278" i="4"/>
  <c r="G278" i="4"/>
  <c r="H278" i="4"/>
  <c r="I278" i="4"/>
  <c r="R278" i="4"/>
  <c r="S278" i="4"/>
  <c r="T278" i="4"/>
  <c r="U278" i="4"/>
  <c r="W278" i="4"/>
  <c r="Z278" i="4"/>
  <c r="AA278" i="4"/>
  <c r="AB278" i="4"/>
  <c r="AC278" i="4"/>
  <c r="F279" i="4"/>
  <c r="G279" i="4"/>
  <c r="H279" i="4"/>
  <c r="I279" i="4"/>
  <c r="L279" i="4"/>
  <c r="M279" i="4"/>
  <c r="N279" i="4"/>
  <c r="O279" i="4"/>
  <c r="R279" i="4"/>
  <c r="S279" i="4"/>
  <c r="T279" i="4"/>
  <c r="U279" i="4"/>
  <c r="W279" i="4"/>
  <c r="Z279" i="4"/>
  <c r="AA279" i="4"/>
  <c r="AB279" i="4"/>
  <c r="AC279" i="4"/>
  <c r="F280" i="4"/>
  <c r="G280" i="4"/>
  <c r="H280" i="4"/>
  <c r="I280" i="4"/>
  <c r="L280" i="4"/>
  <c r="M280" i="4"/>
  <c r="N280" i="4"/>
  <c r="O280" i="4"/>
  <c r="R280" i="4"/>
  <c r="S280" i="4"/>
  <c r="T280" i="4"/>
  <c r="U280" i="4"/>
  <c r="W280" i="4"/>
  <c r="Z280" i="4"/>
  <c r="AA280" i="4"/>
  <c r="AB280" i="4"/>
  <c r="AC280" i="4"/>
  <c r="F281" i="4"/>
  <c r="G281" i="4"/>
  <c r="H281" i="4"/>
  <c r="I281" i="4"/>
  <c r="L281" i="4"/>
  <c r="M281" i="4"/>
  <c r="N281" i="4"/>
  <c r="O281" i="4"/>
  <c r="R281" i="4"/>
  <c r="S281" i="4"/>
  <c r="T281" i="4"/>
  <c r="U281" i="4"/>
  <c r="W281" i="4"/>
  <c r="Z281" i="4"/>
  <c r="AA281" i="4"/>
  <c r="AB281" i="4"/>
  <c r="AC281" i="4"/>
  <c r="F282" i="4"/>
  <c r="G282" i="4"/>
  <c r="H282" i="4"/>
  <c r="I282" i="4"/>
  <c r="L282" i="4"/>
  <c r="M282" i="4"/>
  <c r="N282" i="4"/>
  <c r="O282" i="4"/>
  <c r="R282" i="4"/>
  <c r="S282" i="4"/>
  <c r="T282" i="4"/>
  <c r="U282" i="4"/>
  <c r="W282" i="4"/>
  <c r="Z282" i="4"/>
  <c r="AA282" i="4"/>
  <c r="AB282" i="4"/>
  <c r="AC282" i="4"/>
  <c r="F283" i="4"/>
  <c r="G283" i="4"/>
  <c r="H283" i="4"/>
  <c r="I283" i="4"/>
  <c r="L283" i="4"/>
  <c r="M283" i="4"/>
  <c r="N283" i="4"/>
  <c r="O283" i="4"/>
  <c r="R283" i="4"/>
  <c r="S283" i="4"/>
  <c r="T283" i="4"/>
  <c r="U283" i="4"/>
  <c r="W283" i="4"/>
  <c r="Z283" i="4"/>
  <c r="AA283" i="4"/>
  <c r="AB283" i="4"/>
  <c r="AC283" i="4"/>
  <c r="F284" i="4"/>
  <c r="G284" i="4"/>
  <c r="H284" i="4"/>
  <c r="I284" i="4"/>
  <c r="L284" i="4"/>
  <c r="M284" i="4"/>
  <c r="N284" i="4"/>
  <c r="O284" i="4"/>
  <c r="R284" i="4"/>
  <c r="S284" i="4"/>
  <c r="T284" i="4"/>
  <c r="U284" i="4"/>
  <c r="W284" i="4"/>
  <c r="Z284" i="4"/>
  <c r="AA284" i="4"/>
  <c r="AB284" i="4"/>
  <c r="AC284" i="4"/>
  <c r="F285" i="4"/>
  <c r="G285" i="4"/>
  <c r="H285" i="4"/>
  <c r="I285" i="4"/>
  <c r="L285" i="4"/>
  <c r="M285" i="4"/>
  <c r="N285" i="4"/>
  <c r="O285" i="4"/>
  <c r="R285" i="4"/>
  <c r="S285" i="4"/>
  <c r="T285" i="4"/>
  <c r="U285" i="4"/>
  <c r="W285" i="4"/>
  <c r="Z285" i="4"/>
  <c r="AA285" i="4"/>
  <c r="AB285" i="4"/>
  <c r="AC285" i="4"/>
  <c r="F286" i="4"/>
  <c r="G286" i="4"/>
  <c r="H286" i="4"/>
  <c r="I286" i="4"/>
  <c r="L286" i="4"/>
  <c r="M286" i="4"/>
  <c r="N286" i="4"/>
  <c r="O286" i="4"/>
  <c r="R286" i="4"/>
  <c r="S286" i="4"/>
  <c r="T286" i="4"/>
  <c r="U286" i="4"/>
  <c r="W286" i="4"/>
  <c r="Z286" i="4"/>
  <c r="AA286" i="4"/>
  <c r="AB286" i="4"/>
  <c r="AC286" i="4"/>
  <c r="F287" i="4"/>
  <c r="G287" i="4"/>
  <c r="H287" i="4"/>
  <c r="I287" i="4"/>
  <c r="L287" i="4"/>
  <c r="M287" i="4"/>
  <c r="N287" i="4"/>
  <c r="O287" i="4"/>
  <c r="R287" i="4"/>
  <c r="S287" i="4"/>
  <c r="T287" i="4"/>
  <c r="U287" i="4"/>
  <c r="W287" i="4"/>
  <c r="Z287" i="4"/>
  <c r="AA287" i="4"/>
  <c r="AB287" i="4"/>
  <c r="AC287" i="4"/>
  <c r="F288" i="4"/>
  <c r="G288" i="4"/>
  <c r="H288" i="4"/>
  <c r="I288" i="4"/>
  <c r="L288" i="4"/>
  <c r="M288" i="4"/>
  <c r="N288" i="4"/>
  <c r="O288" i="4"/>
  <c r="R288" i="4"/>
  <c r="S288" i="4"/>
  <c r="T288" i="4"/>
  <c r="U288" i="4"/>
  <c r="W288" i="4"/>
  <c r="Z288" i="4"/>
  <c r="AA288" i="4"/>
  <c r="AB288" i="4"/>
  <c r="AC288" i="4"/>
  <c r="F289" i="4"/>
  <c r="G289" i="4"/>
  <c r="H289" i="4"/>
  <c r="I289" i="4"/>
  <c r="L289" i="4"/>
  <c r="M289" i="4"/>
  <c r="N289" i="4"/>
  <c r="O289" i="4"/>
  <c r="R289" i="4"/>
  <c r="S289" i="4"/>
  <c r="T289" i="4"/>
  <c r="U289" i="4"/>
  <c r="W289" i="4"/>
  <c r="Z289" i="4"/>
  <c r="AA289" i="4"/>
  <c r="AB289" i="4"/>
  <c r="AC289" i="4"/>
  <c r="L290" i="4"/>
  <c r="M290" i="4"/>
  <c r="N290" i="4"/>
  <c r="O290" i="4"/>
  <c r="R290" i="4"/>
  <c r="S290" i="4"/>
  <c r="T290" i="4"/>
  <c r="U290" i="4"/>
  <c r="W290" i="4"/>
  <c r="Z290" i="4"/>
  <c r="AA290" i="4"/>
  <c r="AB290" i="4"/>
  <c r="AC290" i="4"/>
  <c r="L291" i="4"/>
  <c r="M291" i="4"/>
  <c r="N291" i="4"/>
  <c r="O291" i="4"/>
  <c r="R291" i="4"/>
  <c r="S291" i="4"/>
  <c r="T291" i="4"/>
  <c r="U291" i="4"/>
  <c r="W291" i="4"/>
  <c r="Z291" i="4"/>
  <c r="AA291" i="4"/>
  <c r="AB291" i="4"/>
  <c r="AC291" i="4"/>
  <c r="L292" i="4"/>
  <c r="M292" i="4"/>
  <c r="N292" i="4"/>
  <c r="O292" i="4"/>
  <c r="R292" i="4"/>
  <c r="S292" i="4"/>
  <c r="T292" i="4"/>
  <c r="U292" i="4"/>
  <c r="W292" i="4"/>
  <c r="Z292" i="4"/>
  <c r="AA292" i="4"/>
  <c r="AB292" i="4"/>
  <c r="AC292" i="4"/>
  <c r="L293" i="4"/>
  <c r="M293" i="4"/>
  <c r="N293" i="4"/>
  <c r="O293" i="4"/>
  <c r="R293" i="4"/>
  <c r="S293" i="4"/>
  <c r="T293" i="4"/>
  <c r="U293" i="4"/>
  <c r="W293" i="4"/>
  <c r="Z293" i="4"/>
  <c r="AA293" i="4"/>
  <c r="AB293" i="4"/>
  <c r="AC293" i="4"/>
  <c r="L294" i="4"/>
  <c r="M294" i="4"/>
  <c r="N294" i="4"/>
  <c r="O294" i="4"/>
  <c r="R294" i="4"/>
  <c r="S294" i="4"/>
  <c r="T294" i="4"/>
  <c r="U294" i="4"/>
  <c r="W294" i="4"/>
  <c r="Z294" i="4"/>
  <c r="AA294" i="4"/>
  <c r="AB294" i="4"/>
  <c r="AC294" i="4"/>
  <c r="L295" i="4"/>
  <c r="M295" i="4"/>
  <c r="N295" i="4"/>
  <c r="O295" i="4"/>
  <c r="R295" i="4"/>
  <c r="S295" i="4"/>
  <c r="T295" i="4"/>
  <c r="U295" i="4"/>
  <c r="W295" i="4"/>
  <c r="Z295" i="4"/>
  <c r="AA295" i="4"/>
  <c r="AB295" i="4"/>
  <c r="AC295" i="4"/>
  <c r="F296" i="4"/>
  <c r="G296" i="4"/>
  <c r="H296" i="4"/>
  <c r="I296" i="4"/>
  <c r="L296" i="4"/>
  <c r="M296" i="4"/>
  <c r="N296" i="4"/>
  <c r="O296" i="4"/>
  <c r="R296" i="4"/>
  <c r="S296" i="4"/>
  <c r="T296" i="4"/>
  <c r="U296" i="4"/>
  <c r="W296" i="4"/>
  <c r="Z296" i="4"/>
  <c r="AA296" i="4"/>
  <c r="AB296" i="4"/>
  <c r="AC296" i="4"/>
  <c r="F297" i="4"/>
  <c r="G297" i="4"/>
  <c r="H297" i="4"/>
  <c r="I297" i="4"/>
  <c r="L297" i="4"/>
  <c r="M297" i="4"/>
  <c r="N297" i="4"/>
  <c r="O297" i="4"/>
  <c r="R297" i="4"/>
  <c r="S297" i="4"/>
  <c r="T297" i="4"/>
  <c r="U297" i="4"/>
  <c r="W297" i="4"/>
  <c r="Z297" i="4"/>
  <c r="AA297" i="4"/>
  <c r="AB297" i="4"/>
  <c r="AC297" i="4"/>
  <c r="F298" i="4"/>
  <c r="G298" i="4"/>
  <c r="H298" i="4"/>
  <c r="I298" i="4"/>
  <c r="L298" i="4"/>
  <c r="M298" i="4"/>
  <c r="N298" i="4"/>
  <c r="O298" i="4"/>
  <c r="R298" i="4"/>
  <c r="S298" i="4"/>
  <c r="T298" i="4"/>
  <c r="U298" i="4"/>
  <c r="W298" i="4"/>
  <c r="Z298" i="4"/>
  <c r="AA298" i="4"/>
  <c r="AB298" i="4"/>
  <c r="AC298" i="4"/>
  <c r="F299" i="4"/>
  <c r="G299" i="4"/>
  <c r="H299" i="4"/>
  <c r="I299" i="4"/>
  <c r="L299" i="4"/>
  <c r="M299" i="4"/>
  <c r="N299" i="4"/>
  <c r="O299" i="4"/>
  <c r="R299" i="4"/>
  <c r="S299" i="4"/>
  <c r="T299" i="4"/>
  <c r="U299" i="4"/>
  <c r="W299" i="4"/>
  <c r="Z299" i="4"/>
  <c r="AA299" i="4"/>
  <c r="AB299" i="4"/>
  <c r="AC299" i="4"/>
  <c r="F300" i="4"/>
  <c r="G300" i="4"/>
  <c r="H300" i="4"/>
  <c r="I300" i="4"/>
  <c r="L300" i="4"/>
  <c r="M300" i="4"/>
  <c r="N300" i="4"/>
  <c r="O300" i="4"/>
  <c r="R300" i="4"/>
  <c r="S300" i="4"/>
  <c r="T300" i="4"/>
  <c r="U300" i="4"/>
  <c r="W300" i="4"/>
  <c r="Z300" i="4"/>
  <c r="AA300" i="4"/>
  <c r="AB300" i="4"/>
  <c r="AC300" i="4"/>
  <c r="F301" i="4"/>
  <c r="G301" i="4"/>
  <c r="H301" i="4"/>
  <c r="I301" i="4"/>
  <c r="L301" i="4"/>
  <c r="M301" i="4"/>
  <c r="N301" i="4"/>
  <c r="O301" i="4"/>
  <c r="R301" i="4"/>
  <c r="S301" i="4"/>
  <c r="T301" i="4"/>
  <c r="U301" i="4"/>
  <c r="W301" i="4"/>
  <c r="Z301" i="4"/>
  <c r="AA301" i="4"/>
  <c r="AB301" i="4"/>
  <c r="AC301" i="4"/>
  <c r="F302" i="4"/>
  <c r="G302" i="4"/>
  <c r="H302" i="4"/>
  <c r="I302" i="4"/>
  <c r="L302" i="4"/>
  <c r="M302" i="4"/>
  <c r="N302" i="4"/>
  <c r="O302" i="4"/>
  <c r="R302" i="4"/>
  <c r="S302" i="4"/>
  <c r="T302" i="4"/>
  <c r="U302" i="4"/>
  <c r="W302" i="4"/>
  <c r="Z302" i="4"/>
  <c r="AA302" i="4"/>
  <c r="AB302" i="4"/>
  <c r="AC302" i="4"/>
  <c r="F303" i="4"/>
  <c r="G303" i="4"/>
  <c r="H303" i="4"/>
  <c r="I303" i="4"/>
  <c r="L303" i="4"/>
  <c r="M303" i="4"/>
  <c r="N303" i="4"/>
  <c r="O303" i="4"/>
  <c r="R303" i="4"/>
  <c r="S303" i="4"/>
  <c r="T303" i="4"/>
  <c r="U303" i="4"/>
  <c r="W303" i="4"/>
  <c r="Z303" i="4"/>
  <c r="AA303" i="4"/>
  <c r="AB303" i="4"/>
  <c r="AC303" i="4"/>
  <c r="F304" i="4"/>
  <c r="G304" i="4"/>
  <c r="H304" i="4"/>
  <c r="I304" i="4"/>
  <c r="L304" i="4"/>
  <c r="M304" i="4"/>
  <c r="N304" i="4"/>
  <c r="O304" i="4"/>
  <c r="R304" i="4"/>
  <c r="S304" i="4"/>
  <c r="T304" i="4"/>
  <c r="U304" i="4"/>
  <c r="W304" i="4"/>
  <c r="Z304" i="4"/>
  <c r="AA304" i="4"/>
  <c r="AB304" i="4"/>
  <c r="AC304" i="4"/>
  <c r="F305" i="4"/>
  <c r="G305" i="4"/>
  <c r="H305" i="4"/>
  <c r="I305" i="4"/>
  <c r="L305" i="4"/>
  <c r="M305" i="4"/>
  <c r="N305" i="4"/>
  <c r="O305" i="4"/>
  <c r="R305" i="4"/>
  <c r="S305" i="4"/>
  <c r="T305" i="4"/>
  <c r="U305" i="4"/>
  <c r="W305" i="4"/>
  <c r="Z305" i="4"/>
  <c r="AA305" i="4"/>
  <c r="AB305" i="4"/>
  <c r="AC305" i="4"/>
  <c r="F306" i="4"/>
  <c r="G306" i="4"/>
  <c r="H306" i="4"/>
  <c r="I306" i="4"/>
  <c r="L306" i="4"/>
  <c r="M306" i="4"/>
  <c r="N306" i="4"/>
  <c r="O306" i="4"/>
  <c r="R306" i="4"/>
  <c r="S306" i="4"/>
  <c r="T306" i="4"/>
  <c r="U306" i="4"/>
  <c r="W306" i="4"/>
  <c r="Z306" i="4"/>
  <c r="AA306" i="4"/>
  <c r="AB306" i="4"/>
  <c r="AC306" i="4"/>
  <c r="F307" i="4"/>
  <c r="G307" i="4"/>
  <c r="H307" i="4"/>
  <c r="I307" i="4"/>
  <c r="L307" i="4"/>
  <c r="M307" i="4"/>
  <c r="N307" i="4"/>
  <c r="O307" i="4"/>
  <c r="R307" i="4"/>
  <c r="S307" i="4"/>
  <c r="T307" i="4"/>
  <c r="U307" i="4"/>
  <c r="W307" i="4"/>
  <c r="Z307" i="4"/>
  <c r="AA307" i="4"/>
  <c r="AB307" i="4"/>
  <c r="AC307" i="4"/>
  <c r="F308" i="4"/>
  <c r="G308" i="4"/>
  <c r="H308" i="4"/>
  <c r="I308" i="4"/>
  <c r="L308" i="4"/>
  <c r="M308" i="4"/>
  <c r="N308" i="4"/>
  <c r="O308" i="4"/>
  <c r="R308" i="4"/>
  <c r="S308" i="4"/>
  <c r="T308" i="4"/>
  <c r="U308" i="4"/>
  <c r="W308" i="4"/>
  <c r="Z308" i="4"/>
  <c r="AA308" i="4"/>
  <c r="AB308" i="4"/>
  <c r="AC308" i="4"/>
  <c r="F309" i="4"/>
  <c r="G309" i="4"/>
  <c r="H309" i="4"/>
  <c r="I309" i="4"/>
  <c r="L309" i="4"/>
  <c r="M309" i="4"/>
  <c r="N309" i="4"/>
  <c r="O309" i="4"/>
  <c r="R309" i="4"/>
  <c r="S309" i="4"/>
  <c r="T309" i="4"/>
  <c r="U309" i="4"/>
  <c r="W309" i="4"/>
  <c r="Z309" i="4"/>
  <c r="AA309" i="4"/>
  <c r="AB309" i="4"/>
  <c r="AC309" i="4"/>
  <c r="F310" i="4"/>
  <c r="G310" i="4"/>
  <c r="H310" i="4"/>
  <c r="I310" i="4"/>
  <c r="L310" i="4"/>
  <c r="M310" i="4"/>
  <c r="N310" i="4"/>
  <c r="O310" i="4"/>
  <c r="R310" i="4"/>
  <c r="S310" i="4"/>
  <c r="T310" i="4"/>
  <c r="U310" i="4"/>
  <c r="W310" i="4"/>
  <c r="Z310" i="4"/>
  <c r="AA310" i="4"/>
  <c r="AB310" i="4"/>
  <c r="AC310" i="4"/>
  <c r="F311" i="4"/>
  <c r="G311" i="4"/>
  <c r="H311" i="4"/>
  <c r="I311" i="4"/>
  <c r="L311" i="4"/>
  <c r="M311" i="4"/>
  <c r="N311" i="4"/>
  <c r="O311" i="4"/>
  <c r="R311" i="4"/>
  <c r="S311" i="4"/>
  <c r="T311" i="4"/>
  <c r="U311" i="4"/>
  <c r="W311" i="4"/>
  <c r="Z311" i="4"/>
  <c r="AA311" i="4"/>
  <c r="AB311" i="4"/>
  <c r="AC311" i="4"/>
  <c r="F312" i="4"/>
  <c r="G312" i="4"/>
  <c r="H312" i="4"/>
  <c r="I312" i="4"/>
  <c r="L312" i="4"/>
  <c r="M312" i="4"/>
  <c r="N312" i="4"/>
  <c r="O312" i="4"/>
  <c r="R312" i="4"/>
  <c r="S312" i="4"/>
  <c r="T312" i="4"/>
  <c r="U312" i="4"/>
  <c r="W312" i="4"/>
  <c r="Z312" i="4"/>
  <c r="AA312" i="4"/>
  <c r="AB312" i="4"/>
  <c r="AC312" i="4"/>
  <c r="F313" i="4"/>
  <c r="G313" i="4"/>
  <c r="H313" i="4"/>
  <c r="I313" i="4"/>
  <c r="L313" i="4"/>
  <c r="M313" i="4"/>
  <c r="N313" i="4"/>
  <c r="O313" i="4"/>
  <c r="R313" i="4"/>
  <c r="S313" i="4"/>
  <c r="T313" i="4"/>
  <c r="U313" i="4"/>
  <c r="W313" i="4"/>
  <c r="Z313" i="4"/>
  <c r="AA313" i="4"/>
  <c r="AB313" i="4"/>
  <c r="AC313" i="4"/>
  <c r="F314" i="4"/>
  <c r="G314" i="4"/>
  <c r="H314" i="4"/>
  <c r="I314" i="4"/>
  <c r="L314" i="4"/>
  <c r="M314" i="4"/>
  <c r="N314" i="4"/>
  <c r="O314" i="4"/>
  <c r="R314" i="4"/>
  <c r="S314" i="4"/>
  <c r="T314" i="4"/>
  <c r="U314" i="4"/>
  <c r="W314" i="4"/>
  <c r="Z314" i="4"/>
  <c r="AA314" i="4"/>
  <c r="AB314" i="4"/>
  <c r="AC314" i="4"/>
  <c r="F315" i="4"/>
  <c r="G315" i="4"/>
  <c r="H315" i="4"/>
  <c r="I315" i="4"/>
  <c r="L315" i="4"/>
  <c r="M315" i="4"/>
  <c r="N315" i="4"/>
  <c r="O315" i="4"/>
  <c r="R315" i="4"/>
  <c r="S315" i="4"/>
  <c r="T315" i="4"/>
  <c r="U315" i="4"/>
  <c r="W315" i="4"/>
  <c r="Z315" i="4"/>
  <c r="AA315" i="4"/>
  <c r="AB315" i="4"/>
  <c r="AC315" i="4"/>
  <c r="F316" i="4"/>
  <c r="G316" i="4"/>
  <c r="H316" i="4"/>
  <c r="I316" i="4"/>
  <c r="L316" i="4"/>
  <c r="M316" i="4"/>
  <c r="N316" i="4"/>
  <c r="O316" i="4"/>
  <c r="R316" i="4"/>
  <c r="S316" i="4"/>
  <c r="T316" i="4"/>
  <c r="U316" i="4"/>
  <c r="W316" i="4"/>
  <c r="Z316" i="4"/>
  <c r="AA316" i="4"/>
  <c r="AB316" i="4"/>
  <c r="AC316" i="4"/>
  <c r="F317" i="4"/>
  <c r="G317" i="4"/>
  <c r="H317" i="4"/>
  <c r="I317" i="4"/>
  <c r="L317" i="4"/>
  <c r="M317" i="4"/>
  <c r="N317" i="4"/>
  <c r="O317" i="4"/>
  <c r="R317" i="4"/>
  <c r="S317" i="4"/>
  <c r="T317" i="4"/>
  <c r="U317" i="4"/>
  <c r="W317" i="4"/>
  <c r="Z317" i="4"/>
  <c r="AA317" i="4"/>
  <c r="AB317" i="4"/>
  <c r="AC317" i="4"/>
  <c r="F318" i="4"/>
  <c r="G318" i="4"/>
  <c r="H318" i="4"/>
  <c r="I318" i="4"/>
  <c r="L318" i="4"/>
  <c r="M318" i="4"/>
  <c r="N318" i="4"/>
  <c r="O318" i="4"/>
  <c r="R318" i="4"/>
  <c r="S318" i="4"/>
  <c r="T318" i="4"/>
  <c r="U318" i="4"/>
  <c r="W318" i="4"/>
  <c r="Z318" i="4"/>
  <c r="AA318" i="4"/>
  <c r="AB318" i="4"/>
  <c r="AC318" i="4"/>
  <c r="F319" i="4"/>
  <c r="G319" i="4"/>
  <c r="H319" i="4"/>
  <c r="I319" i="4"/>
  <c r="L319" i="4"/>
  <c r="M319" i="4"/>
  <c r="N319" i="4"/>
  <c r="O319" i="4"/>
  <c r="R319" i="4"/>
  <c r="S319" i="4"/>
  <c r="T319" i="4"/>
  <c r="U319" i="4"/>
  <c r="W319" i="4"/>
  <c r="Z319" i="4"/>
  <c r="AA319" i="4"/>
  <c r="AB319" i="4"/>
  <c r="AC319" i="4"/>
  <c r="F320" i="4"/>
  <c r="G320" i="4"/>
  <c r="H320" i="4"/>
  <c r="I320" i="4"/>
  <c r="L320" i="4"/>
  <c r="M320" i="4"/>
  <c r="N320" i="4"/>
  <c r="O320" i="4"/>
  <c r="R320" i="4"/>
  <c r="S320" i="4"/>
  <c r="T320" i="4"/>
  <c r="U320" i="4"/>
  <c r="W320" i="4"/>
  <c r="Z320" i="4"/>
  <c r="AA320" i="4"/>
  <c r="AB320" i="4"/>
  <c r="AC320" i="4"/>
  <c r="F321" i="4"/>
  <c r="G321" i="4"/>
  <c r="H321" i="4"/>
  <c r="I321" i="4"/>
  <c r="L321" i="4"/>
  <c r="M321" i="4"/>
  <c r="N321" i="4"/>
  <c r="O321" i="4"/>
  <c r="R321" i="4"/>
  <c r="S321" i="4"/>
  <c r="T321" i="4"/>
  <c r="U321" i="4"/>
  <c r="W321" i="4"/>
  <c r="Z321" i="4"/>
  <c r="AA321" i="4"/>
  <c r="AB321" i="4"/>
  <c r="AC321" i="4"/>
  <c r="F322" i="4"/>
  <c r="G322" i="4"/>
  <c r="H322" i="4"/>
  <c r="I322" i="4"/>
  <c r="L322" i="4"/>
  <c r="M322" i="4"/>
  <c r="N322" i="4"/>
  <c r="O322" i="4"/>
  <c r="R322" i="4"/>
  <c r="S322" i="4"/>
  <c r="T322" i="4"/>
  <c r="U322" i="4"/>
  <c r="W322" i="4"/>
  <c r="Z322" i="4"/>
  <c r="AA322" i="4"/>
  <c r="AB322" i="4"/>
  <c r="AC322" i="4"/>
  <c r="F323" i="4"/>
  <c r="G323" i="4"/>
  <c r="H323" i="4"/>
  <c r="I323" i="4"/>
  <c r="L323" i="4"/>
  <c r="M323" i="4"/>
  <c r="N323" i="4"/>
  <c r="O323" i="4"/>
  <c r="R323" i="4"/>
  <c r="S323" i="4"/>
  <c r="T323" i="4"/>
  <c r="U323" i="4"/>
  <c r="W323" i="4"/>
  <c r="Z323" i="4"/>
  <c r="AA323" i="4"/>
  <c r="AB323" i="4"/>
  <c r="AC323" i="4"/>
  <c r="F324" i="4"/>
  <c r="G324" i="4"/>
  <c r="H324" i="4"/>
  <c r="I324" i="4"/>
  <c r="L324" i="4"/>
  <c r="M324" i="4"/>
  <c r="N324" i="4"/>
  <c r="O324" i="4"/>
  <c r="R324" i="4"/>
  <c r="S324" i="4"/>
  <c r="T324" i="4"/>
  <c r="U324" i="4"/>
  <c r="W324" i="4"/>
  <c r="Z324" i="4"/>
  <c r="AA324" i="4"/>
  <c r="AB324" i="4"/>
  <c r="AC324" i="4"/>
  <c r="F325" i="4"/>
  <c r="G325" i="4"/>
  <c r="H325" i="4"/>
  <c r="I325" i="4"/>
  <c r="L325" i="4"/>
  <c r="M325" i="4"/>
  <c r="N325" i="4"/>
  <c r="O325" i="4"/>
  <c r="R325" i="4"/>
  <c r="S325" i="4"/>
  <c r="T325" i="4"/>
  <c r="U325" i="4"/>
  <c r="W325" i="4"/>
  <c r="Z325" i="4"/>
  <c r="AA325" i="4"/>
  <c r="AB325" i="4"/>
  <c r="AC325" i="4"/>
  <c r="F326" i="4"/>
  <c r="G326" i="4"/>
  <c r="H326" i="4"/>
  <c r="I326" i="4"/>
  <c r="L326" i="4"/>
  <c r="M326" i="4"/>
  <c r="N326" i="4"/>
  <c r="O326" i="4"/>
  <c r="R326" i="4"/>
  <c r="S326" i="4"/>
  <c r="T326" i="4"/>
  <c r="U326" i="4"/>
  <c r="W326" i="4"/>
  <c r="Z326" i="4"/>
  <c r="AA326" i="4"/>
  <c r="AB326" i="4"/>
  <c r="AC326" i="4"/>
  <c r="F327" i="4"/>
  <c r="G327" i="4"/>
  <c r="H327" i="4"/>
  <c r="I327" i="4"/>
  <c r="L327" i="4"/>
  <c r="M327" i="4"/>
  <c r="N327" i="4"/>
  <c r="O327" i="4"/>
  <c r="R327" i="4"/>
  <c r="S327" i="4"/>
  <c r="T327" i="4"/>
  <c r="U327" i="4"/>
  <c r="W327" i="4"/>
  <c r="Z327" i="4"/>
  <c r="AA327" i="4"/>
  <c r="AB327" i="4"/>
  <c r="AC327" i="4"/>
  <c r="F328" i="4"/>
  <c r="G328" i="4"/>
  <c r="H328" i="4"/>
  <c r="I328" i="4"/>
  <c r="L328" i="4"/>
  <c r="M328" i="4"/>
  <c r="N328" i="4"/>
  <c r="O328" i="4"/>
  <c r="R328" i="4"/>
  <c r="S328" i="4"/>
  <c r="T328" i="4"/>
  <c r="U328" i="4"/>
  <c r="W328" i="4"/>
  <c r="Z328" i="4"/>
  <c r="AA328" i="4"/>
  <c r="AB328" i="4"/>
  <c r="AC328" i="4"/>
  <c r="F329" i="4"/>
  <c r="G329" i="4"/>
  <c r="H329" i="4"/>
  <c r="I329" i="4"/>
  <c r="L329" i="4"/>
  <c r="M329" i="4"/>
  <c r="N329" i="4"/>
  <c r="O329" i="4"/>
  <c r="R329" i="4"/>
  <c r="S329" i="4"/>
  <c r="T329" i="4"/>
  <c r="U329" i="4"/>
  <c r="W329" i="4"/>
  <c r="Z329" i="4"/>
  <c r="AA329" i="4"/>
  <c r="AB329" i="4"/>
  <c r="AC329" i="4"/>
  <c r="F330" i="4"/>
  <c r="G330" i="4"/>
  <c r="H330" i="4"/>
  <c r="I330" i="4"/>
  <c r="L330" i="4"/>
  <c r="M330" i="4"/>
  <c r="N330" i="4"/>
  <c r="O330" i="4"/>
  <c r="R330" i="4"/>
  <c r="S330" i="4"/>
  <c r="T330" i="4"/>
  <c r="U330" i="4"/>
  <c r="W330" i="4"/>
  <c r="Z330" i="4"/>
  <c r="AA330" i="4"/>
  <c r="AB330" i="4"/>
  <c r="AC330" i="4"/>
  <c r="F331" i="4"/>
  <c r="G331" i="4"/>
  <c r="H331" i="4"/>
  <c r="I331" i="4"/>
  <c r="L331" i="4"/>
  <c r="M331" i="4"/>
  <c r="N331" i="4"/>
  <c r="O331" i="4"/>
  <c r="R331" i="4"/>
  <c r="S331" i="4"/>
  <c r="T331" i="4"/>
  <c r="U331" i="4"/>
  <c r="W331" i="4"/>
  <c r="Z331" i="4"/>
  <c r="AA331" i="4"/>
  <c r="AB331" i="4"/>
  <c r="AC331" i="4"/>
  <c r="F332" i="4"/>
  <c r="G332" i="4"/>
  <c r="H332" i="4"/>
  <c r="I332" i="4"/>
  <c r="L332" i="4"/>
  <c r="M332" i="4"/>
  <c r="N332" i="4"/>
  <c r="O332" i="4"/>
  <c r="R332" i="4"/>
  <c r="S332" i="4"/>
  <c r="T332" i="4"/>
  <c r="U332" i="4"/>
  <c r="W332" i="4"/>
  <c r="Z332" i="4"/>
  <c r="AA332" i="4"/>
  <c r="AB332" i="4"/>
  <c r="AC332" i="4"/>
  <c r="F333" i="4"/>
  <c r="G333" i="4"/>
  <c r="H333" i="4"/>
  <c r="I333" i="4"/>
  <c r="L333" i="4"/>
  <c r="M333" i="4"/>
  <c r="N333" i="4"/>
  <c r="O333" i="4"/>
  <c r="R333" i="4"/>
  <c r="S333" i="4"/>
  <c r="T333" i="4"/>
  <c r="U333" i="4"/>
  <c r="W333" i="4"/>
  <c r="Z333" i="4"/>
  <c r="AA333" i="4"/>
  <c r="AB333" i="4"/>
  <c r="AC333" i="4"/>
  <c r="F334" i="4"/>
  <c r="G334" i="4"/>
  <c r="H334" i="4"/>
  <c r="I334" i="4"/>
  <c r="L334" i="4"/>
  <c r="M334" i="4"/>
  <c r="N334" i="4"/>
  <c r="O334" i="4"/>
  <c r="R334" i="4"/>
  <c r="S334" i="4"/>
  <c r="T334" i="4"/>
  <c r="U334" i="4"/>
  <c r="W334" i="4"/>
  <c r="Z334" i="4"/>
  <c r="AA334" i="4"/>
  <c r="AB334" i="4"/>
  <c r="AC334" i="4"/>
  <c r="F335" i="4"/>
  <c r="G335" i="4"/>
  <c r="H335" i="4"/>
  <c r="I335" i="4"/>
  <c r="L335" i="4"/>
  <c r="M335" i="4"/>
  <c r="N335" i="4"/>
  <c r="O335" i="4"/>
  <c r="R335" i="4"/>
  <c r="S335" i="4"/>
  <c r="T335" i="4"/>
  <c r="U335" i="4"/>
  <c r="W335" i="4"/>
  <c r="Z335" i="4"/>
  <c r="AA335" i="4"/>
  <c r="AB335" i="4"/>
  <c r="AC335" i="4"/>
  <c r="F336" i="4"/>
  <c r="G336" i="4"/>
  <c r="H336" i="4"/>
  <c r="I336" i="4"/>
  <c r="L336" i="4"/>
  <c r="M336" i="4"/>
  <c r="N336" i="4"/>
  <c r="O336" i="4"/>
  <c r="R336" i="4"/>
  <c r="S336" i="4"/>
  <c r="T336" i="4"/>
  <c r="U336" i="4"/>
  <c r="W336" i="4"/>
  <c r="Z336" i="4"/>
  <c r="AA336" i="4"/>
  <c r="AB336" i="4"/>
  <c r="AC336" i="4"/>
  <c r="F337" i="4"/>
  <c r="G337" i="4"/>
  <c r="H337" i="4"/>
  <c r="I337" i="4"/>
  <c r="L337" i="4"/>
  <c r="M337" i="4"/>
  <c r="N337" i="4"/>
  <c r="O337" i="4"/>
  <c r="R337" i="4"/>
  <c r="S337" i="4"/>
  <c r="T337" i="4"/>
  <c r="U337" i="4"/>
  <c r="W337" i="4"/>
  <c r="Z337" i="4"/>
  <c r="AA337" i="4"/>
  <c r="AB337" i="4"/>
  <c r="AC337" i="4"/>
  <c r="F338" i="4"/>
  <c r="G338" i="4"/>
  <c r="H338" i="4"/>
  <c r="I338" i="4"/>
  <c r="L338" i="4"/>
  <c r="M338" i="4"/>
  <c r="N338" i="4"/>
  <c r="O338" i="4"/>
  <c r="R338" i="4"/>
  <c r="S338" i="4"/>
  <c r="T338" i="4"/>
  <c r="U338" i="4"/>
  <c r="W338" i="4"/>
  <c r="Z338" i="4"/>
  <c r="AA338" i="4"/>
  <c r="AB338" i="4"/>
  <c r="AC338" i="4"/>
  <c r="F339" i="4"/>
  <c r="G339" i="4"/>
  <c r="H339" i="4"/>
  <c r="I339" i="4"/>
  <c r="L339" i="4"/>
  <c r="M339" i="4"/>
  <c r="N339" i="4"/>
  <c r="O339" i="4"/>
  <c r="R339" i="4"/>
  <c r="S339" i="4"/>
  <c r="T339" i="4"/>
  <c r="U339" i="4"/>
  <c r="W339" i="4"/>
  <c r="Z339" i="4"/>
  <c r="AA339" i="4"/>
  <c r="AB339" i="4"/>
  <c r="AC339" i="4"/>
  <c r="F340" i="4"/>
  <c r="G340" i="4"/>
  <c r="H340" i="4"/>
  <c r="I340" i="4"/>
  <c r="L340" i="4"/>
  <c r="M340" i="4"/>
  <c r="N340" i="4"/>
  <c r="O340" i="4"/>
  <c r="R340" i="4"/>
  <c r="S340" i="4"/>
  <c r="T340" i="4"/>
  <c r="U340" i="4"/>
  <c r="W340" i="4"/>
  <c r="Z340" i="4"/>
  <c r="AA340" i="4"/>
  <c r="AB340" i="4"/>
  <c r="AC340" i="4"/>
  <c r="F341" i="4"/>
  <c r="G341" i="4"/>
  <c r="H341" i="4"/>
  <c r="I341" i="4"/>
  <c r="L341" i="4"/>
  <c r="M341" i="4"/>
  <c r="N341" i="4"/>
  <c r="O341" i="4"/>
  <c r="R341" i="4"/>
  <c r="S341" i="4"/>
  <c r="T341" i="4"/>
  <c r="U341" i="4"/>
  <c r="W341" i="4"/>
  <c r="Z341" i="4"/>
  <c r="AA341" i="4"/>
  <c r="AB341" i="4"/>
  <c r="AC341" i="4"/>
  <c r="F342" i="4"/>
  <c r="G342" i="4"/>
  <c r="H342" i="4"/>
  <c r="I342" i="4"/>
  <c r="L342" i="4"/>
  <c r="M342" i="4"/>
  <c r="N342" i="4"/>
  <c r="O342" i="4"/>
  <c r="R342" i="4"/>
  <c r="S342" i="4"/>
  <c r="T342" i="4"/>
  <c r="U342" i="4"/>
  <c r="W342" i="4"/>
  <c r="Z342" i="4"/>
  <c r="AA342" i="4"/>
  <c r="AB342" i="4"/>
  <c r="AC342" i="4"/>
  <c r="F343" i="4"/>
  <c r="G343" i="4"/>
  <c r="H343" i="4"/>
  <c r="I343" i="4"/>
  <c r="L343" i="4"/>
  <c r="M343" i="4"/>
  <c r="N343" i="4"/>
  <c r="O343" i="4"/>
  <c r="R343" i="4"/>
  <c r="S343" i="4"/>
  <c r="T343" i="4"/>
  <c r="U343" i="4"/>
  <c r="W343" i="4"/>
  <c r="Z343" i="4"/>
  <c r="AA343" i="4"/>
  <c r="AB343" i="4"/>
  <c r="AC343" i="4"/>
  <c r="F344" i="4"/>
  <c r="G344" i="4"/>
  <c r="H344" i="4"/>
  <c r="I344" i="4"/>
  <c r="L344" i="4"/>
  <c r="M344" i="4"/>
  <c r="N344" i="4"/>
  <c r="O344" i="4"/>
  <c r="R344" i="4"/>
  <c r="S344" i="4"/>
  <c r="T344" i="4"/>
  <c r="U344" i="4"/>
  <c r="W344" i="4"/>
  <c r="Z344" i="4"/>
  <c r="AA344" i="4"/>
  <c r="AB344" i="4"/>
  <c r="AC344" i="4"/>
  <c r="F345" i="4"/>
  <c r="G345" i="4"/>
  <c r="H345" i="4"/>
  <c r="I345" i="4"/>
  <c r="L345" i="4"/>
  <c r="M345" i="4"/>
  <c r="N345" i="4"/>
  <c r="O345" i="4"/>
  <c r="R345" i="4"/>
  <c r="S345" i="4"/>
  <c r="T345" i="4"/>
  <c r="U345" i="4"/>
  <c r="W345" i="4"/>
  <c r="Z345" i="4"/>
  <c r="AA345" i="4"/>
  <c r="AB345" i="4"/>
  <c r="AC345" i="4"/>
  <c r="AH345" i="4"/>
  <c r="AK345" i="4"/>
  <c r="AL345" i="4"/>
  <c r="AM345" i="4"/>
  <c r="AN345" i="4"/>
  <c r="AO345" i="4"/>
  <c r="F346" i="4"/>
  <c r="G346" i="4"/>
  <c r="H346" i="4"/>
  <c r="I346" i="4"/>
  <c r="L346" i="4"/>
  <c r="M346" i="4"/>
  <c r="N346" i="4"/>
  <c r="O346" i="4"/>
  <c r="R346" i="4"/>
  <c r="S346" i="4"/>
  <c r="T346" i="4"/>
  <c r="U346" i="4"/>
  <c r="W346" i="4"/>
  <c r="Z346" i="4"/>
  <c r="AA346" i="4"/>
  <c r="AB346" i="4"/>
  <c r="AC346" i="4"/>
  <c r="AH346" i="4"/>
  <c r="AK346" i="4"/>
  <c r="AL346" i="4"/>
  <c r="AM346" i="4"/>
  <c r="AN346" i="4"/>
  <c r="AO346" i="4"/>
  <c r="F347" i="4"/>
  <c r="G347" i="4"/>
  <c r="H347" i="4"/>
  <c r="I347" i="4"/>
  <c r="L347" i="4"/>
  <c r="M347" i="4"/>
  <c r="N347" i="4"/>
  <c r="O347" i="4"/>
  <c r="R347" i="4"/>
  <c r="S347" i="4"/>
  <c r="T347" i="4"/>
  <c r="U347" i="4"/>
  <c r="W347" i="4"/>
  <c r="Z347" i="4"/>
  <c r="AA347" i="4"/>
  <c r="AB347" i="4"/>
  <c r="AC347" i="4"/>
  <c r="AH347" i="4"/>
  <c r="AK347" i="4"/>
  <c r="AL347" i="4"/>
  <c r="AM347" i="4"/>
  <c r="AN347" i="4"/>
  <c r="AO347" i="4"/>
  <c r="F348" i="4"/>
  <c r="G348" i="4"/>
  <c r="H348" i="4"/>
  <c r="I348" i="4"/>
  <c r="L348" i="4"/>
  <c r="M348" i="4"/>
  <c r="N348" i="4"/>
  <c r="O348" i="4"/>
  <c r="R348" i="4"/>
  <c r="S348" i="4"/>
  <c r="T348" i="4"/>
  <c r="U348" i="4"/>
  <c r="W348" i="4"/>
  <c r="Z348" i="4"/>
  <c r="AA348" i="4"/>
  <c r="AB348" i="4"/>
  <c r="AC348" i="4"/>
  <c r="AH348" i="4"/>
  <c r="AK348" i="4"/>
  <c r="AL348" i="4"/>
  <c r="AM348" i="4"/>
  <c r="AN348" i="4"/>
  <c r="AO348" i="4"/>
  <c r="F349" i="4"/>
  <c r="G349" i="4"/>
  <c r="H349" i="4"/>
  <c r="I349" i="4"/>
  <c r="L349" i="4"/>
  <c r="M349" i="4"/>
  <c r="N349" i="4"/>
  <c r="O349" i="4"/>
  <c r="R349" i="4"/>
  <c r="S349" i="4"/>
  <c r="T349" i="4"/>
  <c r="U349" i="4"/>
  <c r="W349" i="4"/>
  <c r="Z349" i="4"/>
  <c r="AA349" i="4"/>
  <c r="AB349" i="4"/>
  <c r="AC349" i="4"/>
  <c r="AH349" i="4"/>
  <c r="AK349" i="4"/>
  <c r="AL349" i="4"/>
  <c r="AM349" i="4"/>
  <c r="AN349" i="4"/>
  <c r="AO349" i="4"/>
  <c r="F350" i="4"/>
  <c r="G350" i="4"/>
  <c r="H350" i="4"/>
  <c r="I350" i="4"/>
  <c r="L350" i="4"/>
  <c r="M350" i="4"/>
  <c r="N350" i="4"/>
  <c r="O350" i="4"/>
  <c r="R350" i="4"/>
  <c r="S350" i="4"/>
  <c r="T350" i="4"/>
  <c r="U350" i="4"/>
  <c r="W350" i="4"/>
  <c r="Z350" i="4"/>
  <c r="AA350" i="4"/>
  <c r="AB350" i="4"/>
  <c r="AC350" i="4"/>
  <c r="AH350" i="4"/>
  <c r="AK350" i="4"/>
  <c r="AL350" i="4"/>
  <c r="AM350" i="4"/>
  <c r="AN350" i="4"/>
  <c r="AO350" i="4"/>
  <c r="F351" i="4"/>
  <c r="G351" i="4"/>
  <c r="H351" i="4"/>
  <c r="I351" i="4"/>
  <c r="L351" i="4"/>
  <c r="M351" i="4"/>
  <c r="N351" i="4"/>
  <c r="O351" i="4"/>
  <c r="R351" i="4"/>
  <c r="S351" i="4"/>
  <c r="T351" i="4"/>
  <c r="U351" i="4"/>
  <c r="W351" i="4"/>
  <c r="Z351" i="4"/>
  <c r="AA351" i="4"/>
  <c r="AB351" i="4"/>
  <c r="AC351" i="4"/>
  <c r="AH351" i="4"/>
  <c r="AK351" i="4"/>
  <c r="AL351" i="4"/>
  <c r="AM351" i="4"/>
  <c r="AN351" i="4"/>
  <c r="AO351" i="4"/>
  <c r="F352" i="4"/>
  <c r="G352" i="4"/>
  <c r="H352" i="4"/>
  <c r="I352" i="4"/>
  <c r="L352" i="4"/>
  <c r="M352" i="4"/>
  <c r="N352" i="4"/>
  <c r="O352" i="4"/>
  <c r="R352" i="4"/>
  <c r="S352" i="4"/>
  <c r="T352" i="4"/>
  <c r="U352" i="4"/>
  <c r="W352" i="4"/>
  <c r="Z352" i="4"/>
  <c r="AA352" i="4"/>
  <c r="AB352" i="4"/>
  <c r="AC352" i="4"/>
  <c r="AH352" i="4"/>
  <c r="AK352" i="4"/>
  <c r="AL352" i="4"/>
  <c r="AM352" i="4"/>
  <c r="AN352" i="4"/>
  <c r="AO352" i="4"/>
  <c r="F353" i="4"/>
  <c r="G353" i="4"/>
  <c r="H353" i="4"/>
  <c r="I353" i="4"/>
  <c r="L353" i="4"/>
  <c r="M353" i="4"/>
  <c r="N353" i="4"/>
  <c r="O353" i="4"/>
  <c r="R353" i="4"/>
  <c r="S353" i="4"/>
  <c r="T353" i="4"/>
  <c r="U353" i="4"/>
  <c r="W353" i="4"/>
  <c r="Z353" i="4"/>
  <c r="AA353" i="4"/>
  <c r="AB353" i="4"/>
  <c r="AC353" i="4"/>
  <c r="AH353" i="4"/>
  <c r="AK353" i="4"/>
  <c r="AL353" i="4"/>
  <c r="AM353" i="4"/>
  <c r="AN353" i="4"/>
  <c r="AO353" i="4"/>
  <c r="F354" i="4"/>
  <c r="G354" i="4"/>
  <c r="H354" i="4"/>
  <c r="I354" i="4"/>
  <c r="L354" i="4"/>
  <c r="M354" i="4"/>
  <c r="N354" i="4"/>
  <c r="O354" i="4"/>
  <c r="R354" i="4"/>
  <c r="S354" i="4"/>
  <c r="T354" i="4"/>
  <c r="U354" i="4"/>
  <c r="W354" i="4"/>
  <c r="Z354" i="4"/>
  <c r="AA354" i="4"/>
  <c r="AB354" i="4"/>
  <c r="AC354" i="4"/>
  <c r="AH354" i="4"/>
  <c r="AK354" i="4"/>
  <c r="AL354" i="4"/>
  <c r="AM354" i="4"/>
  <c r="AN354" i="4"/>
  <c r="AO354" i="4"/>
  <c r="F355" i="4"/>
  <c r="G355" i="4"/>
  <c r="H355" i="4"/>
  <c r="I355" i="4"/>
  <c r="L355" i="4"/>
  <c r="M355" i="4"/>
  <c r="N355" i="4"/>
  <c r="O355" i="4"/>
  <c r="R355" i="4"/>
  <c r="S355" i="4"/>
  <c r="T355" i="4"/>
  <c r="U355" i="4"/>
  <c r="W355" i="4"/>
  <c r="Z355" i="4"/>
  <c r="AA355" i="4"/>
  <c r="AB355" i="4"/>
  <c r="AC355" i="4"/>
  <c r="AH355" i="4"/>
  <c r="AK355" i="4"/>
  <c r="AL355" i="4"/>
  <c r="AM355" i="4"/>
  <c r="AN355" i="4"/>
  <c r="AO355" i="4"/>
  <c r="F356" i="4"/>
  <c r="G356" i="4"/>
  <c r="H356" i="4"/>
  <c r="I356" i="4"/>
  <c r="L356" i="4"/>
  <c r="M356" i="4"/>
  <c r="N356" i="4"/>
  <c r="O356" i="4"/>
  <c r="R356" i="4"/>
  <c r="S356" i="4"/>
  <c r="T356" i="4"/>
  <c r="U356" i="4"/>
  <c r="W356" i="4"/>
  <c r="Z356" i="4"/>
  <c r="AA356" i="4"/>
  <c r="AB356" i="4"/>
  <c r="AC356" i="4"/>
  <c r="AH356" i="4"/>
  <c r="AK356" i="4"/>
  <c r="AL356" i="4"/>
  <c r="AM356" i="4"/>
  <c r="AN356" i="4"/>
  <c r="AO356" i="4"/>
  <c r="F357" i="4"/>
  <c r="G357" i="4"/>
  <c r="H357" i="4"/>
  <c r="I357" i="4"/>
  <c r="L357" i="4"/>
  <c r="M357" i="4"/>
  <c r="N357" i="4"/>
  <c r="O357" i="4"/>
  <c r="R357" i="4"/>
  <c r="S357" i="4"/>
  <c r="T357" i="4"/>
  <c r="U357" i="4"/>
  <c r="W357" i="4"/>
  <c r="Z357" i="4"/>
  <c r="AA357" i="4"/>
  <c r="AB357" i="4"/>
  <c r="AC357" i="4"/>
  <c r="AH357" i="4"/>
  <c r="AK357" i="4"/>
  <c r="AL357" i="4"/>
  <c r="AM357" i="4"/>
  <c r="AN357" i="4"/>
  <c r="AO357" i="4"/>
  <c r="F358" i="4"/>
  <c r="G358" i="4"/>
  <c r="H358" i="4"/>
  <c r="I358" i="4"/>
  <c r="L358" i="4"/>
  <c r="M358" i="4"/>
  <c r="N358" i="4"/>
  <c r="O358" i="4"/>
  <c r="R358" i="4"/>
  <c r="S358" i="4"/>
  <c r="T358" i="4"/>
  <c r="U358" i="4"/>
  <c r="W358" i="4"/>
  <c r="Z358" i="4"/>
  <c r="AA358" i="4"/>
  <c r="AB358" i="4"/>
  <c r="AC358" i="4"/>
  <c r="AH358" i="4"/>
  <c r="AK358" i="4"/>
  <c r="AL358" i="4"/>
  <c r="AM358" i="4"/>
  <c r="AN358" i="4"/>
  <c r="AO358" i="4"/>
  <c r="F359" i="4"/>
  <c r="G359" i="4"/>
  <c r="H359" i="4"/>
  <c r="I359" i="4"/>
  <c r="L359" i="4"/>
  <c r="M359" i="4"/>
  <c r="N359" i="4"/>
  <c r="O359" i="4"/>
  <c r="R359" i="4"/>
  <c r="S359" i="4"/>
  <c r="T359" i="4"/>
  <c r="U359" i="4"/>
  <c r="W359" i="4"/>
  <c r="Z359" i="4"/>
  <c r="AA359" i="4"/>
  <c r="AB359" i="4"/>
  <c r="AC359" i="4"/>
  <c r="AH359" i="4"/>
  <c r="AK359" i="4"/>
  <c r="AL359" i="4"/>
  <c r="AM359" i="4"/>
  <c r="AN359" i="4"/>
  <c r="AO359" i="4"/>
  <c r="F360" i="4"/>
  <c r="G360" i="4"/>
  <c r="H360" i="4"/>
  <c r="I360" i="4"/>
  <c r="L360" i="4"/>
  <c r="M360" i="4"/>
  <c r="N360" i="4"/>
  <c r="O360" i="4"/>
  <c r="R360" i="4"/>
  <c r="S360" i="4"/>
  <c r="T360" i="4"/>
  <c r="U360" i="4"/>
  <c r="W360" i="4"/>
  <c r="Z360" i="4"/>
  <c r="AA360" i="4"/>
  <c r="AB360" i="4"/>
  <c r="AC360" i="4"/>
  <c r="AH360" i="4"/>
  <c r="AK360" i="4"/>
  <c r="AL360" i="4"/>
  <c r="AM360" i="4"/>
  <c r="AN360" i="4"/>
  <c r="AO360" i="4"/>
  <c r="F361" i="4"/>
  <c r="G361" i="4"/>
  <c r="H361" i="4"/>
  <c r="I361" i="4"/>
  <c r="L361" i="4"/>
  <c r="M361" i="4"/>
  <c r="N361" i="4"/>
  <c r="O361" i="4"/>
  <c r="R361" i="4"/>
  <c r="S361" i="4"/>
  <c r="T361" i="4"/>
  <c r="U361" i="4"/>
  <c r="W361" i="4"/>
  <c r="Z361" i="4"/>
  <c r="AA361" i="4"/>
  <c r="AB361" i="4"/>
  <c r="AC361" i="4"/>
  <c r="AH361" i="4"/>
  <c r="AK361" i="4"/>
  <c r="AL361" i="4"/>
  <c r="AM361" i="4"/>
  <c r="AN361" i="4"/>
  <c r="AO361" i="4"/>
  <c r="F362" i="4"/>
  <c r="G362" i="4"/>
  <c r="H362" i="4"/>
  <c r="I362" i="4"/>
  <c r="L362" i="4"/>
  <c r="M362" i="4"/>
  <c r="N362" i="4"/>
  <c r="O362" i="4"/>
  <c r="R362" i="4"/>
  <c r="S362" i="4"/>
  <c r="T362" i="4"/>
  <c r="U362" i="4"/>
  <c r="W362" i="4"/>
  <c r="Z362" i="4"/>
  <c r="AA362" i="4"/>
  <c r="AB362" i="4"/>
  <c r="AC362" i="4"/>
  <c r="AH362" i="4"/>
  <c r="AK362" i="4"/>
  <c r="AL362" i="4"/>
  <c r="AM362" i="4"/>
  <c r="AN362" i="4"/>
  <c r="AO362" i="4"/>
  <c r="F363" i="4"/>
  <c r="G363" i="4"/>
  <c r="H363" i="4"/>
  <c r="I363" i="4"/>
  <c r="L363" i="4"/>
  <c r="M363" i="4"/>
  <c r="N363" i="4"/>
  <c r="O363" i="4"/>
  <c r="R363" i="4"/>
  <c r="S363" i="4"/>
  <c r="T363" i="4"/>
  <c r="U363" i="4"/>
  <c r="W363" i="4"/>
  <c r="Z363" i="4"/>
  <c r="AA363" i="4"/>
  <c r="AB363" i="4"/>
  <c r="AC363" i="4"/>
  <c r="AH363" i="4"/>
  <c r="AK363" i="4"/>
  <c r="AL363" i="4"/>
  <c r="AM363" i="4"/>
  <c r="AN363" i="4"/>
  <c r="AO363" i="4"/>
  <c r="F364" i="4"/>
  <c r="G364" i="4"/>
  <c r="H364" i="4"/>
  <c r="I364" i="4"/>
  <c r="L364" i="4"/>
  <c r="M364" i="4"/>
  <c r="N364" i="4"/>
  <c r="O364" i="4"/>
  <c r="R364" i="4"/>
  <c r="S364" i="4"/>
  <c r="T364" i="4"/>
  <c r="U364" i="4"/>
  <c r="W364" i="4"/>
  <c r="Z364" i="4"/>
  <c r="AA364" i="4"/>
  <c r="AB364" i="4"/>
  <c r="AC364" i="4"/>
  <c r="AH364" i="4"/>
  <c r="AK364" i="4"/>
  <c r="AL364" i="4"/>
  <c r="AM364" i="4"/>
  <c r="AN364" i="4"/>
  <c r="AO364" i="4"/>
  <c r="F365" i="4"/>
  <c r="G365" i="4"/>
  <c r="H365" i="4"/>
  <c r="I365" i="4"/>
  <c r="L365" i="4"/>
  <c r="M365" i="4"/>
  <c r="N365" i="4"/>
  <c r="O365" i="4"/>
  <c r="R365" i="4"/>
  <c r="S365" i="4"/>
  <c r="T365" i="4"/>
  <c r="U365" i="4"/>
  <c r="W365" i="4"/>
  <c r="Z365" i="4"/>
  <c r="AA365" i="4"/>
  <c r="AB365" i="4"/>
  <c r="AC365" i="4"/>
  <c r="AH365" i="4"/>
  <c r="AK365" i="4"/>
  <c r="AL365" i="4"/>
  <c r="AM365" i="4"/>
  <c r="AN365" i="4"/>
  <c r="AO365" i="4"/>
  <c r="F366" i="4"/>
  <c r="G366" i="4"/>
  <c r="H366" i="4"/>
  <c r="I366" i="4"/>
  <c r="L366" i="4"/>
  <c r="M366" i="4"/>
  <c r="N366" i="4"/>
  <c r="O366" i="4"/>
  <c r="R366" i="4"/>
  <c r="S366" i="4"/>
  <c r="T366" i="4"/>
  <c r="U366" i="4"/>
  <c r="W366" i="4"/>
  <c r="Z366" i="4"/>
  <c r="AA366" i="4"/>
  <c r="AB366" i="4"/>
  <c r="AC366" i="4"/>
  <c r="AH366" i="4"/>
  <c r="AK366" i="4"/>
  <c r="AL366" i="4"/>
  <c r="AM366" i="4"/>
  <c r="AN366" i="4"/>
  <c r="AO366" i="4"/>
  <c r="F367" i="4"/>
  <c r="G367" i="4"/>
  <c r="H367" i="4"/>
  <c r="I367" i="4"/>
  <c r="L367" i="4"/>
  <c r="M367" i="4"/>
  <c r="N367" i="4"/>
  <c r="O367" i="4"/>
  <c r="R367" i="4"/>
  <c r="S367" i="4"/>
  <c r="T367" i="4"/>
  <c r="U367" i="4"/>
  <c r="W367" i="4"/>
  <c r="Z367" i="4"/>
  <c r="AA367" i="4"/>
  <c r="AB367" i="4"/>
  <c r="AC367" i="4"/>
  <c r="AH367" i="4"/>
  <c r="AK367" i="4"/>
  <c r="AL367" i="4"/>
  <c r="AM367" i="4"/>
  <c r="AN367" i="4"/>
  <c r="AO367" i="4"/>
  <c r="F368" i="4"/>
  <c r="G368" i="4"/>
  <c r="H368" i="4"/>
  <c r="I368" i="4"/>
  <c r="L368" i="4"/>
  <c r="M368" i="4"/>
  <c r="N368" i="4"/>
  <c r="O368" i="4"/>
  <c r="R368" i="4"/>
  <c r="S368" i="4"/>
  <c r="T368" i="4"/>
  <c r="U368" i="4"/>
  <c r="W368" i="4"/>
  <c r="Z368" i="4"/>
  <c r="AA368" i="4"/>
  <c r="AB368" i="4"/>
  <c r="AC368" i="4"/>
  <c r="AH368" i="4"/>
  <c r="AK368" i="4"/>
  <c r="AL368" i="4"/>
  <c r="AM368" i="4"/>
  <c r="AN368" i="4"/>
  <c r="AO368" i="4"/>
  <c r="F369" i="4"/>
  <c r="G369" i="4"/>
  <c r="H369" i="4"/>
  <c r="I369" i="4"/>
  <c r="L369" i="4"/>
  <c r="M369" i="4"/>
  <c r="N369" i="4"/>
  <c r="O369" i="4"/>
  <c r="R369" i="4"/>
  <c r="S369" i="4"/>
  <c r="T369" i="4"/>
  <c r="U369" i="4"/>
  <c r="W369" i="4"/>
  <c r="Z369" i="4"/>
  <c r="AA369" i="4"/>
  <c r="AB369" i="4"/>
  <c r="AC369" i="4"/>
  <c r="AH369" i="4"/>
  <c r="AK369" i="4"/>
  <c r="AL369" i="4"/>
  <c r="AM369" i="4"/>
  <c r="AN369" i="4"/>
  <c r="AO369" i="4"/>
  <c r="F370" i="4"/>
  <c r="G370" i="4"/>
  <c r="H370" i="4"/>
  <c r="I370" i="4"/>
  <c r="L370" i="4"/>
  <c r="M370" i="4"/>
  <c r="N370" i="4"/>
  <c r="O370" i="4"/>
  <c r="R370" i="4"/>
  <c r="S370" i="4"/>
  <c r="T370" i="4"/>
  <c r="U370" i="4"/>
  <c r="W370" i="4"/>
  <c r="Z370" i="4"/>
  <c r="AA370" i="4"/>
  <c r="AB370" i="4"/>
  <c r="AC370" i="4"/>
  <c r="AH370" i="4"/>
  <c r="AK370" i="4"/>
  <c r="AL370" i="4"/>
  <c r="AM370" i="4"/>
  <c r="AN370" i="4"/>
  <c r="AO370" i="4"/>
  <c r="F371" i="4"/>
  <c r="G371" i="4"/>
  <c r="H371" i="4"/>
  <c r="I371" i="4"/>
  <c r="L371" i="4"/>
  <c r="M371" i="4"/>
  <c r="N371" i="4"/>
  <c r="O371" i="4"/>
  <c r="R371" i="4"/>
  <c r="S371" i="4"/>
  <c r="T371" i="4"/>
  <c r="U371" i="4"/>
  <c r="W371" i="4"/>
  <c r="Z371" i="4"/>
  <c r="AA371" i="4"/>
  <c r="AB371" i="4"/>
  <c r="AC371" i="4"/>
  <c r="AH371" i="4"/>
  <c r="AK371" i="4"/>
  <c r="AL371" i="4"/>
  <c r="AM371" i="4"/>
  <c r="AN371" i="4"/>
  <c r="AO371" i="4"/>
  <c r="F372" i="4"/>
  <c r="G372" i="4"/>
  <c r="H372" i="4"/>
  <c r="I372" i="4"/>
  <c r="L372" i="4"/>
  <c r="M372" i="4"/>
  <c r="N372" i="4"/>
  <c r="O372" i="4"/>
  <c r="R372" i="4"/>
  <c r="S372" i="4"/>
  <c r="T372" i="4"/>
  <c r="U372" i="4"/>
  <c r="W372" i="4"/>
  <c r="Z372" i="4"/>
  <c r="AA372" i="4"/>
  <c r="AB372" i="4"/>
  <c r="AC372" i="4"/>
  <c r="AH372" i="4"/>
  <c r="AK372" i="4"/>
  <c r="AL372" i="4"/>
  <c r="AM372" i="4"/>
  <c r="AN372" i="4"/>
  <c r="AO372" i="4"/>
  <c r="F373" i="4"/>
  <c r="G373" i="4"/>
  <c r="H373" i="4"/>
  <c r="I373" i="4"/>
  <c r="L373" i="4"/>
  <c r="M373" i="4"/>
  <c r="N373" i="4"/>
  <c r="O373" i="4"/>
  <c r="R373" i="4"/>
  <c r="S373" i="4"/>
  <c r="T373" i="4"/>
  <c r="U373" i="4"/>
  <c r="W373" i="4"/>
  <c r="Z373" i="4"/>
  <c r="AA373" i="4"/>
  <c r="AB373" i="4"/>
  <c r="AC373" i="4"/>
  <c r="AH373" i="4"/>
  <c r="AK373" i="4"/>
  <c r="AL373" i="4"/>
  <c r="AM373" i="4"/>
  <c r="AN373" i="4"/>
  <c r="AO373" i="4"/>
  <c r="F374" i="4"/>
  <c r="G374" i="4"/>
  <c r="H374" i="4"/>
  <c r="I374" i="4"/>
  <c r="L374" i="4"/>
  <c r="M374" i="4"/>
  <c r="N374" i="4"/>
  <c r="O374" i="4"/>
  <c r="R374" i="4"/>
  <c r="S374" i="4"/>
  <c r="T374" i="4"/>
  <c r="U374" i="4"/>
  <c r="W374" i="4"/>
  <c r="Z374" i="4"/>
  <c r="AA374" i="4"/>
  <c r="AB374" i="4"/>
  <c r="AC374" i="4"/>
  <c r="AH374" i="4"/>
  <c r="AK374" i="4"/>
  <c r="AL374" i="4"/>
  <c r="AM374" i="4"/>
  <c r="AN374" i="4"/>
  <c r="AO374" i="4"/>
  <c r="F375" i="4"/>
  <c r="G375" i="4"/>
  <c r="H375" i="4"/>
  <c r="I375" i="4"/>
  <c r="L375" i="4"/>
  <c r="M375" i="4"/>
  <c r="N375" i="4"/>
  <c r="O375" i="4"/>
  <c r="R375" i="4"/>
  <c r="S375" i="4"/>
  <c r="T375" i="4"/>
  <c r="U375" i="4"/>
  <c r="W375" i="4"/>
  <c r="Z375" i="4"/>
  <c r="AA375" i="4"/>
  <c r="AB375" i="4"/>
  <c r="AC375" i="4"/>
  <c r="AH375" i="4"/>
  <c r="AK375" i="4"/>
  <c r="AL375" i="4"/>
  <c r="AM375" i="4"/>
  <c r="AN375" i="4"/>
  <c r="AO375" i="4"/>
  <c r="F376" i="4"/>
  <c r="G376" i="4"/>
  <c r="H376" i="4"/>
  <c r="I376" i="4"/>
  <c r="L376" i="4"/>
  <c r="M376" i="4"/>
  <c r="N376" i="4"/>
  <c r="O376" i="4"/>
  <c r="R376" i="4"/>
  <c r="S376" i="4"/>
  <c r="T376" i="4"/>
  <c r="U376" i="4"/>
  <c r="W376" i="4"/>
  <c r="Z376" i="4"/>
  <c r="AA376" i="4"/>
  <c r="AB376" i="4"/>
  <c r="AC376" i="4"/>
  <c r="AH376" i="4"/>
  <c r="AK376" i="4"/>
  <c r="AL376" i="4"/>
  <c r="AM376" i="4"/>
  <c r="AN376" i="4"/>
  <c r="AO376" i="4"/>
  <c r="F377" i="4"/>
  <c r="G377" i="4"/>
  <c r="H377" i="4"/>
  <c r="I377" i="4"/>
  <c r="L377" i="4"/>
  <c r="M377" i="4"/>
  <c r="N377" i="4"/>
  <c r="O377" i="4"/>
  <c r="R377" i="4"/>
  <c r="S377" i="4"/>
  <c r="T377" i="4"/>
  <c r="U377" i="4"/>
  <c r="W377" i="4"/>
  <c r="Z377" i="4"/>
  <c r="AA377" i="4"/>
  <c r="AB377" i="4"/>
  <c r="AC377" i="4"/>
  <c r="AH377" i="4"/>
  <c r="AK377" i="4"/>
  <c r="AL377" i="4"/>
  <c r="AM377" i="4"/>
  <c r="AN377" i="4"/>
  <c r="AO377" i="4"/>
  <c r="F378" i="4"/>
  <c r="G378" i="4"/>
  <c r="H378" i="4"/>
  <c r="I378" i="4"/>
  <c r="L378" i="4"/>
  <c r="M378" i="4"/>
  <c r="N378" i="4"/>
  <c r="O378" i="4"/>
  <c r="R378" i="4"/>
  <c r="S378" i="4"/>
  <c r="T378" i="4"/>
  <c r="U378" i="4"/>
  <c r="W378" i="4"/>
  <c r="Z378" i="4"/>
  <c r="AA378" i="4"/>
  <c r="AB378" i="4"/>
  <c r="AC378" i="4"/>
  <c r="AH378" i="4"/>
  <c r="AK378" i="4"/>
  <c r="AL378" i="4"/>
  <c r="AM378" i="4"/>
  <c r="AN378" i="4"/>
  <c r="AO378" i="4"/>
  <c r="F379" i="4"/>
  <c r="G379" i="4"/>
  <c r="H379" i="4"/>
  <c r="I379" i="4"/>
  <c r="L379" i="4"/>
  <c r="M379" i="4"/>
  <c r="N379" i="4"/>
  <c r="O379" i="4"/>
  <c r="R379" i="4"/>
  <c r="S379" i="4"/>
  <c r="T379" i="4"/>
  <c r="U379" i="4"/>
  <c r="W379" i="4"/>
  <c r="Z379" i="4"/>
  <c r="AA379" i="4"/>
  <c r="AB379" i="4"/>
  <c r="AC379" i="4"/>
  <c r="AH379" i="4"/>
  <c r="AK379" i="4"/>
  <c r="AL379" i="4"/>
  <c r="AM379" i="4"/>
  <c r="AN379" i="4"/>
  <c r="AO379" i="4"/>
  <c r="F380" i="4"/>
  <c r="G380" i="4"/>
  <c r="H380" i="4"/>
  <c r="I380" i="4"/>
  <c r="L380" i="4"/>
  <c r="M380" i="4"/>
  <c r="N380" i="4"/>
  <c r="O380" i="4"/>
  <c r="R380" i="4"/>
  <c r="S380" i="4"/>
  <c r="T380" i="4"/>
  <c r="U380" i="4"/>
  <c r="W380" i="4"/>
  <c r="Z380" i="4"/>
  <c r="AA380" i="4"/>
  <c r="AB380" i="4"/>
  <c r="AC380" i="4"/>
  <c r="AH380" i="4"/>
  <c r="AK380" i="4"/>
  <c r="AL380" i="4"/>
  <c r="AM380" i="4"/>
  <c r="AN380" i="4"/>
  <c r="AO380" i="4"/>
  <c r="F381" i="4"/>
  <c r="G381" i="4"/>
  <c r="H381" i="4"/>
  <c r="I381" i="4"/>
  <c r="L381" i="4"/>
  <c r="M381" i="4"/>
  <c r="N381" i="4"/>
  <c r="O381" i="4"/>
  <c r="R381" i="4"/>
  <c r="S381" i="4"/>
  <c r="T381" i="4"/>
  <c r="U381" i="4"/>
  <c r="W381" i="4"/>
  <c r="Z381" i="4"/>
  <c r="AA381" i="4"/>
  <c r="AB381" i="4"/>
  <c r="AC381" i="4"/>
  <c r="AH381" i="4"/>
  <c r="AK381" i="4"/>
  <c r="AL381" i="4"/>
  <c r="AM381" i="4"/>
  <c r="AN381" i="4"/>
  <c r="AO381" i="4"/>
  <c r="F382" i="4"/>
  <c r="G382" i="4"/>
  <c r="H382" i="4"/>
  <c r="I382" i="4"/>
  <c r="L382" i="4"/>
  <c r="M382" i="4"/>
  <c r="N382" i="4"/>
  <c r="O382" i="4"/>
  <c r="R382" i="4"/>
  <c r="S382" i="4"/>
  <c r="T382" i="4"/>
  <c r="U382" i="4"/>
  <c r="W382" i="4"/>
  <c r="Z382" i="4"/>
  <c r="AA382" i="4"/>
  <c r="AB382" i="4"/>
  <c r="AC382" i="4"/>
  <c r="AH382" i="4"/>
  <c r="AK382" i="4"/>
  <c r="AL382" i="4"/>
  <c r="AM382" i="4"/>
  <c r="AN382" i="4"/>
  <c r="AO382" i="4"/>
  <c r="F383" i="4"/>
  <c r="G383" i="4"/>
  <c r="H383" i="4"/>
  <c r="I383" i="4"/>
  <c r="L383" i="4"/>
  <c r="M383" i="4"/>
  <c r="N383" i="4"/>
  <c r="O383" i="4"/>
  <c r="R383" i="4"/>
  <c r="S383" i="4"/>
  <c r="T383" i="4"/>
  <c r="U383" i="4"/>
  <c r="W383" i="4"/>
  <c r="Z383" i="4"/>
  <c r="AA383" i="4"/>
  <c r="AB383" i="4"/>
  <c r="AC383" i="4"/>
  <c r="AH383" i="4"/>
  <c r="AK383" i="4"/>
  <c r="AL383" i="4"/>
  <c r="AM383" i="4"/>
  <c r="AN383" i="4"/>
  <c r="AO383" i="4"/>
  <c r="F384" i="4"/>
  <c r="G384" i="4"/>
  <c r="H384" i="4"/>
  <c r="I384" i="4"/>
  <c r="L384" i="4"/>
  <c r="M384" i="4"/>
  <c r="N384" i="4"/>
  <c r="O384" i="4"/>
  <c r="R384" i="4"/>
  <c r="S384" i="4"/>
  <c r="T384" i="4"/>
  <c r="U384" i="4"/>
  <c r="W384" i="4"/>
  <c r="Z384" i="4"/>
  <c r="AA384" i="4"/>
  <c r="AB384" i="4"/>
  <c r="AC384" i="4"/>
  <c r="AH384" i="4"/>
  <c r="AK384" i="4"/>
  <c r="AL384" i="4"/>
  <c r="AM384" i="4"/>
  <c r="AN384" i="4"/>
  <c r="AO384" i="4"/>
  <c r="F385" i="4"/>
  <c r="G385" i="4"/>
  <c r="H385" i="4"/>
  <c r="I385" i="4"/>
  <c r="L385" i="4"/>
  <c r="M385" i="4"/>
  <c r="N385" i="4"/>
  <c r="O385" i="4"/>
  <c r="R385" i="4"/>
  <c r="S385" i="4"/>
  <c r="T385" i="4"/>
  <c r="U385" i="4"/>
  <c r="W385" i="4"/>
  <c r="Z385" i="4"/>
  <c r="AA385" i="4"/>
  <c r="AB385" i="4"/>
  <c r="AC385" i="4"/>
  <c r="AH385" i="4"/>
  <c r="AK385" i="4"/>
  <c r="AL385" i="4"/>
  <c r="AM385" i="4"/>
  <c r="AN385" i="4"/>
  <c r="AO385" i="4"/>
  <c r="F386" i="4"/>
  <c r="G386" i="4"/>
  <c r="H386" i="4"/>
  <c r="I386" i="4"/>
  <c r="L386" i="4"/>
  <c r="M386" i="4"/>
  <c r="N386" i="4"/>
  <c r="O386" i="4"/>
  <c r="R386" i="4"/>
  <c r="S386" i="4"/>
  <c r="T386" i="4"/>
  <c r="U386" i="4"/>
  <c r="W386" i="4"/>
  <c r="Z386" i="4"/>
  <c r="AA386" i="4"/>
  <c r="AB386" i="4"/>
  <c r="AC386" i="4"/>
  <c r="AH386" i="4"/>
  <c r="AK386" i="4"/>
  <c r="AL386" i="4"/>
  <c r="AM386" i="4"/>
  <c r="AN386" i="4"/>
  <c r="AO386" i="4"/>
  <c r="F387" i="4"/>
  <c r="G387" i="4"/>
  <c r="H387" i="4"/>
  <c r="I387" i="4"/>
  <c r="L387" i="4"/>
  <c r="M387" i="4"/>
  <c r="N387" i="4"/>
  <c r="O387" i="4"/>
  <c r="R387" i="4"/>
  <c r="S387" i="4"/>
  <c r="T387" i="4"/>
  <c r="U387" i="4"/>
  <c r="W387" i="4"/>
  <c r="Z387" i="4"/>
  <c r="AA387" i="4"/>
  <c r="AB387" i="4"/>
  <c r="AC387" i="4"/>
  <c r="AH387" i="4"/>
  <c r="AK387" i="4"/>
  <c r="AL387" i="4"/>
  <c r="AM387" i="4"/>
  <c r="AN387" i="4"/>
  <c r="AO387" i="4"/>
  <c r="F388" i="4"/>
  <c r="G388" i="4"/>
  <c r="H388" i="4"/>
  <c r="I388" i="4"/>
  <c r="L388" i="4"/>
  <c r="M388" i="4"/>
  <c r="N388" i="4"/>
  <c r="O388" i="4"/>
  <c r="R388" i="4"/>
  <c r="S388" i="4"/>
  <c r="T388" i="4"/>
  <c r="U388" i="4"/>
  <c r="W388" i="4"/>
  <c r="Z388" i="4"/>
  <c r="AA388" i="4"/>
  <c r="AB388" i="4"/>
  <c r="AC388" i="4"/>
  <c r="AH388" i="4"/>
  <c r="AK388" i="4"/>
  <c r="AL388" i="4"/>
  <c r="AM388" i="4"/>
  <c r="AN388" i="4"/>
  <c r="AO388" i="4"/>
  <c r="F389" i="4"/>
  <c r="G389" i="4"/>
  <c r="H389" i="4"/>
  <c r="I389" i="4"/>
  <c r="L389" i="4"/>
  <c r="M389" i="4"/>
  <c r="N389" i="4"/>
  <c r="O389" i="4"/>
  <c r="R389" i="4"/>
  <c r="S389" i="4"/>
  <c r="T389" i="4"/>
  <c r="U389" i="4"/>
  <c r="W389" i="4"/>
  <c r="Z389" i="4"/>
  <c r="AA389" i="4"/>
  <c r="AB389" i="4"/>
  <c r="AC389" i="4"/>
  <c r="AH389" i="4"/>
  <c r="AK389" i="4"/>
  <c r="AL389" i="4"/>
  <c r="AM389" i="4"/>
  <c r="AN389" i="4"/>
  <c r="AO389" i="4"/>
  <c r="F390" i="4"/>
  <c r="G390" i="4"/>
  <c r="H390" i="4"/>
  <c r="I390" i="4"/>
  <c r="L390" i="4"/>
  <c r="M390" i="4"/>
  <c r="N390" i="4"/>
  <c r="O390" i="4"/>
  <c r="R390" i="4"/>
  <c r="S390" i="4"/>
  <c r="T390" i="4"/>
  <c r="U390" i="4"/>
  <c r="W390" i="4"/>
  <c r="Z390" i="4"/>
  <c r="AA390" i="4"/>
  <c r="AB390" i="4"/>
  <c r="AC390" i="4"/>
  <c r="AH390" i="4"/>
  <c r="AK390" i="4"/>
  <c r="AL390" i="4"/>
  <c r="AM390" i="4"/>
  <c r="AN390" i="4"/>
  <c r="AO390" i="4"/>
  <c r="F391" i="4"/>
  <c r="G391" i="4"/>
  <c r="H391" i="4"/>
  <c r="I391" i="4"/>
  <c r="L391" i="4"/>
  <c r="M391" i="4"/>
  <c r="N391" i="4"/>
  <c r="O391" i="4"/>
  <c r="R391" i="4"/>
  <c r="S391" i="4"/>
  <c r="T391" i="4"/>
  <c r="U391" i="4"/>
  <c r="W391" i="4"/>
  <c r="Z391" i="4"/>
  <c r="AA391" i="4"/>
  <c r="AB391" i="4"/>
  <c r="AC391" i="4"/>
  <c r="AH391" i="4"/>
  <c r="AK391" i="4"/>
  <c r="AL391" i="4"/>
  <c r="AM391" i="4"/>
  <c r="AN391" i="4"/>
  <c r="AO391" i="4"/>
  <c r="F392" i="4"/>
  <c r="G392" i="4"/>
  <c r="H392" i="4"/>
  <c r="I392" i="4"/>
  <c r="L392" i="4"/>
  <c r="M392" i="4"/>
  <c r="N392" i="4"/>
  <c r="O392" i="4"/>
  <c r="R392" i="4"/>
  <c r="S392" i="4"/>
  <c r="T392" i="4"/>
  <c r="U392" i="4"/>
  <c r="W392" i="4"/>
  <c r="Z392" i="4"/>
  <c r="AA392" i="4"/>
  <c r="AB392" i="4"/>
  <c r="AC392" i="4"/>
  <c r="AH392" i="4"/>
  <c r="AK392" i="4"/>
  <c r="AL392" i="4"/>
  <c r="AM392" i="4"/>
  <c r="AN392" i="4"/>
  <c r="AO392" i="4"/>
  <c r="F393" i="4"/>
  <c r="G393" i="4"/>
  <c r="H393" i="4"/>
  <c r="I393" i="4"/>
  <c r="L393" i="4"/>
  <c r="M393" i="4"/>
  <c r="N393" i="4"/>
  <c r="O393" i="4"/>
  <c r="R393" i="4"/>
  <c r="S393" i="4"/>
  <c r="T393" i="4"/>
  <c r="U393" i="4"/>
  <c r="W393" i="4"/>
  <c r="Z393" i="4"/>
  <c r="AA393" i="4"/>
  <c r="AB393" i="4"/>
  <c r="AC393" i="4"/>
  <c r="AH393" i="4"/>
  <c r="AK393" i="4"/>
  <c r="AL393" i="4"/>
  <c r="AM393" i="4"/>
  <c r="AN393" i="4"/>
  <c r="AO393" i="4"/>
  <c r="F394" i="4"/>
  <c r="G394" i="4"/>
  <c r="H394" i="4"/>
  <c r="I394" i="4"/>
  <c r="L394" i="4"/>
  <c r="M394" i="4"/>
  <c r="N394" i="4"/>
  <c r="O394" i="4"/>
  <c r="R394" i="4"/>
  <c r="S394" i="4"/>
  <c r="T394" i="4"/>
  <c r="U394" i="4"/>
  <c r="W394" i="4"/>
  <c r="Z394" i="4"/>
  <c r="AA394" i="4"/>
  <c r="AB394" i="4"/>
  <c r="AC394" i="4"/>
  <c r="AH394" i="4"/>
  <c r="AK394" i="4"/>
  <c r="AL394" i="4"/>
  <c r="AM394" i="4"/>
  <c r="AN394" i="4"/>
  <c r="AO394" i="4"/>
  <c r="F395" i="4"/>
  <c r="G395" i="4"/>
  <c r="H395" i="4"/>
  <c r="I395" i="4"/>
  <c r="L395" i="4"/>
  <c r="M395" i="4"/>
  <c r="N395" i="4"/>
  <c r="O395" i="4"/>
  <c r="R395" i="4"/>
  <c r="S395" i="4"/>
  <c r="T395" i="4"/>
  <c r="U395" i="4"/>
  <c r="W395" i="4"/>
  <c r="Z395" i="4"/>
  <c r="AA395" i="4"/>
  <c r="AB395" i="4"/>
  <c r="AC395" i="4"/>
  <c r="AH395" i="4"/>
  <c r="AK395" i="4"/>
  <c r="AL395" i="4"/>
  <c r="AM395" i="4"/>
  <c r="AN395" i="4"/>
  <c r="AO395" i="4"/>
  <c r="F396" i="4"/>
  <c r="G396" i="4"/>
  <c r="H396" i="4"/>
  <c r="I396" i="4"/>
  <c r="L396" i="4"/>
  <c r="M396" i="4"/>
  <c r="N396" i="4"/>
  <c r="O396" i="4"/>
  <c r="R396" i="4"/>
  <c r="S396" i="4"/>
  <c r="T396" i="4"/>
  <c r="U396" i="4"/>
  <c r="W396" i="4"/>
  <c r="Z396" i="4"/>
  <c r="AA396" i="4"/>
  <c r="AB396" i="4"/>
  <c r="AC396" i="4"/>
  <c r="AH396" i="4"/>
  <c r="AK396" i="4"/>
  <c r="AL396" i="4"/>
  <c r="AM396" i="4"/>
  <c r="AN396" i="4"/>
  <c r="AO396" i="4"/>
  <c r="F397" i="4"/>
  <c r="G397" i="4"/>
  <c r="H397" i="4"/>
  <c r="I397" i="4"/>
  <c r="L397" i="4"/>
  <c r="M397" i="4"/>
  <c r="N397" i="4"/>
  <c r="O397" i="4"/>
  <c r="R397" i="4"/>
  <c r="S397" i="4"/>
  <c r="T397" i="4"/>
  <c r="U397" i="4"/>
  <c r="W397" i="4"/>
  <c r="Z397" i="4"/>
  <c r="AA397" i="4"/>
  <c r="AB397" i="4"/>
  <c r="AC397" i="4"/>
  <c r="AH397" i="4"/>
  <c r="AK397" i="4"/>
  <c r="AL397" i="4"/>
  <c r="AM397" i="4"/>
  <c r="AN397" i="4"/>
  <c r="AO397" i="4"/>
  <c r="F398" i="4"/>
  <c r="G398" i="4"/>
  <c r="H398" i="4"/>
  <c r="I398" i="4"/>
  <c r="L398" i="4"/>
  <c r="M398" i="4"/>
  <c r="N398" i="4"/>
  <c r="O398" i="4"/>
  <c r="R398" i="4"/>
  <c r="S398" i="4"/>
  <c r="T398" i="4"/>
  <c r="U398" i="4"/>
  <c r="W398" i="4"/>
  <c r="Z398" i="4"/>
  <c r="AA398" i="4"/>
  <c r="AB398" i="4"/>
  <c r="AC398" i="4"/>
  <c r="AH398" i="4"/>
  <c r="AK398" i="4"/>
  <c r="AL398" i="4"/>
  <c r="AM398" i="4"/>
  <c r="AN398" i="4"/>
  <c r="AO398" i="4"/>
  <c r="F399" i="4"/>
  <c r="G399" i="4"/>
  <c r="H399" i="4"/>
  <c r="I399" i="4"/>
  <c r="L399" i="4"/>
  <c r="M399" i="4"/>
  <c r="N399" i="4"/>
  <c r="O399" i="4"/>
  <c r="R399" i="4"/>
  <c r="S399" i="4"/>
  <c r="T399" i="4"/>
  <c r="U399" i="4"/>
  <c r="W399" i="4"/>
  <c r="Z399" i="4"/>
  <c r="AA399" i="4"/>
  <c r="AB399" i="4"/>
  <c r="AC399" i="4"/>
  <c r="AH399" i="4"/>
  <c r="AK399" i="4"/>
  <c r="AL399" i="4"/>
  <c r="AM399" i="4"/>
  <c r="AN399" i="4"/>
  <c r="AO399" i="4"/>
  <c r="F400" i="4"/>
  <c r="G400" i="4"/>
  <c r="H400" i="4"/>
  <c r="I400" i="4"/>
  <c r="L400" i="4"/>
  <c r="M400" i="4"/>
  <c r="N400" i="4"/>
  <c r="O400" i="4"/>
  <c r="R400" i="4"/>
  <c r="S400" i="4"/>
  <c r="T400" i="4"/>
  <c r="U400" i="4"/>
  <c r="W400" i="4"/>
  <c r="Z400" i="4"/>
  <c r="AA400" i="4"/>
  <c r="AB400" i="4"/>
  <c r="AC400" i="4"/>
  <c r="AH400" i="4"/>
  <c r="AK400" i="4"/>
  <c r="AL400" i="4"/>
  <c r="AM400" i="4"/>
  <c r="AN400" i="4"/>
  <c r="AO400" i="4"/>
  <c r="F401" i="4"/>
  <c r="G401" i="4"/>
  <c r="H401" i="4"/>
  <c r="I401" i="4"/>
  <c r="L401" i="4"/>
  <c r="M401" i="4"/>
  <c r="N401" i="4"/>
  <c r="O401" i="4"/>
  <c r="R401" i="4"/>
  <c r="S401" i="4"/>
  <c r="T401" i="4"/>
  <c r="U401" i="4"/>
  <c r="W401" i="4"/>
  <c r="Z401" i="4"/>
  <c r="AA401" i="4"/>
  <c r="AB401" i="4"/>
  <c r="AC401" i="4"/>
  <c r="AH401" i="4"/>
  <c r="AK401" i="4"/>
  <c r="AL401" i="4"/>
  <c r="AM401" i="4"/>
  <c r="AN401" i="4"/>
  <c r="AO401" i="4"/>
  <c r="F402" i="4"/>
  <c r="G402" i="4"/>
  <c r="H402" i="4"/>
  <c r="I402" i="4"/>
  <c r="L402" i="4"/>
  <c r="M402" i="4"/>
  <c r="N402" i="4"/>
  <c r="O402" i="4"/>
  <c r="R402" i="4"/>
  <c r="S402" i="4"/>
  <c r="T402" i="4"/>
  <c r="U402" i="4"/>
  <c r="W402" i="4"/>
  <c r="Z402" i="4"/>
  <c r="AA402" i="4"/>
  <c r="AB402" i="4"/>
  <c r="AC402" i="4"/>
  <c r="AH402" i="4"/>
  <c r="AK402" i="4"/>
  <c r="AL402" i="4"/>
  <c r="AM402" i="4"/>
  <c r="AN402" i="4"/>
  <c r="AO402" i="4"/>
  <c r="F403" i="4"/>
  <c r="G403" i="4"/>
  <c r="H403" i="4"/>
  <c r="I403" i="4"/>
  <c r="L403" i="4"/>
  <c r="M403" i="4"/>
  <c r="N403" i="4"/>
  <c r="O403" i="4"/>
  <c r="R403" i="4"/>
  <c r="S403" i="4"/>
  <c r="T403" i="4"/>
  <c r="U403" i="4"/>
  <c r="W403" i="4"/>
  <c r="Z403" i="4"/>
  <c r="AA403" i="4"/>
  <c r="AB403" i="4"/>
  <c r="AC403" i="4"/>
  <c r="AH403" i="4"/>
  <c r="AK403" i="4"/>
  <c r="AL403" i="4"/>
  <c r="AM403" i="4"/>
  <c r="AN403" i="4"/>
  <c r="AO403" i="4"/>
  <c r="F404" i="4"/>
  <c r="G404" i="4"/>
  <c r="H404" i="4"/>
  <c r="I404" i="4"/>
  <c r="L404" i="4"/>
  <c r="M404" i="4"/>
  <c r="N404" i="4"/>
  <c r="O404" i="4"/>
  <c r="R404" i="4"/>
  <c r="S404" i="4"/>
  <c r="T404" i="4"/>
  <c r="U404" i="4"/>
  <c r="W404" i="4"/>
  <c r="Z404" i="4"/>
  <c r="AA404" i="4"/>
  <c r="AB404" i="4"/>
  <c r="AC404" i="4"/>
  <c r="AH404" i="4"/>
  <c r="AK404" i="4"/>
  <c r="AL404" i="4"/>
  <c r="AM404" i="4"/>
  <c r="AN404" i="4"/>
  <c r="AO404" i="4"/>
  <c r="F405" i="4"/>
  <c r="G405" i="4"/>
  <c r="H405" i="4"/>
  <c r="I405" i="4"/>
  <c r="L405" i="4"/>
  <c r="M405" i="4"/>
  <c r="N405" i="4"/>
  <c r="O405" i="4"/>
  <c r="R405" i="4"/>
  <c r="S405" i="4"/>
  <c r="T405" i="4"/>
  <c r="U405" i="4"/>
  <c r="W405" i="4"/>
  <c r="Z405" i="4"/>
  <c r="AA405" i="4"/>
  <c r="AB405" i="4"/>
  <c r="AC405" i="4"/>
  <c r="AH405" i="4"/>
  <c r="AK405" i="4"/>
  <c r="AL405" i="4"/>
  <c r="AM405" i="4"/>
  <c r="AN405" i="4"/>
  <c r="AO405" i="4"/>
  <c r="F406" i="4"/>
  <c r="G406" i="4"/>
  <c r="H406" i="4"/>
  <c r="I406" i="4"/>
  <c r="L406" i="4"/>
  <c r="M406" i="4"/>
  <c r="N406" i="4"/>
  <c r="O406" i="4"/>
  <c r="R406" i="4"/>
  <c r="S406" i="4"/>
  <c r="T406" i="4"/>
  <c r="U406" i="4"/>
  <c r="W406" i="4"/>
  <c r="Z406" i="4"/>
  <c r="AA406" i="4"/>
  <c r="AB406" i="4"/>
  <c r="AC406" i="4"/>
  <c r="AH406" i="4"/>
  <c r="AK406" i="4"/>
  <c r="AL406" i="4"/>
  <c r="AM406" i="4"/>
  <c r="AN406" i="4"/>
  <c r="AO406" i="4"/>
  <c r="F407" i="4"/>
  <c r="G407" i="4"/>
  <c r="H407" i="4"/>
  <c r="I407" i="4"/>
  <c r="L407" i="4"/>
  <c r="M407" i="4"/>
  <c r="N407" i="4"/>
  <c r="O407" i="4"/>
  <c r="R407" i="4"/>
  <c r="S407" i="4"/>
  <c r="T407" i="4"/>
  <c r="U407" i="4"/>
  <c r="W407" i="4"/>
  <c r="Z407" i="4"/>
  <c r="AA407" i="4"/>
  <c r="AB407" i="4"/>
  <c r="AC407" i="4"/>
  <c r="AH407" i="4"/>
  <c r="AK407" i="4"/>
  <c r="AL407" i="4"/>
  <c r="AM407" i="4"/>
  <c r="AN407" i="4"/>
  <c r="AO407" i="4"/>
  <c r="F408" i="4"/>
  <c r="G408" i="4"/>
  <c r="H408" i="4"/>
  <c r="I408" i="4"/>
  <c r="L408" i="4"/>
  <c r="M408" i="4"/>
  <c r="N408" i="4"/>
  <c r="O408" i="4"/>
  <c r="R408" i="4"/>
  <c r="S408" i="4"/>
  <c r="T408" i="4"/>
  <c r="U408" i="4"/>
  <c r="W408" i="4"/>
  <c r="Z408" i="4"/>
  <c r="AA408" i="4"/>
  <c r="AB408" i="4"/>
  <c r="AC408" i="4"/>
  <c r="AH408" i="4"/>
  <c r="AK408" i="4"/>
  <c r="AL408" i="4"/>
  <c r="AM408" i="4"/>
  <c r="AN408" i="4"/>
  <c r="AO408" i="4"/>
  <c r="F409" i="4"/>
  <c r="G409" i="4"/>
  <c r="H409" i="4"/>
  <c r="I409" i="4"/>
  <c r="L409" i="4"/>
  <c r="M409" i="4"/>
  <c r="N409" i="4"/>
  <c r="O409" i="4"/>
  <c r="R409" i="4"/>
  <c r="S409" i="4"/>
  <c r="T409" i="4"/>
  <c r="U409" i="4"/>
  <c r="W409" i="4"/>
  <c r="Z409" i="4"/>
  <c r="AA409" i="4"/>
  <c r="AB409" i="4"/>
  <c r="AC409" i="4"/>
  <c r="AH409" i="4"/>
  <c r="AK409" i="4"/>
  <c r="AL409" i="4"/>
  <c r="AM409" i="4"/>
  <c r="AN409" i="4"/>
  <c r="AO409" i="4"/>
  <c r="F410" i="4"/>
  <c r="G410" i="4"/>
  <c r="H410" i="4"/>
  <c r="I410" i="4"/>
  <c r="L410" i="4"/>
  <c r="M410" i="4"/>
  <c r="N410" i="4"/>
  <c r="O410" i="4"/>
  <c r="R410" i="4"/>
  <c r="S410" i="4"/>
  <c r="T410" i="4"/>
  <c r="U410" i="4"/>
  <c r="W410" i="4"/>
  <c r="Z410" i="4"/>
  <c r="AA410" i="4"/>
  <c r="AB410" i="4"/>
  <c r="AC410" i="4"/>
  <c r="AH410" i="4"/>
  <c r="AK410" i="4"/>
  <c r="AL410" i="4"/>
  <c r="AM410" i="4"/>
  <c r="AN410" i="4"/>
  <c r="AO410" i="4"/>
  <c r="F411" i="4"/>
  <c r="G411" i="4"/>
  <c r="H411" i="4"/>
  <c r="I411" i="4"/>
  <c r="L411" i="4"/>
  <c r="M411" i="4"/>
  <c r="N411" i="4"/>
  <c r="O411" i="4"/>
  <c r="R411" i="4"/>
  <c r="S411" i="4"/>
  <c r="T411" i="4"/>
  <c r="U411" i="4"/>
  <c r="W411" i="4"/>
  <c r="Z411" i="4"/>
  <c r="AA411" i="4"/>
  <c r="AB411" i="4"/>
  <c r="AC411" i="4"/>
  <c r="AH411" i="4"/>
  <c r="AK411" i="4"/>
  <c r="AL411" i="4"/>
  <c r="AM411" i="4"/>
  <c r="AN411" i="4"/>
  <c r="AO411" i="4"/>
  <c r="F412" i="4"/>
  <c r="G412" i="4"/>
  <c r="H412" i="4"/>
  <c r="I412" i="4"/>
  <c r="L412" i="4"/>
  <c r="M412" i="4"/>
  <c r="N412" i="4"/>
  <c r="O412" i="4"/>
  <c r="R412" i="4"/>
  <c r="S412" i="4"/>
  <c r="T412" i="4"/>
  <c r="U412" i="4"/>
  <c r="W412" i="4"/>
  <c r="Z412" i="4"/>
  <c r="AA412" i="4"/>
  <c r="AB412" i="4"/>
  <c r="AC412" i="4"/>
  <c r="AH412" i="4"/>
  <c r="AK412" i="4"/>
  <c r="AL412" i="4"/>
  <c r="AM412" i="4"/>
  <c r="AN412" i="4"/>
  <c r="AO412" i="4"/>
  <c r="F413" i="4"/>
  <c r="G413" i="4"/>
  <c r="H413" i="4"/>
  <c r="I413" i="4"/>
  <c r="L413" i="4"/>
  <c r="M413" i="4"/>
  <c r="N413" i="4"/>
  <c r="O413" i="4"/>
  <c r="R413" i="4"/>
  <c r="S413" i="4"/>
  <c r="T413" i="4"/>
  <c r="U413" i="4"/>
  <c r="W413" i="4"/>
  <c r="Z413" i="4"/>
  <c r="AA413" i="4"/>
  <c r="AB413" i="4"/>
  <c r="AC413" i="4"/>
  <c r="AH413" i="4"/>
  <c r="AK413" i="4"/>
  <c r="AL413" i="4"/>
  <c r="AM413" i="4"/>
  <c r="AN413" i="4"/>
  <c r="AO413" i="4"/>
  <c r="F414" i="4"/>
  <c r="G414" i="4"/>
  <c r="H414" i="4"/>
  <c r="I414" i="4"/>
  <c r="L414" i="4"/>
  <c r="M414" i="4"/>
  <c r="N414" i="4"/>
  <c r="O414" i="4"/>
  <c r="R414" i="4"/>
  <c r="S414" i="4"/>
  <c r="T414" i="4"/>
  <c r="U414" i="4"/>
  <c r="W414" i="4"/>
  <c r="Z414" i="4"/>
  <c r="AA414" i="4"/>
  <c r="AB414" i="4"/>
  <c r="AC414" i="4"/>
  <c r="AH414" i="4"/>
  <c r="AK414" i="4"/>
  <c r="AL414" i="4"/>
  <c r="AM414" i="4"/>
  <c r="AN414" i="4"/>
  <c r="AO414" i="4"/>
  <c r="F415" i="4"/>
  <c r="G415" i="4"/>
  <c r="H415" i="4"/>
  <c r="I415" i="4"/>
  <c r="L415" i="4"/>
  <c r="M415" i="4"/>
  <c r="N415" i="4"/>
  <c r="O415" i="4"/>
  <c r="R415" i="4"/>
  <c r="S415" i="4"/>
  <c r="T415" i="4"/>
  <c r="U415" i="4"/>
  <c r="W415" i="4"/>
  <c r="Z415" i="4"/>
  <c r="AA415" i="4"/>
  <c r="AB415" i="4"/>
  <c r="AC415" i="4"/>
  <c r="AH415" i="4"/>
  <c r="AK415" i="4"/>
  <c r="AL415" i="4"/>
  <c r="AM415" i="4"/>
  <c r="AN415" i="4"/>
  <c r="AO415" i="4"/>
  <c r="F416" i="4"/>
  <c r="G416" i="4"/>
  <c r="H416" i="4"/>
  <c r="I416" i="4"/>
  <c r="L416" i="4"/>
  <c r="M416" i="4"/>
  <c r="N416" i="4"/>
  <c r="O416" i="4"/>
  <c r="R416" i="4"/>
  <c r="S416" i="4"/>
  <c r="T416" i="4"/>
  <c r="U416" i="4"/>
  <c r="W416" i="4"/>
  <c r="Z416" i="4"/>
  <c r="AA416" i="4"/>
  <c r="AB416" i="4"/>
  <c r="AC416" i="4"/>
  <c r="AH416" i="4"/>
  <c r="AK416" i="4"/>
  <c r="AL416" i="4"/>
  <c r="AM416" i="4"/>
  <c r="AN416" i="4"/>
  <c r="AO416" i="4"/>
  <c r="F417" i="4"/>
  <c r="G417" i="4"/>
  <c r="H417" i="4"/>
  <c r="I417" i="4"/>
  <c r="L417" i="4"/>
  <c r="M417" i="4"/>
  <c r="N417" i="4"/>
  <c r="O417" i="4"/>
  <c r="R417" i="4"/>
  <c r="S417" i="4"/>
  <c r="T417" i="4"/>
  <c r="U417" i="4"/>
  <c r="W417" i="4"/>
  <c r="Z417" i="4"/>
  <c r="AA417" i="4"/>
  <c r="AB417" i="4"/>
  <c r="AC417" i="4"/>
  <c r="AH417" i="4"/>
  <c r="AK417" i="4"/>
  <c r="AL417" i="4"/>
  <c r="AM417" i="4"/>
  <c r="AN417" i="4"/>
  <c r="AO417" i="4"/>
  <c r="F418" i="4"/>
  <c r="G418" i="4"/>
  <c r="H418" i="4"/>
  <c r="I418" i="4"/>
  <c r="L418" i="4"/>
  <c r="M418" i="4"/>
  <c r="N418" i="4"/>
  <c r="O418" i="4"/>
  <c r="R418" i="4"/>
  <c r="S418" i="4"/>
  <c r="T418" i="4"/>
  <c r="U418" i="4"/>
  <c r="W418" i="4"/>
  <c r="Z418" i="4"/>
  <c r="AA418" i="4"/>
  <c r="AB418" i="4"/>
  <c r="AC418" i="4"/>
  <c r="AH418" i="4"/>
  <c r="AK418" i="4"/>
  <c r="AL418" i="4"/>
  <c r="AM418" i="4"/>
  <c r="AN418" i="4"/>
  <c r="AO418" i="4"/>
  <c r="F419" i="4"/>
  <c r="G419" i="4"/>
  <c r="H419" i="4"/>
  <c r="I419" i="4"/>
  <c r="L419" i="4"/>
  <c r="M419" i="4"/>
  <c r="N419" i="4"/>
  <c r="O419" i="4"/>
  <c r="R419" i="4"/>
  <c r="S419" i="4"/>
  <c r="T419" i="4"/>
  <c r="U419" i="4"/>
  <c r="W419" i="4"/>
  <c r="Z419" i="4"/>
  <c r="AA419" i="4"/>
  <c r="AB419" i="4"/>
  <c r="AC419" i="4"/>
  <c r="AH419" i="4"/>
  <c r="AK419" i="4"/>
  <c r="AL419" i="4"/>
  <c r="AM419" i="4"/>
  <c r="AN419" i="4"/>
  <c r="AO419" i="4"/>
  <c r="F420" i="4"/>
  <c r="G420" i="4"/>
  <c r="H420" i="4"/>
  <c r="I420" i="4"/>
  <c r="L420" i="4"/>
  <c r="M420" i="4"/>
  <c r="N420" i="4"/>
  <c r="O420" i="4"/>
  <c r="R420" i="4"/>
  <c r="S420" i="4"/>
  <c r="T420" i="4"/>
  <c r="U420" i="4"/>
  <c r="W420" i="4"/>
  <c r="Z420" i="4"/>
  <c r="AA420" i="4"/>
  <c r="AB420" i="4"/>
  <c r="AC420" i="4"/>
  <c r="AH420" i="4"/>
  <c r="AK420" i="4"/>
  <c r="AL420" i="4"/>
  <c r="AM420" i="4"/>
  <c r="AN420" i="4"/>
  <c r="AO420" i="4"/>
  <c r="F421" i="4"/>
  <c r="G421" i="4"/>
  <c r="H421" i="4"/>
  <c r="I421" i="4"/>
  <c r="L421" i="4"/>
  <c r="M421" i="4"/>
  <c r="N421" i="4"/>
  <c r="O421" i="4"/>
  <c r="R421" i="4"/>
  <c r="S421" i="4"/>
  <c r="T421" i="4"/>
  <c r="U421" i="4"/>
  <c r="W421" i="4"/>
  <c r="Z421" i="4"/>
  <c r="AA421" i="4"/>
  <c r="AB421" i="4"/>
  <c r="AC421" i="4"/>
  <c r="AH421" i="4"/>
  <c r="AK421" i="4"/>
  <c r="AL421" i="4"/>
  <c r="AM421" i="4"/>
  <c r="AN421" i="4"/>
  <c r="AO421" i="4"/>
  <c r="F422" i="4"/>
  <c r="G422" i="4"/>
  <c r="H422" i="4"/>
  <c r="I422" i="4"/>
  <c r="L422" i="4"/>
  <c r="M422" i="4"/>
  <c r="N422" i="4"/>
  <c r="O422" i="4"/>
  <c r="R422" i="4"/>
  <c r="S422" i="4"/>
  <c r="T422" i="4"/>
  <c r="U422" i="4"/>
  <c r="W422" i="4"/>
  <c r="Z422" i="4"/>
  <c r="AA422" i="4"/>
  <c r="AB422" i="4"/>
  <c r="AC422" i="4"/>
  <c r="AH422" i="4"/>
  <c r="AK422" i="4"/>
  <c r="AL422" i="4"/>
  <c r="AM422" i="4"/>
  <c r="AN422" i="4"/>
  <c r="AO422" i="4"/>
  <c r="F423" i="4"/>
  <c r="G423" i="4"/>
  <c r="H423" i="4"/>
  <c r="I423" i="4"/>
  <c r="L423" i="4"/>
  <c r="M423" i="4"/>
  <c r="N423" i="4"/>
  <c r="O423" i="4"/>
  <c r="R423" i="4"/>
  <c r="S423" i="4"/>
  <c r="T423" i="4"/>
  <c r="U423" i="4"/>
  <c r="W423" i="4"/>
  <c r="Z423" i="4"/>
  <c r="AA423" i="4"/>
  <c r="AB423" i="4"/>
  <c r="AC423" i="4"/>
  <c r="AH423" i="4"/>
  <c r="AK423" i="4"/>
  <c r="AL423" i="4"/>
  <c r="AM423" i="4"/>
  <c r="AN423" i="4"/>
  <c r="AO423" i="4"/>
  <c r="F424" i="4"/>
  <c r="G424" i="4"/>
  <c r="H424" i="4"/>
  <c r="I424" i="4"/>
  <c r="L424" i="4"/>
  <c r="M424" i="4"/>
  <c r="N424" i="4"/>
  <c r="O424" i="4"/>
  <c r="R424" i="4"/>
  <c r="S424" i="4"/>
  <c r="T424" i="4"/>
  <c r="U424" i="4"/>
  <c r="W424" i="4"/>
  <c r="Z424" i="4"/>
  <c r="AA424" i="4"/>
  <c r="AB424" i="4"/>
  <c r="AC424" i="4"/>
  <c r="AH424" i="4"/>
  <c r="AK424" i="4"/>
  <c r="AL424" i="4"/>
  <c r="AM424" i="4"/>
  <c r="AN424" i="4"/>
  <c r="AO424" i="4"/>
  <c r="F425" i="4"/>
  <c r="G425" i="4"/>
  <c r="H425" i="4"/>
  <c r="I425" i="4"/>
  <c r="L425" i="4"/>
  <c r="M425" i="4"/>
  <c r="N425" i="4"/>
  <c r="O425" i="4"/>
  <c r="R425" i="4"/>
  <c r="S425" i="4"/>
  <c r="T425" i="4"/>
  <c r="U425" i="4"/>
  <c r="W425" i="4"/>
  <c r="Z425" i="4"/>
  <c r="AA425" i="4"/>
  <c r="AB425" i="4"/>
  <c r="AC425" i="4"/>
  <c r="AH425" i="4"/>
  <c r="AK425" i="4"/>
  <c r="AL425" i="4"/>
  <c r="AM425" i="4"/>
  <c r="AN425" i="4"/>
  <c r="AO425" i="4"/>
  <c r="F426" i="4"/>
  <c r="G426" i="4"/>
  <c r="H426" i="4"/>
  <c r="I426" i="4"/>
  <c r="L426" i="4"/>
  <c r="M426" i="4"/>
  <c r="N426" i="4"/>
  <c r="O426" i="4"/>
  <c r="R426" i="4"/>
  <c r="S426" i="4"/>
  <c r="T426" i="4"/>
  <c r="U426" i="4"/>
  <c r="W426" i="4"/>
  <c r="Z426" i="4"/>
  <c r="AA426" i="4"/>
  <c r="AB426" i="4"/>
  <c r="AC426" i="4"/>
  <c r="AH426" i="4"/>
  <c r="AK426" i="4"/>
  <c r="AL426" i="4"/>
  <c r="AM426" i="4"/>
  <c r="AN426" i="4"/>
  <c r="AO426" i="4"/>
  <c r="F427" i="4"/>
  <c r="G427" i="4"/>
  <c r="H427" i="4"/>
  <c r="I427" i="4"/>
  <c r="L427" i="4"/>
  <c r="M427" i="4"/>
  <c r="N427" i="4"/>
  <c r="O427" i="4"/>
  <c r="R427" i="4"/>
  <c r="S427" i="4"/>
  <c r="T427" i="4"/>
  <c r="U427" i="4"/>
  <c r="W427" i="4"/>
  <c r="Z427" i="4"/>
  <c r="AA427" i="4"/>
  <c r="AB427" i="4"/>
  <c r="AC427" i="4"/>
  <c r="AH427" i="4"/>
  <c r="AK427" i="4"/>
  <c r="AL427" i="4"/>
  <c r="AM427" i="4"/>
  <c r="AN427" i="4"/>
  <c r="AO427" i="4"/>
  <c r="F428" i="4"/>
  <c r="G428" i="4"/>
  <c r="H428" i="4"/>
  <c r="I428" i="4"/>
  <c r="L428" i="4"/>
  <c r="M428" i="4"/>
  <c r="N428" i="4"/>
  <c r="O428" i="4"/>
  <c r="R428" i="4"/>
  <c r="S428" i="4"/>
  <c r="T428" i="4"/>
  <c r="U428" i="4"/>
  <c r="W428" i="4"/>
  <c r="Z428" i="4"/>
  <c r="AA428" i="4"/>
  <c r="AB428" i="4"/>
  <c r="AC428" i="4"/>
  <c r="AH428" i="4"/>
  <c r="AK428" i="4"/>
  <c r="AL428" i="4"/>
  <c r="AM428" i="4"/>
  <c r="AN428" i="4"/>
  <c r="AO428" i="4"/>
  <c r="F429" i="4"/>
  <c r="G429" i="4"/>
  <c r="H429" i="4"/>
  <c r="I429" i="4"/>
  <c r="L429" i="4"/>
  <c r="M429" i="4"/>
  <c r="N429" i="4"/>
  <c r="O429" i="4"/>
  <c r="R429" i="4"/>
  <c r="S429" i="4"/>
  <c r="T429" i="4"/>
  <c r="U429" i="4"/>
  <c r="W429" i="4"/>
  <c r="Z429" i="4"/>
  <c r="AA429" i="4"/>
  <c r="AB429" i="4"/>
  <c r="AC429" i="4"/>
  <c r="AH429" i="4"/>
  <c r="AK429" i="4"/>
  <c r="AL429" i="4"/>
  <c r="AM429" i="4"/>
  <c r="AN429" i="4"/>
  <c r="AO429" i="4"/>
  <c r="F430" i="4"/>
  <c r="G430" i="4"/>
  <c r="H430" i="4"/>
  <c r="I430" i="4"/>
  <c r="L430" i="4"/>
  <c r="M430" i="4"/>
  <c r="N430" i="4"/>
  <c r="O430" i="4"/>
  <c r="R430" i="4"/>
  <c r="S430" i="4"/>
  <c r="T430" i="4"/>
  <c r="U430" i="4"/>
  <c r="W430" i="4"/>
  <c r="Z430" i="4"/>
  <c r="AA430" i="4"/>
  <c r="AB430" i="4"/>
  <c r="AC430" i="4"/>
  <c r="F431" i="4"/>
  <c r="G431" i="4"/>
  <c r="H431" i="4"/>
  <c r="I431" i="4"/>
  <c r="L431" i="4"/>
  <c r="M431" i="4"/>
  <c r="N431" i="4"/>
  <c r="O431" i="4"/>
  <c r="R431" i="4"/>
  <c r="S431" i="4"/>
  <c r="T431" i="4"/>
  <c r="U431" i="4"/>
  <c r="W431" i="4"/>
  <c r="Z431" i="4"/>
  <c r="AA431" i="4"/>
  <c r="AB431" i="4"/>
  <c r="AC431" i="4"/>
  <c r="F432" i="4"/>
  <c r="G432" i="4"/>
  <c r="H432" i="4"/>
  <c r="I432" i="4"/>
  <c r="L432" i="4"/>
  <c r="M432" i="4"/>
  <c r="N432" i="4"/>
  <c r="O432" i="4"/>
  <c r="R432" i="4"/>
  <c r="S432" i="4"/>
  <c r="T432" i="4"/>
  <c r="U432" i="4"/>
  <c r="W432" i="4"/>
  <c r="Z432" i="4"/>
  <c r="AA432" i="4"/>
  <c r="AB432" i="4"/>
  <c r="AC432" i="4"/>
  <c r="F433" i="4"/>
  <c r="G433" i="4"/>
  <c r="H433" i="4"/>
  <c r="I433" i="4"/>
  <c r="L433" i="4"/>
  <c r="M433" i="4"/>
  <c r="N433" i="4"/>
  <c r="O433" i="4"/>
  <c r="R433" i="4"/>
  <c r="S433" i="4"/>
  <c r="T433" i="4"/>
  <c r="U433" i="4"/>
  <c r="W433" i="4"/>
  <c r="Z433" i="4"/>
  <c r="AA433" i="4"/>
  <c r="AB433" i="4"/>
  <c r="AC433" i="4"/>
  <c r="F434" i="4"/>
  <c r="G434" i="4"/>
  <c r="H434" i="4"/>
  <c r="I434" i="4"/>
  <c r="L434" i="4"/>
  <c r="M434" i="4"/>
  <c r="N434" i="4"/>
  <c r="O434" i="4"/>
  <c r="R434" i="4"/>
  <c r="S434" i="4"/>
  <c r="T434" i="4"/>
  <c r="U434" i="4"/>
  <c r="W434" i="4"/>
  <c r="Z434" i="4"/>
  <c r="AA434" i="4"/>
  <c r="AB434" i="4"/>
  <c r="AC434" i="4"/>
  <c r="F435" i="4"/>
  <c r="G435" i="4"/>
  <c r="H435" i="4"/>
  <c r="I435" i="4"/>
  <c r="L435" i="4"/>
  <c r="M435" i="4"/>
  <c r="N435" i="4"/>
  <c r="O435" i="4"/>
  <c r="R435" i="4"/>
  <c r="S435" i="4"/>
  <c r="T435" i="4"/>
  <c r="U435" i="4"/>
  <c r="W435" i="4"/>
  <c r="Z435" i="4"/>
  <c r="AA435" i="4"/>
  <c r="AB435" i="4"/>
  <c r="AC435" i="4"/>
  <c r="F436" i="4"/>
  <c r="G436" i="4"/>
  <c r="H436" i="4"/>
  <c r="I436" i="4"/>
  <c r="L436" i="4"/>
  <c r="M436" i="4"/>
  <c r="N436" i="4"/>
  <c r="O436" i="4"/>
  <c r="R436" i="4"/>
  <c r="S436" i="4"/>
  <c r="T436" i="4"/>
  <c r="U436" i="4"/>
  <c r="W436" i="4"/>
  <c r="Z436" i="4"/>
  <c r="AA436" i="4"/>
  <c r="AB436" i="4"/>
  <c r="AC436" i="4"/>
  <c r="AH436" i="4"/>
  <c r="AK436" i="4"/>
  <c r="AL436" i="4"/>
  <c r="AM436" i="4"/>
  <c r="AN436" i="4"/>
  <c r="AO436" i="4"/>
  <c r="F437" i="4"/>
  <c r="G437" i="4"/>
  <c r="H437" i="4"/>
  <c r="I437" i="4"/>
  <c r="L437" i="4"/>
  <c r="M437" i="4"/>
  <c r="N437" i="4"/>
  <c r="O437" i="4"/>
  <c r="R437" i="4"/>
  <c r="S437" i="4"/>
  <c r="T437" i="4"/>
  <c r="U437" i="4"/>
  <c r="W437" i="4"/>
  <c r="Z437" i="4"/>
  <c r="AA437" i="4"/>
  <c r="AB437" i="4"/>
  <c r="AC437" i="4"/>
  <c r="AH437" i="4"/>
  <c r="AK437" i="4"/>
  <c r="AL437" i="4"/>
  <c r="AM437" i="4"/>
  <c r="AN437" i="4"/>
  <c r="AO437" i="4"/>
  <c r="F438" i="4"/>
  <c r="G438" i="4"/>
  <c r="H438" i="4"/>
  <c r="I438" i="4"/>
  <c r="L438" i="4"/>
  <c r="M438" i="4"/>
  <c r="N438" i="4"/>
  <c r="O438" i="4"/>
  <c r="R438" i="4"/>
  <c r="S438" i="4"/>
  <c r="T438" i="4"/>
  <c r="U438" i="4"/>
  <c r="W438" i="4"/>
  <c r="Z438" i="4"/>
  <c r="AA438" i="4"/>
  <c r="AB438" i="4"/>
  <c r="AC438" i="4"/>
  <c r="AH438" i="4"/>
  <c r="AK438" i="4"/>
  <c r="AL438" i="4"/>
  <c r="AM438" i="4"/>
  <c r="AN438" i="4"/>
  <c r="AO438" i="4"/>
  <c r="F439" i="4"/>
  <c r="G439" i="4"/>
  <c r="H439" i="4"/>
  <c r="I439" i="4"/>
  <c r="L439" i="4"/>
  <c r="M439" i="4"/>
  <c r="N439" i="4"/>
  <c r="O439" i="4"/>
  <c r="R439" i="4"/>
  <c r="S439" i="4"/>
  <c r="T439" i="4"/>
  <c r="U439" i="4"/>
  <c r="W439" i="4"/>
  <c r="Z439" i="4"/>
  <c r="AA439" i="4"/>
  <c r="AB439" i="4"/>
  <c r="AC439" i="4"/>
  <c r="AH439" i="4"/>
  <c r="AK439" i="4"/>
  <c r="AL439" i="4"/>
  <c r="AM439" i="4"/>
  <c r="AN439" i="4"/>
  <c r="AO439" i="4"/>
  <c r="F440" i="4"/>
  <c r="G440" i="4"/>
  <c r="H440" i="4"/>
  <c r="I440" i="4"/>
  <c r="L440" i="4"/>
  <c r="M440" i="4"/>
  <c r="N440" i="4"/>
  <c r="O440" i="4"/>
  <c r="R440" i="4"/>
  <c r="S440" i="4"/>
  <c r="T440" i="4"/>
  <c r="U440" i="4"/>
  <c r="W440" i="4"/>
  <c r="Z440" i="4"/>
  <c r="AA440" i="4"/>
  <c r="AB440" i="4"/>
  <c r="AC440" i="4"/>
  <c r="AH440" i="4"/>
  <c r="AK440" i="4"/>
  <c r="AL440" i="4"/>
  <c r="AM440" i="4"/>
  <c r="AN440" i="4"/>
  <c r="AO440" i="4"/>
  <c r="F441" i="4"/>
  <c r="G441" i="4"/>
  <c r="H441" i="4"/>
  <c r="I441" i="4"/>
  <c r="L441" i="4"/>
  <c r="M441" i="4"/>
  <c r="N441" i="4"/>
  <c r="O441" i="4"/>
  <c r="R441" i="4"/>
  <c r="S441" i="4"/>
  <c r="T441" i="4"/>
  <c r="U441" i="4"/>
  <c r="W441" i="4"/>
  <c r="Z441" i="4"/>
  <c r="AA441" i="4"/>
  <c r="AB441" i="4"/>
  <c r="AC441" i="4"/>
  <c r="AH441" i="4"/>
  <c r="AK441" i="4"/>
  <c r="AL441" i="4"/>
  <c r="AM441" i="4"/>
  <c r="AN441" i="4"/>
  <c r="AO441" i="4"/>
  <c r="F442" i="4"/>
  <c r="G442" i="4"/>
  <c r="H442" i="4"/>
  <c r="I442" i="4"/>
  <c r="L442" i="4"/>
  <c r="M442" i="4"/>
  <c r="N442" i="4"/>
  <c r="O442" i="4"/>
  <c r="R442" i="4"/>
  <c r="S442" i="4"/>
  <c r="T442" i="4"/>
  <c r="U442" i="4"/>
  <c r="W442" i="4"/>
  <c r="Z442" i="4"/>
  <c r="AA442" i="4"/>
  <c r="AB442" i="4"/>
  <c r="AC442" i="4"/>
  <c r="AH442" i="4"/>
  <c r="AK442" i="4"/>
  <c r="AL442" i="4"/>
  <c r="AM442" i="4"/>
  <c r="AN442" i="4"/>
  <c r="AO442" i="4"/>
  <c r="F443" i="4"/>
  <c r="G443" i="4"/>
  <c r="H443" i="4"/>
  <c r="I443" i="4"/>
  <c r="L443" i="4"/>
  <c r="M443" i="4"/>
  <c r="N443" i="4"/>
  <c r="O443" i="4"/>
  <c r="R443" i="4"/>
  <c r="S443" i="4"/>
  <c r="T443" i="4"/>
  <c r="U443" i="4"/>
  <c r="W443" i="4"/>
  <c r="Z443" i="4"/>
  <c r="AA443" i="4"/>
  <c r="AB443" i="4"/>
  <c r="AC443" i="4"/>
  <c r="AH443" i="4"/>
  <c r="AK443" i="4"/>
  <c r="AL443" i="4"/>
  <c r="AM443" i="4"/>
  <c r="AN443" i="4"/>
  <c r="AO443" i="4"/>
  <c r="F444" i="4"/>
  <c r="G444" i="4"/>
  <c r="H444" i="4"/>
  <c r="I444" i="4"/>
  <c r="L444" i="4"/>
  <c r="M444" i="4"/>
  <c r="N444" i="4"/>
  <c r="O444" i="4"/>
  <c r="R444" i="4"/>
  <c r="S444" i="4"/>
  <c r="T444" i="4"/>
  <c r="U444" i="4"/>
  <c r="W444" i="4"/>
  <c r="Z444" i="4"/>
  <c r="AA444" i="4"/>
  <c r="AB444" i="4"/>
  <c r="AC444" i="4"/>
  <c r="AH444" i="4"/>
  <c r="AK444" i="4"/>
  <c r="AL444" i="4"/>
  <c r="AM444" i="4"/>
  <c r="AN444" i="4"/>
  <c r="AO444" i="4"/>
  <c r="F445" i="4"/>
  <c r="G445" i="4"/>
  <c r="H445" i="4"/>
  <c r="I445" i="4"/>
  <c r="L445" i="4"/>
  <c r="M445" i="4"/>
  <c r="N445" i="4"/>
  <c r="O445" i="4"/>
  <c r="R445" i="4"/>
  <c r="S445" i="4"/>
  <c r="T445" i="4"/>
  <c r="U445" i="4"/>
  <c r="W445" i="4"/>
  <c r="Z445" i="4"/>
  <c r="AA445" i="4"/>
  <c r="AB445" i="4"/>
  <c r="AC445" i="4"/>
  <c r="AH445" i="4"/>
  <c r="AK445" i="4"/>
  <c r="AL445" i="4"/>
  <c r="AM445" i="4"/>
  <c r="AN445" i="4"/>
  <c r="AO445" i="4"/>
  <c r="F446" i="4"/>
  <c r="G446" i="4"/>
  <c r="H446" i="4"/>
  <c r="I446" i="4"/>
  <c r="L446" i="4"/>
  <c r="M446" i="4"/>
  <c r="N446" i="4"/>
  <c r="O446" i="4"/>
  <c r="R446" i="4"/>
  <c r="S446" i="4"/>
  <c r="T446" i="4"/>
  <c r="U446" i="4"/>
  <c r="W446" i="4"/>
  <c r="Z446" i="4"/>
  <c r="AA446" i="4"/>
  <c r="AB446" i="4"/>
  <c r="AC446" i="4"/>
  <c r="AH446" i="4"/>
  <c r="AK446" i="4"/>
  <c r="AL446" i="4"/>
  <c r="AM446" i="4"/>
  <c r="AN446" i="4"/>
  <c r="AO446" i="4"/>
  <c r="F447" i="4"/>
  <c r="G447" i="4"/>
  <c r="H447" i="4"/>
  <c r="I447" i="4"/>
  <c r="L447" i="4"/>
  <c r="M447" i="4"/>
  <c r="N447" i="4"/>
  <c r="O447" i="4"/>
  <c r="R447" i="4"/>
  <c r="S447" i="4"/>
  <c r="T447" i="4"/>
  <c r="U447" i="4"/>
  <c r="W447" i="4"/>
  <c r="Z447" i="4"/>
  <c r="AA447" i="4"/>
  <c r="AB447" i="4"/>
  <c r="AC447" i="4"/>
  <c r="AH447" i="4"/>
  <c r="AK447" i="4"/>
  <c r="AL447" i="4"/>
  <c r="AM447" i="4"/>
  <c r="AN447" i="4"/>
  <c r="AO447" i="4"/>
  <c r="F448" i="4"/>
  <c r="G448" i="4"/>
  <c r="H448" i="4"/>
  <c r="I448" i="4"/>
  <c r="L448" i="4"/>
  <c r="M448" i="4"/>
  <c r="N448" i="4"/>
  <c r="O448" i="4"/>
  <c r="R448" i="4"/>
  <c r="S448" i="4"/>
  <c r="T448" i="4"/>
  <c r="U448" i="4"/>
  <c r="W448" i="4"/>
  <c r="Z448" i="4"/>
  <c r="AA448" i="4"/>
  <c r="AB448" i="4"/>
  <c r="AC448" i="4"/>
  <c r="AH448" i="4"/>
  <c r="AK448" i="4"/>
  <c r="AL448" i="4"/>
  <c r="AM448" i="4"/>
  <c r="AN448" i="4"/>
  <c r="AO448" i="4"/>
  <c r="F449" i="4"/>
  <c r="G449" i="4"/>
  <c r="H449" i="4"/>
  <c r="I449" i="4"/>
  <c r="L449" i="4"/>
  <c r="M449" i="4"/>
  <c r="N449" i="4"/>
  <c r="O449" i="4"/>
  <c r="R449" i="4"/>
  <c r="S449" i="4"/>
  <c r="T449" i="4"/>
  <c r="U449" i="4"/>
  <c r="W449" i="4"/>
  <c r="Z449" i="4"/>
  <c r="AA449" i="4"/>
  <c r="AB449" i="4"/>
  <c r="AC449" i="4"/>
  <c r="AH449" i="4"/>
  <c r="AK449" i="4"/>
  <c r="AL449" i="4"/>
  <c r="AM449" i="4"/>
  <c r="AN449" i="4"/>
  <c r="AO449" i="4"/>
  <c r="F450" i="4"/>
  <c r="G450" i="4"/>
  <c r="H450" i="4"/>
  <c r="I450" i="4"/>
  <c r="L450" i="4"/>
  <c r="M450" i="4"/>
  <c r="N450" i="4"/>
  <c r="O450" i="4"/>
  <c r="R450" i="4"/>
  <c r="S450" i="4"/>
  <c r="T450" i="4"/>
  <c r="U450" i="4"/>
  <c r="W450" i="4"/>
  <c r="Z450" i="4"/>
  <c r="AA450" i="4"/>
  <c r="AB450" i="4"/>
  <c r="AC450" i="4"/>
  <c r="AH450" i="4"/>
  <c r="AK450" i="4"/>
  <c r="AL450" i="4"/>
  <c r="AM450" i="4"/>
  <c r="AN450" i="4"/>
  <c r="AO450" i="4"/>
  <c r="F451" i="4"/>
  <c r="G451" i="4"/>
  <c r="H451" i="4"/>
  <c r="I451" i="4"/>
  <c r="L451" i="4"/>
  <c r="M451" i="4"/>
  <c r="N451" i="4"/>
  <c r="O451" i="4"/>
  <c r="R451" i="4"/>
  <c r="S451" i="4"/>
  <c r="T451" i="4"/>
  <c r="U451" i="4"/>
  <c r="W451" i="4"/>
  <c r="Z451" i="4"/>
  <c r="AA451" i="4"/>
  <c r="AB451" i="4"/>
  <c r="AC451" i="4"/>
  <c r="AH451" i="4"/>
  <c r="AK451" i="4"/>
  <c r="AL451" i="4"/>
  <c r="AM451" i="4"/>
  <c r="AN451" i="4"/>
  <c r="AO451" i="4"/>
  <c r="F452" i="4"/>
  <c r="G452" i="4"/>
  <c r="H452" i="4"/>
  <c r="I452" i="4"/>
  <c r="L452" i="4"/>
  <c r="M452" i="4"/>
  <c r="N452" i="4"/>
  <c r="O452" i="4"/>
  <c r="R452" i="4"/>
  <c r="S452" i="4"/>
  <c r="T452" i="4"/>
  <c r="U452" i="4"/>
  <c r="W452" i="4"/>
  <c r="Z452" i="4"/>
  <c r="AA452" i="4"/>
  <c r="AB452" i="4"/>
  <c r="AC452" i="4"/>
  <c r="AH452" i="4"/>
  <c r="AK452" i="4"/>
  <c r="AL452" i="4"/>
  <c r="AM452" i="4"/>
  <c r="AN452" i="4"/>
  <c r="AO452" i="4"/>
  <c r="F453" i="4"/>
  <c r="G453" i="4"/>
  <c r="H453" i="4"/>
  <c r="I453" i="4"/>
  <c r="L453" i="4"/>
  <c r="M453" i="4"/>
  <c r="N453" i="4"/>
  <c r="O453" i="4"/>
  <c r="R453" i="4"/>
  <c r="S453" i="4"/>
  <c r="T453" i="4"/>
  <c r="U453" i="4"/>
  <c r="W453" i="4"/>
  <c r="Z453" i="4"/>
  <c r="AA453" i="4"/>
  <c r="AB453" i="4"/>
  <c r="AC453" i="4"/>
  <c r="AH453" i="4"/>
  <c r="AK453" i="4"/>
  <c r="AL453" i="4"/>
  <c r="AM453" i="4"/>
  <c r="AN453" i="4"/>
  <c r="AO453" i="4"/>
  <c r="F454" i="4"/>
  <c r="G454" i="4"/>
  <c r="H454" i="4"/>
  <c r="I454" i="4"/>
  <c r="L454" i="4"/>
  <c r="M454" i="4"/>
  <c r="N454" i="4"/>
  <c r="O454" i="4"/>
  <c r="R454" i="4"/>
  <c r="S454" i="4"/>
  <c r="T454" i="4"/>
  <c r="U454" i="4"/>
  <c r="W454" i="4"/>
  <c r="Z454" i="4"/>
  <c r="AA454" i="4"/>
  <c r="AB454" i="4"/>
  <c r="AC454" i="4"/>
  <c r="AH454" i="4"/>
  <c r="AK454" i="4"/>
  <c r="AL454" i="4"/>
  <c r="AM454" i="4"/>
  <c r="AN454" i="4"/>
  <c r="AO454" i="4"/>
  <c r="F455" i="4"/>
  <c r="G455" i="4"/>
  <c r="H455" i="4"/>
  <c r="I455" i="4"/>
  <c r="L455" i="4"/>
  <c r="M455" i="4"/>
  <c r="N455" i="4"/>
  <c r="O455" i="4"/>
  <c r="R455" i="4"/>
  <c r="S455" i="4"/>
  <c r="T455" i="4"/>
  <c r="U455" i="4"/>
  <c r="W455" i="4"/>
  <c r="Z455" i="4"/>
  <c r="AA455" i="4"/>
  <c r="AB455" i="4"/>
  <c r="AC455" i="4"/>
  <c r="AH455" i="4"/>
  <c r="AK455" i="4"/>
  <c r="AL455" i="4"/>
  <c r="AM455" i="4"/>
  <c r="AN455" i="4"/>
  <c r="AO455" i="4"/>
  <c r="F456" i="4"/>
  <c r="G456" i="4"/>
  <c r="H456" i="4"/>
  <c r="I456" i="4"/>
  <c r="L456" i="4"/>
  <c r="M456" i="4"/>
  <c r="N456" i="4"/>
  <c r="O456" i="4"/>
  <c r="R456" i="4"/>
  <c r="S456" i="4"/>
  <c r="T456" i="4"/>
  <c r="U456" i="4"/>
  <c r="W456" i="4"/>
  <c r="Z456" i="4"/>
  <c r="AA456" i="4"/>
  <c r="AB456" i="4"/>
  <c r="AC456" i="4"/>
  <c r="AH456" i="4"/>
  <c r="AK456" i="4"/>
  <c r="AL456" i="4"/>
  <c r="AM456" i="4"/>
  <c r="AN456" i="4"/>
  <c r="AO456" i="4"/>
  <c r="F457" i="4"/>
  <c r="G457" i="4"/>
  <c r="H457" i="4"/>
  <c r="I457" i="4"/>
  <c r="L457" i="4"/>
  <c r="M457" i="4"/>
  <c r="N457" i="4"/>
  <c r="O457" i="4"/>
  <c r="R457" i="4"/>
  <c r="S457" i="4"/>
  <c r="T457" i="4"/>
  <c r="U457" i="4"/>
  <c r="W457" i="4"/>
  <c r="Z457" i="4"/>
  <c r="AA457" i="4"/>
  <c r="AB457" i="4"/>
  <c r="AC457" i="4"/>
  <c r="AH457" i="4"/>
  <c r="AK457" i="4"/>
  <c r="AL457" i="4"/>
  <c r="AM457" i="4"/>
  <c r="AN457" i="4"/>
  <c r="AO457" i="4"/>
  <c r="F458" i="4"/>
  <c r="G458" i="4"/>
  <c r="H458" i="4"/>
  <c r="I458" i="4"/>
  <c r="L458" i="4"/>
  <c r="M458" i="4"/>
  <c r="N458" i="4"/>
  <c r="O458" i="4"/>
  <c r="R458" i="4"/>
  <c r="S458" i="4"/>
  <c r="T458" i="4"/>
  <c r="U458" i="4"/>
  <c r="W458" i="4"/>
  <c r="Z458" i="4"/>
  <c r="AA458" i="4"/>
  <c r="AB458" i="4"/>
  <c r="AC458" i="4"/>
  <c r="AH458" i="4"/>
  <c r="AK458" i="4"/>
  <c r="AL458" i="4"/>
  <c r="AM458" i="4"/>
  <c r="AN458" i="4"/>
  <c r="AO458" i="4"/>
  <c r="F459" i="4"/>
  <c r="G459" i="4"/>
  <c r="H459" i="4"/>
  <c r="I459" i="4"/>
  <c r="L459" i="4"/>
  <c r="M459" i="4"/>
  <c r="N459" i="4"/>
  <c r="O459" i="4"/>
  <c r="R459" i="4"/>
  <c r="S459" i="4"/>
  <c r="T459" i="4"/>
  <c r="U459" i="4"/>
  <c r="W459" i="4"/>
  <c r="Z459" i="4"/>
  <c r="AA459" i="4"/>
  <c r="AB459" i="4"/>
  <c r="AC459" i="4"/>
  <c r="AH459" i="4"/>
  <c r="AK459" i="4"/>
  <c r="AL459" i="4"/>
  <c r="AM459" i="4"/>
  <c r="AN459" i="4"/>
  <c r="AO459" i="4"/>
  <c r="F460" i="4"/>
  <c r="G460" i="4"/>
  <c r="H460" i="4"/>
  <c r="I460" i="4"/>
  <c r="L460" i="4"/>
  <c r="M460" i="4"/>
  <c r="N460" i="4"/>
  <c r="O460" i="4"/>
  <c r="R460" i="4"/>
  <c r="S460" i="4"/>
  <c r="T460" i="4"/>
  <c r="U460" i="4"/>
  <c r="W460" i="4"/>
  <c r="Z460" i="4"/>
  <c r="AA460" i="4"/>
  <c r="AB460" i="4"/>
  <c r="AC460" i="4"/>
  <c r="AH460" i="4"/>
  <c r="AK460" i="4"/>
  <c r="AL460" i="4"/>
  <c r="AM460" i="4"/>
  <c r="AN460" i="4"/>
  <c r="AO460" i="4"/>
  <c r="F461" i="4"/>
  <c r="G461" i="4"/>
  <c r="H461" i="4"/>
  <c r="I461" i="4"/>
  <c r="L461" i="4"/>
  <c r="M461" i="4"/>
  <c r="N461" i="4"/>
  <c r="O461" i="4"/>
  <c r="R461" i="4"/>
  <c r="S461" i="4"/>
  <c r="T461" i="4"/>
  <c r="U461" i="4"/>
  <c r="W461" i="4"/>
  <c r="Z461" i="4"/>
  <c r="AA461" i="4"/>
  <c r="AB461" i="4"/>
  <c r="AC461" i="4"/>
  <c r="AH461" i="4"/>
  <c r="AK461" i="4"/>
  <c r="AL461" i="4"/>
  <c r="AM461" i="4"/>
  <c r="AN461" i="4"/>
  <c r="AO461" i="4"/>
  <c r="F462" i="4"/>
  <c r="G462" i="4"/>
  <c r="H462" i="4"/>
  <c r="I462" i="4"/>
  <c r="L462" i="4"/>
  <c r="M462" i="4"/>
  <c r="N462" i="4"/>
  <c r="O462" i="4"/>
  <c r="R462" i="4"/>
  <c r="S462" i="4"/>
  <c r="T462" i="4"/>
  <c r="U462" i="4"/>
  <c r="W462" i="4"/>
  <c r="Z462" i="4"/>
  <c r="AA462" i="4"/>
  <c r="AB462" i="4"/>
  <c r="AC462" i="4"/>
  <c r="AH462" i="4"/>
  <c r="AK462" i="4"/>
  <c r="AL462" i="4"/>
  <c r="AM462" i="4"/>
  <c r="AN462" i="4"/>
  <c r="AO462" i="4"/>
  <c r="F463" i="4"/>
  <c r="G463" i="4"/>
  <c r="H463" i="4"/>
  <c r="I463" i="4"/>
  <c r="L463" i="4"/>
  <c r="M463" i="4"/>
  <c r="N463" i="4"/>
  <c r="O463" i="4"/>
  <c r="R463" i="4"/>
  <c r="S463" i="4"/>
  <c r="T463" i="4"/>
  <c r="U463" i="4"/>
  <c r="W463" i="4"/>
  <c r="Z463" i="4"/>
  <c r="AA463" i="4"/>
  <c r="AB463" i="4"/>
  <c r="AC463" i="4"/>
  <c r="AH463" i="4"/>
  <c r="AK463" i="4"/>
  <c r="AL463" i="4"/>
  <c r="AM463" i="4"/>
  <c r="AN463" i="4"/>
  <c r="AO463" i="4"/>
  <c r="F464" i="4"/>
  <c r="G464" i="4"/>
  <c r="H464" i="4"/>
  <c r="I464" i="4"/>
  <c r="L464" i="4"/>
  <c r="M464" i="4"/>
  <c r="N464" i="4"/>
  <c r="O464" i="4"/>
  <c r="R464" i="4"/>
  <c r="S464" i="4"/>
  <c r="T464" i="4"/>
  <c r="U464" i="4"/>
  <c r="W464" i="4"/>
  <c r="Z464" i="4"/>
  <c r="AA464" i="4"/>
  <c r="AB464" i="4"/>
  <c r="AC464" i="4"/>
  <c r="AH464" i="4"/>
  <c r="AK464" i="4"/>
  <c r="AL464" i="4"/>
  <c r="AM464" i="4"/>
  <c r="AN464" i="4"/>
  <c r="AO464" i="4"/>
  <c r="F465" i="4"/>
  <c r="G465" i="4"/>
  <c r="H465" i="4"/>
  <c r="I465" i="4"/>
  <c r="L465" i="4"/>
  <c r="M465" i="4"/>
  <c r="N465" i="4"/>
  <c r="O465" i="4"/>
  <c r="R465" i="4"/>
  <c r="S465" i="4"/>
  <c r="T465" i="4"/>
  <c r="U465" i="4"/>
  <c r="W465" i="4"/>
  <c r="Z465" i="4"/>
  <c r="AA465" i="4"/>
  <c r="AB465" i="4"/>
  <c r="AC465" i="4"/>
  <c r="AH465" i="4"/>
  <c r="AK465" i="4"/>
  <c r="AL465" i="4"/>
  <c r="AM465" i="4"/>
  <c r="AN465" i="4"/>
  <c r="AO465" i="4"/>
  <c r="F466" i="4"/>
  <c r="G466" i="4"/>
  <c r="H466" i="4"/>
  <c r="I466" i="4"/>
  <c r="L466" i="4"/>
  <c r="M466" i="4"/>
  <c r="N466" i="4"/>
  <c r="O466" i="4"/>
  <c r="R466" i="4"/>
  <c r="S466" i="4"/>
  <c r="T466" i="4"/>
  <c r="U466" i="4"/>
  <c r="W466" i="4"/>
  <c r="Z466" i="4"/>
  <c r="AA466" i="4"/>
  <c r="AB466" i="4"/>
  <c r="AC466" i="4"/>
  <c r="AH466" i="4"/>
  <c r="AK466" i="4"/>
  <c r="AL466" i="4"/>
  <c r="AM466" i="4"/>
  <c r="AN466" i="4"/>
  <c r="AO466" i="4"/>
  <c r="F467" i="4"/>
  <c r="G467" i="4"/>
  <c r="H467" i="4"/>
  <c r="I467" i="4"/>
  <c r="L467" i="4"/>
  <c r="M467" i="4"/>
  <c r="N467" i="4"/>
  <c r="O467" i="4"/>
  <c r="R467" i="4"/>
  <c r="S467" i="4"/>
  <c r="T467" i="4"/>
  <c r="U467" i="4"/>
  <c r="W467" i="4"/>
  <c r="Z467" i="4"/>
  <c r="AA467" i="4"/>
  <c r="AB467" i="4"/>
  <c r="AC467" i="4"/>
  <c r="AH467" i="4"/>
  <c r="AK467" i="4"/>
  <c r="AL467" i="4"/>
  <c r="AM467" i="4"/>
  <c r="AN467" i="4"/>
  <c r="AO467" i="4"/>
  <c r="F468" i="4"/>
  <c r="G468" i="4"/>
  <c r="H468" i="4"/>
  <c r="I468" i="4"/>
  <c r="L468" i="4"/>
  <c r="M468" i="4"/>
  <c r="N468" i="4"/>
  <c r="O468" i="4"/>
  <c r="R468" i="4"/>
  <c r="S468" i="4"/>
  <c r="T468" i="4"/>
  <c r="U468" i="4"/>
  <c r="W468" i="4"/>
  <c r="Z468" i="4"/>
  <c r="AA468" i="4"/>
  <c r="AB468" i="4"/>
  <c r="AC468" i="4"/>
  <c r="AH468" i="4"/>
  <c r="AK468" i="4"/>
  <c r="AL468" i="4"/>
  <c r="AM468" i="4"/>
  <c r="AN468" i="4"/>
  <c r="AO468" i="4"/>
  <c r="F469" i="4"/>
  <c r="G469" i="4"/>
  <c r="H469" i="4"/>
  <c r="I469" i="4"/>
  <c r="L469" i="4"/>
  <c r="M469" i="4"/>
  <c r="N469" i="4"/>
  <c r="O469" i="4"/>
  <c r="R469" i="4"/>
  <c r="S469" i="4"/>
  <c r="T469" i="4"/>
  <c r="U469" i="4"/>
  <c r="W469" i="4"/>
  <c r="Z469" i="4"/>
  <c r="AA469" i="4"/>
  <c r="AB469" i="4"/>
  <c r="AC469" i="4"/>
  <c r="AH469" i="4"/>
  <c r="AK469" i="4"/>
  <c r="AL469" i="4"/>
  <c r="AM469" i="4"/>
  <c r="AN469" i="4"/>
  <c r="AO469" i="4"/>
  <c r="F470" i="4"/>
  <c r="G470" i="4"/>
  <c r="H470" i="4"/>
  <c r="I470" i="4"/>
  <c r="L470" i="4"/>
  <c r="M470" i="4"/>
  <c r="N470" i="4"/>
  <c r="O470" i="4"/>
  <c r="R470" i="4"/>
  <c r="S470" i="4"/>
  <c r="T470" i="4"/>
  <c r="U470" i="4"/>
  <c r="W470" i="4"/>
  <c r="Z470" i="4"/>
  <c r="AA470" i="4"/>
  <c r="AB470" i="4"/>
  <c r="AC470" i="4"/>
  <c r="AH470" i="4"/>
  <c r="AK470" i="4"/>
  <c r="AL470" i="4"/>
  <c r="AM470" i="4"/>
  <c r="AN470" i="4"/>
  <c r="AO470" i="4"/>
  <c r="F471" i="4"/>
  <c r="G471" i="4"/>
  <c r="H471" i="4"/>
  <c r="I471" i="4"/>
  <c r="L471" i="4"/>
  <c r="M471" i="4"/>
  <c r="N471" i="4"/>
  <c r="O471" i="4"/>
  <c r="R471" i="4"/>
  <c r="S471" i="4"/>
  <c r="T471" i="4"/>
  <c r="U471" i="4"/>
  <c r="W471" i="4"/>
  <c r="Z471" i="4"/>
  <c r="AA471" i="4"/>
  <c r="AB471" i="4"/>
  <c r="AC471" i="4"/>
  <c r="AH471" i="4"/>
  <c r="AK471" i="4"/>
  <c r="AL471" i="4"/>
  <c r="AM471" i="4"/>
  <c r="AN471" i="4"/>
  <c r="AO471" i="4"/>
  <c r="F472" i="4"/>
  <c r="G472" i="4"/>
  <c r="H472" i="4"/>
  <c r="I472" i="4"/>
  <c r="L472" i="4"/>
  <c r="M472" i="4"/>
  <c r="N472" i="4"/>
  <c r="O472" i="4"/>
  <c r="R472" i="4"/>
  <c r="S472" i="4"/>
  <c r="T472" i="4"/>
  <c r="U472" i="4"/>
  <c r="W472" i="4"/>
  <c r="Z472" i="4"/>
  <c r="AA472" i="4"/>
  <c r="AB472" i="4"/>
  <c r="AC472" i="4"/>
  <c r="AH472" i="4"/>
  <c r="AK472" i="4"/>
  <c r="AL472" i="4"/>
  <c r="AM472" i="4"/>
  <c r="AN472" i="4"/>
  <c r="AO472" i="4"/>
  <c r="F473" i="4"/>
  <c r="G473" i="4"/>
  <c r="H473" i="4"/>
  <c r="I473" i="4"/>
  <c r="L473" i="4"/>
  <c r="M473" i="4"/>
  <c r="N473" i="4"/>
  <c r="O473" i="4"/>
  <c r="R473" i="4"/>
  <c r="S473" i="4"/>
  <c r="T473" i="4"/>
  <c r="U473" i="4"/>
  <c r="W473" i="4"/>
  <c r="Z473" i="4"/>
  <c r="AA473" i="4"/>
  <c r="AB473" i="4"/>
  <c r="AC473" i="4"/>
  <c r="AH473" i="4"/>
  <c r="AK473" i="4"/>
  <c r="AL473" i="4"/>
  <c r="AM473" i="4"/>
  <c r="AN473" i="4"/>
  <c r="AO473" i="4"/>
  <c r="F474" i="4"/>
  <c r="G474" i="4"/>
  <c r="H474" i="4"/>
  <c r="I474" i="4"/>
  <c r="L474" i="4"/>
  <c r="M474" i="4"/>
  <c r="N474" i="4"/>
  <c r="O474" i="4"/>
  <c r="R474" i="4"/>
  <c r="S474" i="4"/>
  <c r="T474" i="4"/>
  <c r="U474" i="4"/>
  <c r="W474" i="4"/>
  <c r="Z474" i="4"/>
  <c r="AA474" i="4"/>
  <c r="AB474" i="4"/>
  <c r="AC474" i="4"/>
  <c r="AH474" i="4"/>
  <c r="AK474" i="4"/>
  <c r="AL474" i="4"/>
  <c r="AM474" i="4"/>
  <c r="AN474" i="4"/>
  <c r="AO474" i="4"/>
  <c r="F475" i="4"/>
  <c r="G475" i="4"/>
  <c r="H475" i="4"/>
  <c r="I475" i="4"/>
  <c r="L475" i="4"/>
  <c r="M475" i="4"/>
  <c r="N475" i="4"/>
  <c r="O475" i="4"/>
  <c r="R475" i="4"/>
  <c r="S475" i="4"/>
  <c r="T475" i="4"/>
  <c r="U475" i="4"/>
  <c r="W475" i="4"/>
  <c r="Z475" i="4"/>
  <c r="AA475" i="4"/>
  <c r="AB475" i="4"/>
  <c r="AC475" i="4"/>
  <c r="AH475" i="4"/>
  <c r="AK475" i="4"/>
  <c r="AL475" i="4"/>
  <c r="AM475" i="4"/>
  <c r="AN475" i="4"/>
  <c r="AO475" i="4"/>
  <c r="F476" i="4"/>
  <c r="G476" i="4"/>
  <c r="H476" i="4"/>
  <c r="I476" i="4"/>
  <c r="L476" i="4"/>
  <c r="M476" i="4"/>
  <c r="N476" i="4"/>
  <c r="O476" i="4"/>
  <c r="R476" i="4"/>
  <c r="S476" i="4"/>
  <c r="T476" i="4"/>
  <c r="U476" i="4"/>
  <c r="W476" i="4"/>
  <c r="Z476" i="4"/>
  <c r="AA476" i="4"/>
  <c r="AB476" i="4"/>
  <c r="AC476" i="4"/>
  <c r="AH476" i="4"/>
  <c r="AK476" i="4"/>
  <c r="AL476" i="4"/>
  <c r="AM476" i="4"/>
  <c r="AN476" i="4"/>
  <c r="AO476" i="4"/>
  <c r="F477" i="4"/>
  <c r="G477" i="4"/>
  <c r="H477" i="4"/>
  <c r="I477" i="4"/>
  <c r="L477" i="4"/>
  <c r="M477" i="4"/>
  <c r="N477" i="4"/>
  <c r="O477" i="4"/>
  <c r="R477" i="4"/>
  <c r="S477" i="4"/>
  <c r="T477" i="4"/>
  <c r="U477" i="4"/>
  <c r="W477" i="4"/>
  <c r="Z477" i="4"/>
  <c r="AA477" i="4"/>
  <c r="AB477" i="4"/>
  <c r="AC477" i="4"/>
  <c r="AH477" i="4"/>
  <c r="AK477" i="4"/>
  <c r="AL477" i="4"/>
  <c r="AM477" i="4"/>
  <c r="AN477" i="4"/>
  <c r="AO477" i="4"/>
  <c r="F478" i="4"/>
  <c r="G478" i="4"/>
  <c r="H478" i="4"/>
  <c r="I478" i="4"/>
  <c r="L478" i="4"/>
  <c r="M478" i="4"/>
  <c r="N478" i="4"/>
  <c r="O478" i="4"/>
  <c r="R478" i="4"/>
  <c r="S478" i="4"/>
  <c r="T478" i="4"/>
  <c r="U478" i="4"/>
  <c r="W478" i="4"/>
  <c r="Z478" i="4"/>
  <c r="AA478" i="4"/>
  <c r="AB478" i="4"/>
  <c r="AC478" i="4"/>
  <c r="AH478" i="4"/>
  <c r="AK478" i="4"/>
  <c r="AL478" i="4"/>
  <c r="AM478" i="4"/>
  <c r="AN478" i="4"/>
  <c r="AO478" i="4"/>
  <c r="F479" i="4"/>
  <c r="G479" i="4"/>
  <c r="H479" i="4"/>
  <c r="I479" i="4"/>
  <c r="L479" i="4"/>
  <c r="M479" i="4"/>
  <c r="N479" i="4"/>
  <c r="O479" i="4"/>
  <c r="R479" i="4"/>
  <c r="S479" i="4"/>
  <c r="T479" i="4"/>
  <c r="U479" i="4"/>
  <c r="W479" i="4"/>
  <c r="Z479" i="4"/>
  <c r="AA479" i="4"/>
  <c r="AB479" i="4"/>
  <c r="AC479" i="4"/>
  <c r="AH479" i="4"/>
  <c r="AK479" i="4"/>
  <c r="AL479" i="4"/>
  <c r="AM479" i="4"/>
  <c r="AN479" i="4"/>
  <c r="AO479" i="4"/>
  <c r="F480" i="4"/>
  <c r="G480" i="4"/>
  <c r="H480" i="4"/>
  <c r="I480" i="4"/>
  <c r="L480" i="4"/>
  <c r="M480" i="4"/>
  <c r="N480" i="4"/>
  <c r="O480" i="4"/>
  <c r="R480" i="4"/>
  <c r="S480" i="4"/>
  <c r="T480" i="4"/>
  <c r="U480" i="4"/>
  <c r="W480" i="4"/>
  <c r="Z480" i="4"/>
  <c r="AA480" i="4"/>
  <c r="AB480" i="4"/>
  <c r="AC480" i="4"/>
  <c r="AH480" i="4"/>
  <c r="AK480" i="4"/>
  <c r="AL480" i="4"/>
  <c r="AM480" i="4"/>
  <c r="AN480" i="4"/>
  <c r="AO480" i="4"/>
  <c r="F481" i="4"/>
  <c r="G481" i="4"/>
  <c r="H481" i="4"/>
  <c r="I481" i="4"/>
  <c r="L481" i="4"/>
  <c r="M481" i="4"/>
  <c r="N481" i="4"/>
  <c r="O481" i="4"/>
  <c r="R481" i="4"/>
  <c r="S481" i="4"/>
  <c r="T481" i="4"/>
  <c r="U481" i="4"/>
  <c r="W481" i="4"/>
  <c r="Z481" i="4"/>
  <c r="AA481" i="4"/>
  <c r="AB481" i="4"/>
  <c r="AC481" i="4"/>
  <c r="AH481" i="4"/>
  <c r="AK481" i="4"/>
  <c r="AL481" i="4"/>
  <c r="AM481" i="4"/>
  <c r="AN481" i="4"/>
  <c r="AO481" i="4"/>
  <c r="F482" i="4"/>
  <c r="G482" i="4"/>
  <c r="H482" i="4"/>
  <c r="I482" i="4"/>
  <c r="L482" i="4"/>
  <c r="M482" i="4"/>
  <c r="N482" i="4"/>
  <c r="O482" i="4"/>
  <c r="R482" i="4"/>
  <c r="S482" i="4"/>
  <c r="T482" i="4"/>
  <c r="U482" i="4"/>
  <c r="W482" i="4"/>
  <c r="Z482" i="4"/>
  <c r="AA482" i="4"/>
  <c r="AB482" i="4"/>
  <c r="AC482" i="4"/>
  <c r="AH482" i="4"/>
  <c r="AK482" i="4"/>
  <c r="AL482" i="4"/>
  <c r="AM482" i="4"/>
  <c r="AN482" i="4"/>
  <c r="AO482" i="4"/>
  <c r="F483" i="4"/>
  <c r="G483" i="4"/>
  <c r="H483" i="4"/>
  <c r="I483" i="4"/>
  <c r="L483" i="4"/>
  <c r="M483" i="4"/>
  <c r="N483" i="4"/>
  <c r="O483" i="4"/>
  <c r="R483" i="4"/>
  <c r="S483" i="4"/>
  <c r="T483" i="4"/>
  <c r="U483" i="4"/>
  <c r="W483" i="4"/>
  <c r="Z483" i="4"/>
  <c r="AA483" i="4"/>
  <c r="AB483" i="4"/>
  <c r="AC483" i="4"/>
  <c r="AH483" i="4"/>
  <c r="AK483" i="4"/>
  <c r="AL483" i="4"/>
  <c r="AM483" i="4"/>
  <c r="AN483" i="4"/>
  <c r="AO483" i="4"/>
  <c r="F484" i="4"/>
  <c r="G484" i="4"/>
  <c r="H484" i="4"/>
  <c r="I484" i="4"/>
  <c r="L484" i="4"/>
  <c r="M484" i="4"/>
  <c r="N484" i="4"/>
  <c r="O484" i="4"/>
  <c r="R484" i="4"/>
  <c r="S484" i="4"/>
  <c r="T484" i="4"/>
  <c r="U484" i="4"/>
  <c r="W484" i="4"/>
  <c r="Z484" i="4"/>
  <c r="AA484" i="4"/>
  <c r="AB484" i="4"/>
  <c r="AC484" i="4"/>
  <c r="AH484" i="4"/>
  <c r="AK484" i="4"/>
  <c r="AL484" i="4"/>
  <c r="AM484" i="4"/>
  <c r="AN484" i="4"/>
  <c r="AO484" i="4"/>
  <c r="F485" i="4"/>
  <c r="G485" i="4"/>
  <c r="H485" i="4"/>
  <c r="I485" i="4"/>
  <c r="L485" i="4"/>
  <c r="M485" i="4"/>
  <c r="N485" i="4"/>
  <c r="O485" i="4"/>
  <c r="R485" i="4"/>
  <c r="S485" i="4"/>
  <c r="T485" i="4"/>
  <c r="U485" i="4"/>
  <c r="W485" i="4"/>
  <c r="Z485" i="4"/>
  <c r="AA485" i="4"/>
  <c r="AB485" i="4"/>
  <c r="AC485" i="4"/>
  <c r="AH485" i="4"/>
  <c r="AK485" i="4"/>
  <c r="AL485" i="4"/>
  <c r="AM485" i="4"/>
  <c r="AN485" i="4"/>
  <c r="AO485" i="4"/>
  <c r="F486" i="4"/>
  <c r="G486" i="4"/>
  <c r="H486" i="4"/>
  <c r="I486" i="4"/>
  <c r="L486" i="4"/>
  <c r="M486" i="4"/>
  <c r="N486" i="4"/>
  <c r="O486" i="4"/>
  <c r="R486" i="4"/>
  <c r="S486" i="4"/>
  <c r="T486" i="4"/>
  <c r="U486" i="4"/>
  <c r="W486" i="4"/>
  <c r="Z486" i="4"/>
  <c r="AA486" i="4"/>
  <c r="AB486" i="4"/>
  <c r="AC486" i="4"/>
  <c r="AH486" i="4"/>
  <c r="AK486" i="4"/>
  <c r="AL486" i="4"/>
  <c r="AM486" i="4"/>
  <c r="AN486" i="4"/>
  <c r="AO486" i="4"/>
  <c r="F487" i="4"/>
  <c r="G487" i="4"/>
  <c r="H487" i="4"/>
  <c r="I487" i="4"/>
  <c r="L487" i="4"/>
  <c r="M487" i="4"/>
  <c r="N487" i="4"/>
  <c r="O487" i="4"/>
  <c r="R487" i="4"/>
  <c r="S487" i="4"/>
  <c r="T487" i="4"/>
  <c r="U487" i="4"/>
  <c r="W487" i="4"/>
  <c r="Z487" i="4"/>
  <c r="AA487" i="4"/>
  <c r="AB487" i="4"/>
  <c r="AC487" i="4"/>
  <c r="AH487" i="4"/>
  <c r="AK487" i="4"/>
  <c r="AL487" i="4"/>
  <c r="AM487" i="4"/>
  <c r="AN487" i="4"/>
  <c r="AO487" i="4"/>
  <c r="F488" i="4"/>
  <c r="G488" i="4"/>
  <c r="H488" i="4"/>
  <c r="I488" i="4"/>
  <c r="L488" i="4"/>
  <c r="M488" i="4"/>
  <c r="N488" i="4"/>
  <c r="O488" i="4"/>
  <c r="R488" i="4"/>
  <c r="S488" i="4"/>
  <c r="T488" i="4"/>
  <c r="U488" i="4"/>
  <c r="W488" i="4"/>
  <c r="Z488" i="4"/>
  <c r="AA488" i="4"/>
  <c r="AB488" i="4"/>
  <c r="AC488" i="4"/>
  <c r="AH488" i="4"/>
  <c r="AK488" i="4"/>
  <c r="AL488" i="4"/>
  <c r="AM488" i="4"/>
  <c r="AN488" i="4"/>
  <c r="AO488" i="4"/>
  <c r="F489" i="4"/>
  <c r="G489" i="4"/>
  <c r="H489" i="4"/>
  <c r="I489" i="4"/>
  <c r="L489" i="4"/>
  <c r="M489" i="4"/>
  <c r="N489" i="4"/>
  <c r="O489" i="4"/>
  <c r="R489" i="4"/>
  <c r="S489" i="4"/>
  <c r="T489" i="4"/>
  <c r="U489" i="4"/>
  <c r="W489" i="4"/>
  <c r="Z489" i="4"/>
  <c r="AA489" i="4"/>
  <c r="AB489" i="4"/>
  <c r="AC489" i="4"/>
  <c r="AH489" i="4"/>
  <c r="AK489" i="4"/>
  <c r="AL489" i="4"/>
  <c r="AM489" i="4"/>
  <c r="AN489" i="4"/>
  <c r="AO489" i="4"/>
  <c r="F490" i="4"/>
  <c r="G490" i="4"/>
  <c r="H490" i="4"/>
  <c r="I490" i="4"/>
  <c r="L490" i="4"/>
  <c r="M490" i="4"/>
  <c r="N490" i="4"/>
  <c r="O490" i="4"/>
  <c r="R490" i="4"/>
  <c r="S490" i="4"/>
  <c r="T490" i="4"/>
  <c r="U490" i="4"/>
  <c r="W490" i="4"/>
  <c r="Z490" i="4"/>
  <c r="AA490" i="4"/>
  <c r="AB490" i="4"/>
  <c r="AC490" i="4"/>
  <c r="AH490" i="4"/>
  <c r="AK490" i="4"/>
  <c r="AL490" i="4"/>
  <c r="AM490" i="4"/>
  <c r="AN490" i="4"/>
  <c r="AO490" i="4"/>
  <c r="F491" i="4"/>
  <c r="G491" i="4"/>
  <c r="H491" i="4"/>
  <c r="I491" i="4"/>
  <c r="L491" i="4"/>
  <c r="M491" i="4"/>
  <c r="N491" i="4"/>
  <c r="O491" i="4"/>
  <c r="R491" i="4"/>
  <c r="S491" i="4"/>
  <c r="T491" i="4"/>
  <c r="U491" i="4"/>
  <c r="W491" i="4"/>
  <c r="Z491" i="4"/>
  <c r="AA491" i="4"/>
  <c r="AB491" i="4"/>
  <c r="AC491" i="4"/>
  <c r="AH491" i="4"/>
  <c r="AK491" i="4"/>
  <c r="AL491" i="4"/>
  <c r="AM491" i="4"/>
  <c r="AN491" i="4"/>
  <c r="AO491" i="4"/>
  <c r="F492" i="4"/>
  <c r="G492" i="4"/>
  <c r="H492" i="4"/>
  <c r="I492" i="4"/>
  <c r="L492" i="4"/>
  <c r="M492" i="4"/>
  <c r="N492" i="4"/>
  <c r="O492" i="4"/>
  <c r="R492" i="4"/>
  <c r="S492" i="4"/>
  <c r="T492" i="4"/>
  <c r="U492" i="4"/>
  <c r="W492" i="4"/>
  <c r="Z492" i="4"/>
  <c r="AA492" i="4"/>
  <c r="AB492" i="4"/>
  <c r="AC492" i="4"/>
  <c r="AH492" i="4"/>
  <c r="AK492" i="4"/>
  <c r="AL492" i="4"/>
  <c r="AM492" i="4"/>
  <c r="AN492" i="4"/>
  <c r="AO492" i="4"/>
  <c r="F493" i="4"/>
  <c r="G493" i="4"/>
  <c r="H493" i="4"/>
  <c r="I493" i="4"/>
  <c r="L493" i="4"/>
  <c r="M493" i="4"/>
  <c r="N493" i="4"/>
  <c r="O493" i="4"/>
  <c r="R493" i="4"/>
  <c r="S493" i="4"/>
  <c r="T493" i="4"/>
  <c r="U493" i="4"/>
  <c r="W493" i="4"/>
  <c r="Z493" i="4"/>
  <c r="AA493" i="4"/>
  <c r="AB493" i="4"/>
  <c r="AC493" i="4"/>
  <c r="AH493" i="4"/>
  <c r="AK493" i="4"/>
  <c r="AL493" i="4"/>
  <c r="AM493" i="4"/>
  <c r="AN493" i="4"/>
  <c r="AO493" i="4"/>
  <c r="F494" i="4"/>
  <c r="G494" i="4"/>
  <c r="H494" i="4"/>
  <c r="I494" i="4"/>
  <c r="L494" i="4"/>
  <c r="M494" i="4"/>
  <c r="N494" i="4"/>
  <c r="O494" i="4"/>
  <c r="R494" i="4"/>
  <c r="S494" i="4"/>
  <c r="T494" i="4"/>
  <c r="U494" i="4"/>
  <c r="W494" i="4"/>
  <c r="Z494" i="4"/>
  <c r="AA494" i="4"/>
  <c r="AB494" i="4"/>
  <c r="AC494" i="4"/>
  <c r="AH494" i="4"/>
  <c r="AK494" i="4"/>
  <c r="AL494" i="4"/>
  <c r="AM494" i="4"/>
  <c r="AN494" i="4"/>
  <c r="AO494" i="4"/>
  <c r="F495" i="4"/>
  <c r="G495" i="4"/>
  <c r="H495" i="4"/>
  <c r="I495" i="4"/>
  <c r="L495" i="4"/>
  <c r="M495" i="4"/>
  <c r="N495" i="4"/>
  <c r="O495" i="4"/>
  <c r="R495" i="4"/>
  <c r="S495" i="4"/>
  <c r="T495" i="4"/>
  <c r="U495" i="4"/>
  <c r="W495" i="4"/>
  <c r="Z495" i="4"/>
  <c r="AA495" i="4"/>
  <c r="AB495" i="4"/>
  <c r="AC495" i="4"/>
  <c r="AH495" i="4"/>
  <c r="AK495" i="4"/>
  <c r="AL495" i="4"/>
  <c r="AM495" i="4"/>
  <c r="AN495" i="4"/>
  <c r="AO495" i="4"/>
  <c r="F496" i="4"/>
  <c r="G496" i="4"/>
  <c r="H496" i="4"/>
  <c r="I496" i="4"/>
  <c r="L496" i="4"/>
  <c r="M496" i="4"/>
  <c r="N496" i="4"/>
  <c r="O496" i="4"/>
  <c r="R496" i="4"/>
  <c r="S496" i="4"/>
  <c r="T496" i="4"/>
  <c r="U496" i="4"/>
  <c r="W496" i="4"/>
  <c r="Z496" i="4"/>
  <c r="AA496" i="4"/>
  <c r="AB496" i="4"/>
  <c r="AC496" i="4"/>
  <c r="AH496" i="4"/>
  <c r="AK496" i="4"/>
  <c r="AL496" i="4"/>
  <c r="AM496" i="4"/>
  <c r="AN496" i="4"/>
  <c r="AO496" i="4"/>
  <c r="F497" i="4"/>
  <c r="G497" i="4"/>
  <c r="H497" i="4"/>
  <c r="I497" i="4"/>
  <c r="L497" i="4"/>
  <c r="M497" i="4"/>
  <c r="N497" i="4"/>
  <c r="O497" i="4"/>
  <c r="R497" i="4"/>
  <c r="S497" i="4"/>
  <c r="T497" i="4"/>
  <c r="U497" i="4"/>
  <c r="W497" i="4"/>
  <c r="Z497" i="4"/>
  <c r="AA497" i="4"/>
  <c r="AB497" i="4"/>
  <c r="AC497" i="4"/>
  <c r="AH497" i="4"/>
  <c r="AK497" i="4"/>
  <c r="AL497" i="4"/>
  <c r="AM497" i="4"/>
  <c r="AN497" i="4"/>
  <c r="AO497" i="4"/>
  <c r="F498" i="4"/>
  <c r="G498" i="4"/>
  <c r="H498" i="4"/>
  <c r="I498" i="4"/>
  <c r="L498" i="4"/>
  <c r="M498" i="4"/>
  <c r="N498" i="4"/>
  <c r="O498" i="4"/>
  <c r="R498" i="4"/>
  <c r="S498" i="4"/>
  <c r="T498" i="4"/>
  <c r="U498" i="4"/>
  <c r="W498" i="4"/>
  <c r="Z498" i="4"/>
  <c r="AA498" i="4"/>
  <c r="AB498" i="4"/>
  <c r="AC498" i="4"/>
  <c r="AH498" i="4"/>
  <c r="AK498" i="4"/>
  <c r="AL498" i="4"/>
  <c r="AM498" i="4"/>
  <c r="AN498" i="4"/>
  <c r="AO498" i="4"/>
  <c r="F499" i="4"/>
  <c r="G499" i="4"/>
  <c r="H499" i="4"/>
  <c r="I499" i="4"/>
  <c r="L499" i="4"/>
  <c r="M499" i="4"/>
  <c r="N499" i="4"/>
  <c r="O499" i="4"/>
  <c r="R499" i="4"/>
  <c r="S499" i="4"/>
  <c r="T499" i="4"/>
  <c r="U499" i="4"/>
  <c r="W499" i="4"/>
  <c r="Z499" i="4"/>
  <c r="AA499" i="4"/>
  <c r="AB499" i="4"/>
  <c r="AC499" i="4"/>
  <c r="AH499" i="4"/>
  <c r="AK499" i="4"/>
  <c r="AL499" i="4"/>
  <c r="AM499" i="4"/>
  <c r="AN499" i="4"/>
  <c r="AO499" i="4"/>
  <c r="F500" i="4"/>
  <c r="G500" i="4"/>
  <c r="H500" i="4"/>
  <c r="I500" i="4"/>
  <c r="L500" i="4"/>
  <c r="M500" i="4"/>
  <c r="N500" i="4"/>
  <c r="O500" i="4"/>
  <c r="R500" i="4"/>
  <c r="S500" i="4"/>
  <c r="T500" i="4"/>
  <c r="U500" i="4"/>
  <c r="W500" i="4"/>
  <c r="Z500" i="4"/>
  <c r="AA500" i="4"/>
  <c r="AB500" i="4"/>
  <c r="AC500" i="4"/>
  <c r="AH500" i="4"/>
  <c r="AK500" i="4"/>
  <c r="AL500" i="4"/>
  <c r="AM500" i="4"/>
  <c r="AN500" i="4"/>
  <c r="AO500" i="4"/>
  <c r="F501" i="4"/>
  <c r="G501" i="4"/>
  <c r="H501" i="4"/>
  <c r="I501" i="4"/>
  <c r="L501" i="4"/>
  <c r="M501" i="4"/>
  <c r="N501" i="4"/>
  <c r="O501" i="4"/>
  <c r="R501" i="4"/>
  <c r="S501" i="4"/>
  <c r="T501" i="4"/>
  <c r="U501" i="4"/>
  <c r="W501" i="4"/>
  <c r="Z501" i="4"/>
  <c r="AA501" i="4"/>
  <c r="AB501" i="4"/>
  <c r="AC501" i="4"/>
  <c r="AH501" i="4"/>
  <c r="AK501" i="4"/>
  <c r="AL501" i="4"/>
  <c r="AM501" i="4"/>
  <c r="AN501" i="4"/>
  <c r="AO501" i="4"/>
  <c r="F502" i="4"/>
  <c r="G502" i="4"/>
  <c r="H502" i="4"/>
  <c r="I502" i="4"/>
  <c r="L502" i="4"/>
  <c r="M502" i="4"/>
  <c r="N502" i="4"/>
  <c r="O502" i="4"/>
  <c r="R502" i="4"/>
  <c r="S502" i="4"/>
  <c r="T502" i="4"/>
  <c r="U502" i="4"/>
  <c r="W502" i="4"/>
  <c r="Z502" i="4"/>
  <c r="AA502" i="4"/>
  <c r="AB502" i="4"/>
  <c r="AC502" i="4"/>
  <c r="AH502" i="4"/>
  <c r="AK502" i="4"/>
  <c r="AL502" i="4"/>
  <c r="AM502" i="4"/>
  <c r="AN502" i="4"/>
  <c r="AO502" i="4"/>
  <c r="F503" i="4"/>
  <c r="G503" i="4"/>
  <c r="H503" i="4"/>
  <c r="I503" i="4"/>
  <c r="L503" i="4"/>
  <c r="M503" i="4"/>
  <c r="N503" i="4"/>
  <c r="O503" i="4"/>
  <c r="R503" i="4"/>
  <c r="S503" i="4"/>
  <c r="T503" i="4"/>
  <c r="U503" i="4"/>
  <c r="W503" i="4"/>
  <c r="Z503" i="4"/>
  <c r="AA503" i="4"/>
  <c r="AB503" i="4"/>
  <c r="AC503" i="4"/>
  <c r="AH503" i="4"/>
  <c r="AK503" i="4"/>
  <c r="AL503" i="4"/>
  <c r="AM503" i="4"/>
  <c r="AN503" i="4"/>
  <c r="AO503" i="4"/>
  <c r="F504" i="4"/>
  <c r="G504" i="4"/>
  <c r="H504" i="4"/>
  <c r="I504" i="4"/>
  <c r="L504" i="4"/>
  <c r="M504" i="4"/>
  <c r="N504" i="4"/>
  <c r="O504" i="4"/>
  <c r="R504" i="4"/>
  <c r="S504" i="4"/>
  <c r="T504" i="4"/>
  <c r="U504" i="4"/>
  <c r="W504" i="4"/>
  <c r="Z504" i="4"/>
  <c r="AA504" i="4"/>
  <c r="AB504" i="4"/>
  <c r="AC504" i="4"/>
  <c r="AH504" i="4"/>
  <c r="AK504" i="4"/>
  <c r="AL504" i="4"/>
  <c r="AM504" i="4"/>
  <c r="AN504" i="4"/>
  <c r="AO504" i="4"/>
  <c r="F505" i="4"/>
  <c r="G505" i="4"/>
  <c r="H505" i="4"/>
  <c r="I505" i="4"/>
  <c r="L505" i="4"/>
  <c r="M505" i="4"/>
  <c r="N505" i="4"/>
  <c r="O505" i="4"/>
  <c r="R505" i="4"/>
  <c r="S505" i="4"/>
  <c r="T505" i="4"/>
  <c r="U505" i="4"/>
  <c r="W505" i="4"/>
  <c r="Z505" i="4"/>
  <c r="AA505" i="4"/>
  <c r="AB505" i="4"/>
  <c r="AC505" i="4"/>
  <c r="AH505" i="4"/>
  <c r="AK505" i="4"/>
  <c r="AL505" i="4"/>
  <c r="AM505" i="4"/>
  <c r="AN505" i="4"/>
  <c r="AO505" i="4"/>
  <c r="F506" i="4"/>
  <c r="G506" i="4"/>
  <c r="H506" i="4"/>
  <c r="I506" i="4"/>
  <c r="L506" i="4"/>
  <c r="M506" i="4"/>
  <c r="N506" i="4"/>
  <c r="O506" i="4"/>
  <c r="R506" i="4"/>
  <c r="S506" i="4"/>
  <c r="T506" i="4"/>
  <c r="U506" i="4"/>
  <c r="W506" i="4"/>
  <c r="Z506" i="4"/>
  <c r="AA506" i="4"/>
  <c r="AB506" i="4"/>
  <c r="AC506" i="4"/>
  <c r="AH506" i="4"/>
  <c r="AK506" i="4"/>
  <c r="AL506" i="4"/>
  <c r="AM506" i="4"/>
  <c r="AN506" i="4"/>
  <c r="AO506" i="4"/>
  <c r="F507" i="4"/>
  <c r="G507" i="4"/>
  <c r="H507" i="4"/>
  <c r="I507" i="4"/>
  <c r="L507" i="4"/>
  <c r="M507" i="4"/>
  <c r="N507" i="4"/>
  <c r="O507" i="4"/>
  <c r="R507" i="4"/>
  <c r="S507" i="4"/>
  <c r="T507" i="4"/>
  <c r="U507" i="4"/>
  <c r="W507" i="4"/>
  <c r="Z507" i="4"/>
  <c r="AA507" i="4"/>
  <c r="AB507" i="4"/>
  <c r="AC507" i="4"/>
  <c r="AH507" i="4"/>
  <c r="AK507" i="4"/>
  <c r="AL507" i="4"/>
  <c r="AM507" i="4"/>
  <c r="AN507" i="4"/>
  <c r="AO507" i="4"/>
  <c r="F508" i="4"/>
  <c r="G508" i="4"/>
  <c r="H508" i="4"/>
  <c r="I508" i="4"/>
  <c r="L508" i="4"/>
  <c r="M508" i="4"/>
  <c r="N508" i="4"/>
  <c r="O508" i="4"/>
  <c r="R508" i="4"/>
  <c r="S508" i="4"/>
  <c r="T508" i="4"/>
  <c r="U508" i="4"/>
  <c r="W508" i="4"/>
  <c r="Z508" i="4"/>
  <c r="AA508" i="4"/>
  <c r="AB508" i="4"/>
  <c r="AC508" i="4"/>
  <c r="AH508" i="4"/>
  <c r="AK508" i="4"/>
  <c r="AL508" i="4"/>
  <c r="AM508" i="4"/>
  <c r="AN508" i="4"/>
  <c r="AO508" i="4"/>
  <c r="F509" i="4"/>
  <c r="G509" i="4"/>
  <c r="H509" i="4"/>
  <c r="I509" i="4"/>
  <c r="L509" i="4"/>
  <c r="M509" i="4"/>
  <c r="N509" i="4"/>
  <c r="O509" i="4"/>
  <c r="R509" i="4"/>
  <c r="S509" i="4"/>
  <c r="T509" i="4"/>
  <c r="U509" i="4"/>
  <c r="W509" i="4"/>
  <c r="Z509" i="4"/>
  <c r="AA509" i="4"/>
  <c r="AB509" i="4"/>
  <c r="AC509" i="4"/>
  <c r="AH509" i="4"/>
  <c r="AK509" i="4"/>
  <c r="AL509" i="4"/>
  <c r="AM509" i="4"/>
  <c r="AN509" i="4"/>
  <c r="AO509" i="4"/>
  <c r="F510" i="4"/>
  <c r="G510" i="4"/>
  <c r="H510" i="4"/>
  <c r="I510" i="4"/>
  <c r="L510" i="4"/>
  <c r="M510" i="4"/>
  <c r="N510" i="4"/>
  <c r="O510" i="4"/>
  <c r="R510" i="4"/>
  <c r="S510" i="4"/>
  <c r="T510" i="4"/>
  <c r="U510" i="4"/>
  <c r="W510" i="4"/>
  <c r="Z510" i="4"/>
  <c r="AA510" i="4"/>
  <c r="AB510" i="4"/>
  <c r="AC510" i="4"/>
  <c r="AH510" i="4"/>
  <c r="AK510" i="4"/>
  <c r="AL510" i="4"/>
  <c r="AM510" i="4"/>
  <c r="AN510" i="4"/>
  <c r="AO510" i="4"/>
  <c r="F511" i="4"/>
  <c r="G511" i="4"/>
  <c r="H511" i="4"/>
  <c r="I511" i="4"/>
  <c r="L511" i="4"/>
  <c r="M511" i="4"/>
  <c r="N511" i="4"/>
  <c r="O511" i="4"/>
  <c r="R511" i="4"/>
  <c r="S511" i="4"/>
  <c r="T511" i="4"/>
  <c r="U511" i="4"/>
  <c r="W511" i="4"/>
  <c r="Z511" i="4"/>
  <c r="AA511" i="4"/>
  <c r="AB511" i="4"/>
  <c r="AC511" i="4"/>
  <c r="AH511" i="4"/>
  <c r="AK511" i="4"/>
  <c r="AL511" i="4"/>
  <c r="AM511" i="4"/>
  <c r="AN511" i="4"/>
  <c r="AO511" i="4"/>
  <c r="F512" i="4"/>
  <c r="G512" i="4"/>
  <c r="H512" i="4"/>
  <c r="I512" i="4"/>
  <c r="L512" i="4"/>
  <c r="M512" i="4"/>
  <c r="N512" i="4"/>
  <c r="O512" i="4"/>
  <c r="R512" i="4"/>
  <c r="S512" i="4"/>
  <c r="T512" i="4"/>
  <c r="U512" i="4"/>
  <c r="W512" i="4"/>
  <c r="Z512" i="4"/>
  <c r="AA512" i="4"/>
  <c r="AB512" i="4"/>
  <c r="AC512" i="4"/>
  <c r="AH512" i="4"/>
  <c r="AK512" i="4"/>
  <c r="AL512" i="4"/>
  <c r="AM512" i="4"/>
  <c r="AN512" i="4"/>
  <c r="AO512" i="4"/>
  <c r="F513" i="4"/>
  <c r="G513" i="4"/>
  <c r="H513" i="4"/>
  <c r="I513" i="4"/>
  <c r="L513" i="4"/>
  <c r="M513" i="4"/>
  <c r="N513" i="4"/>
  <c r="O513" i="4"/>
  <c r="R513" i="4"/>
  <c r="S513" i="4"/>
  <c r="T513" i="4"/>
  <c r="U513" i="4"/>
  <c r="W513" i="4"/>
  <c r="Z513" i="4"/>
  <c r="AA513" i="4"/>
  <c r="AB513" i="4"/>
  <c r="AC513" i="4"/>
  <c r="AH513" i="4"/>
  <c r="AK513" i="4"/>
  <c r="AL513" i="4"/>
  <c r="AM513" i="4"/>
  <c r="AN513" i="4"/>
  <c r="AO513" i="4"/>
  <c r="F514" i="4"/>
  <c r="G514" i="4"/>
  <c r="H514" i="4"/>
  <c r="I514" i="4"/>
  <c r="L514" i="4"/>
  <c r="M514" i="4"/>
  <c r="N514" i="4"/>
  <c r="O514" i="4"/>
  <c r="R514" i="4"/>
  <c r="S514" i="4"/>
  <c r="T514" i="4"/>
  <c r="U514" i="4"/>
  <c r="W514" i="4"/>
  <c r="Z514" i="4"/>
  <c r="AA514" i="4"/>
  <c r="AB514" i="4"/>
  <c r="AC514" i="4"/>
  <c r="AH514" i="4"/>
  <c r="AK514" i="4"/>
  <c r="AL514" i="4"/>
  <c r="AM514" i="4"/>
  <c r="AN514" i="4"/>
  <c r="AO514" i="4"/>
  <c r="F515" i="4"/>
  <c r="G515" i="4"/>
  <c r="H515" i="4"/>
  <c r="I515" i="4"/>
  <c r="L515" i="4"/>
  <c r="M515" i="4"/>
  <c r="N515" i="4"/>
  <c r="O515" i="4"/>
  <c r="R515" i="4"/>
  <c r="S515" i="4"/>
  <c r="T515" i="4"/>
  <c r="U515" i="4"/>
  <c r="W515" i="4"/>
  <c r="Z515" i="4"/>
  <c r="AA515" i="4"/>
  <c r="AB515" i="4"/>
  <c r="AC515" i="4"/>
  <c r="AH515" i="4"/>
  <c r="AK515" i="4"/>
  <c r="AL515" i="4"/>
  <c r="AM515" i="4"/>
  <c r="AN515" i="4"/>
  <c r="AO515" i="4"/>
  <c r="F516" i="4"/>
  <c r="G516" i="4"/>
  <c r="H516" i="4"/>
  <c r="I516" i="4"/>
  <c r="L516" i="4"/>
  <c r="M516" i="4"/>
  <c r="N516" i="4"/>
  <c r="O516" i="4"/>
  <c r="R516" i="4"/>
  <c r="S516" i="4"/>
  <c r="T516" i="4"/>
  <c r="U516" i="4"/>
  <c r="W516" i="4"/>
  <c r="Z516" i="4"/>
  <c r="AA516" i="4"/>
  <c r="AB516" i="4"/>
  <c r="AC516" i="4"/>
  <c r="AH516" i="4"/>
  <c r="AK516" i="4"/>
  <c r="AL516" i="4"/>
  <c r="AM516" i="4"/>
  <c r="AN516" i="4"/>
  <c r="AO516" i="4"/>
  <c r="F517" i="4"/>
  <c r="G517" i="4"/>
  <c r="H517" i="4"/>
  <c r="I517" i="4"/>
  <c r="L517" i="4"/>
  <c r="M517" i="4"/>
  <c r="N517" i="4"/>
  <c r="O517" i="4"/>
  <c r="R517" i="4"/>
  <c r="S517" i="4"/>
  <c r="T517" i="4"/>
  <c r="U517" i="4"/>
  <c r="W517" i="4"/>
  <c r="Z517" i="4"/>
  <c r="AA517" i="4"/>
  <c r="AB517" i="4"/>
  <c r="AC517" i="4"/>
  <c r="AH517" i="4"/>
  <c r="AK517" i="4"/>
  <c r="AL517" i="4"/>
  <c r="AM517" i="4"/>
  <c r="AN517" i="4"/>
  <c r="AO517" i="4"/>
  <c r="F518" i="4"/>
  <c r="G518" i="4"/>
  <c r="H518" i="4"/>
  <c r="I518" i="4"/>
  <c r="L518" i="4"/>
  <c r="M518" i="4"/>
  <c r="N518" i="4"/>
  <c r="O518" i="4"/>
  <c r="R518" i="4"/>
  <c r="S518" i="4"/>
  <c r="T518" i="4"/>
  <c r="U518" i="4"/>
  <c r="W518" i="4"/>
  <c r="Z518" i="4"/>
  <c r="AA518" i="4"/>
  <c r="AB518" i="4"/>
  <c r="AC518" i="4"/>
  <c r="AH518" i="4"/>
  <c r="AK518" i="4"/>
  <c r="AL518" i="4"/>
  <c r="AM518" i="4"/>
  <c r="AN518" i="4"/>
  <c r="AO518" i="4"/>
  <c r="F519" i="4"/>
  <c r="G519" i="4"/>
  <c r="H519" i="4"/>
  <c r="I519" i="4"/>
  <c r="L519" i="4"/>
  <c r="M519" i="4"/>
  <c r="N519" i="4"/>
  <c r="O519" i="4"/>
  <c r="R519" i="4"/>
  <c r="S519" i="4"/>
  <c r="T519" i="4"/>
  <c r="U519" i="4"/>
  <c r="W519" i="4"/>
  <c r="Z519" i="4"/>
  <c r="AA519" i="4"/>
  <c r="AB519" i="4"/>
  <c r="AC519" i="4"/>
  <c r="AH519" i="4"/>
  <c r="AK519" i="4"/>
  <c r="AL519" i="4"/>
  <c r="AM519" i="4"/>
  <c r="AN519" i="4"/>
  <c r="AO519" i="4"/>
  <c r="F520" i="4"/>
  <c r="G520" i="4"/>
  <c r="H520" i="4"/>
  <c r="I520" i="4"/>
  <c r="L520" i="4"/>
  <c r="M520" i="4"/>
  <c r="N520" i="4"/>
  <c r="O520" i="4"/>
  <c r="R520" i="4"/>
  <c r="S520" i="4"/>
  <c r="T520" i="4"/>
  <c r="U520" i="4"/>
  <c r="W520" i="4"/>
  <c r="Z520" i="4"/>
  <c r="AA520" i="4"/>
  <c r="AB520" i="4"/>
  <c r="AC520" i="4"/>
  <c r="AH520" i="4"/>
  <c r="AK520" i="4"/>
  <c r="AL520" i="4"/>
  <c r="AM520" i="4"/>
  <c r="AN520" i="4"/>
  <c r="AO520" i="4"/>
  <c r="F521" i="4"/>
  <c r="G521" i="4"/>
  <c r="H521" i="4"/>
  <c r="I521" i="4"/>
  <c r="L521" i="4"/>
  <c r="M521" i="4"/>
  <c r="N521" i="4"/>
  <c r="O521" i="4"/>
  <c r="R521" i="4"/>
  <c r="S521" i="4"/>
  <c r="T521" i="4"/>
  <c r="U521" i="4"/>
  <c r="W521" i="4"/>
  <c r="Z521" i="4"/>
  <c r="AA521" i="4"/>
  <c r="AB521" i="4"/>
  <c r="AC521" i="4"/>
  <c r="AH521" i="4"/>
  <c r="AK521" i="4"/>
  <c r="AL521" i="4"/>
  <c r="AM521" i="4"/>
  <c r="AN521" i="4"/>
  <c r="AO521" i="4"/>
  <c r="F522" i="4"/>
  <c r="G522" i="4"/>
  <c r="H522" i="4"/>
  <c r="I522" i="4"/>
  <c r="L522" i="4"/>
  <c r="M522" i="4"/>
  <c r="N522" i="4"/>
  <c r="O522" i="4"/>
  <c r="R522" i="4"/>
  <c r="S522" i="4"/>
  <c r="T522" i="4"/>
  <c r="U522" i="4"/>
  <c r="W522" i="4"/>
  <c r="Z522" i="4"/>
  <c r="AA522" i="4"/>
  <c r="AB522" i="4"/>
  <c r="AC522" i="4"/>
  <c r="AH522" i="4"/>
  <c r="AK522" i="4"/>
  <c r="AL522" i="4"/>
  <c r="AM522" i="4"/>
  <c r="AN522" i="4"/>
  <c r="AO522" i="4"/>
  <c r="F523" i="4"/>
  <c r="G523" i="4"/>
  <c r="H523" i="4"/>
  <c r="I523" i="4"/>
  <c r="L523" i="4"/>
  <c r="M523" i="4"/>
  <c r="N523" i="4"/>
  <c r="O523" i="4"/>
  <c r="R523" i="4"/>
  <c r="S523" i="4"/>
  <c r="T523" i="4"/>
  <c r="U523" i="4"/>
  <c r="W523" i="4"/>
  <c r="Z523" i="4"/>
  <c r="AA523" i="4"/>
  <c r="AB523" i="4"/>
  <c r="AC523" i="4"/>
  <c r="AH523" i="4"/>
  <c r="AK523" i="4"/>
  <c r="AL523" i="4"/>
  <c r="AM523" i="4"/>
  <c r="AN523" i="4"/>
  <c r="AO523" i="4"/>
  <c r="F524" i="4"/>
  <c r="G524" i="4"/>
  <c r="H524" i="4"/>
  <c r="I524" i="4"/>
  <c r="L524" i="4"/>
  <c r="M524" i="4"/>
  <c r="N524" i="4"/>
  <c r="O524" i="4"/>
  <c r="R524" i="4"/>
  <c r="S524" i="4"/>
  <c r="T524" i="4"/>
  <c r="U524" i="4"/>
  <c r="W524" i="4"/>
  <c r="Z524" i="4"/>
  <c r="AA524" i="4"/>
  <c r="AB524" i="4"/>
  <c r="AC524" i="4"/>
  <c r="AH524" i="4"/>
  <c r="AK524" i="4"/>
  <c r="AL524" i="4"/>
  <c r="AM524" i="4"/>
  <c r="AN524" i="4"/>
  <c r="AO524" i="4"/>
  <c r="F525" i="4"/>
  <c r="G525" i="4"/>
  <c r="H525" i="4"/>
  <c r="I525" i="4"/>
  <c r="L525" i="4"/>
  <c r="M525" i="4"/>
  <c r="N525" i="4"/>
  <c r="O525" i="4"/>
  <c r="R525" i="4"/>
  <c r="S525" i="4"/>
  <c r="T525" i="4"/>
  <c r="U525" i="4"/>
  <c r="W525" i="4"/>
  <c r="Z525" i="4"/>
  <c r="AA525" i="4"/>
  <c r="AB525" i="4"/>
  <c r="AC525" i="4"/>
  <c r="AH525" i="4"/>
  <c r="AK525" i="4"/>
  <c r="AL525" i="4"/>
  <c r="AM525" i="4"/>
  <c r="AN525" i="4"/>
  <c r="AO525" i="4"/>
  <c r="F526" i="4"/>
  <c r="G526" i="4"/>
  <c r="H526" i="4"/>
  <c r="I526" i="4"/>
  <c r="L526" i="4"/>
  <c r="M526" i="4"/>
  <c r="N526" i="4"/>
  <c r="O526" i="4"/>
  <c r="R526" i="4"/>
  <c r="S526" i="4"/>
  <c r="T526" i="4"/>
  <c r="U526" i="4"/>
  <c r="W526" i="4"/>
  <c r="Z526" i="4"/>
  <c r="AA526" i="4"/>
  <c r="AB526" i="4"/>
  <c r="AC526" i="4"/>
  <c r="AH526" i="4"/>
  <c r="AK526" i="4"/>
  <c r="AL526" i="4"/>
  <c r="AM526" i="4"/>
  <c r="AN526" i="4"/>
  <c r="AO526" i="4"/>
  <c r="F527" i="4"/>
  <c r="G527" i="4"/>
  <c r="H527" i="4"/>
  <c r="I527" i="4"/>
  <c r="L527" i="4"/>
  <c r="M527" i="4"/>
  <c r="N527" i="4"/>
  <c r="O527" i="4"/>
  <c r="R527" i="4"/>
  <c r="S527" i="4"/>
  <c r="T527" i="4"/>
  <c r="U527" i="4"/>
  <c r="W527" i="4"/>
  <c r="Z527" i="4"/>
  <c r="AA527" i="4"/>
  <c r="AB527" i="4"/>
  <c r="AC527" i="4"/>
  <c r="AH527" i="4"/>
  <c r="AK527" i="4"/>
  <c r="AL527" i="4"/>
  <c r="AM527" i="4"/>
  <c r="AN527" i="4"/>
  <c r="AO527" i="4"/>
  <c r="F528" i="4"/>
  <c r="G528" i="4"/>
  <c r="H528" i="4"/>
  <c r="I528" i="4"/>
  <c r="L528" i="4"/>
  <c r="M528" i="4"/>
  <c r="N528" i="4"/>
  <c r="O528" i="4"/>
  <c r="R528" i="4"/>
  <c r="S528" i="4"/>
  <c r="T528" i="4"/>
  <c r="U528" i="4"/>
  <c r="W528" i="4"/>
  <c r="Z528" i="4"/>
  <c r="AA528" i="4"/>
  <c r="AB528" i="4"/>
  <c r="AC528" i="4"/>
  <c r="AH528" i="4"/>
  <c r="AK528" i="4"/>
  <c r="AL528" i="4"/>
  <c r="AM528" i="4"/>
  <c r="AN528" i="4"/>
  <c r="AO528" i="4"/>
  <c r="F529" i="4"/>
  <c r="G529" i="4"/>
  <c r="H529" i="4"/>
  <c r="I529" i="4"/>
  <c r="L529" i="4"/>
  <c r="M529" i="4"/>
  <c r="N529" i="4"/>
  <c r="O529" i="4"/>
  <c r="R529" i="4"/>
  <c r="S529" i="4"/>
  <c r="T529" i="4"/>
  <c r="U529" i="4"/>
  <c r="W529" i="4"/>
  <c r="Z529" i="4"/>
  <c r="AA529" i="4"/>
  <c r="AB529" i="4"/>
  <c r="AC529" i="4"/>
  <c r="AH529" i="4"/>
  <c r="AK529" i="4"/>
  <c r="AL529" i="4"/>
  <c r="AM529" i="4"/>
  <c r="AN529" i="4"/>
  <c r="AO529" i="4"/>
  <c r="F530" i="4"/>
  <c r="G530" i="4"/>
  <c r="H530" i="4"/>
  <c r="I530" i="4"/>
  <c r="L530" i="4"/>
  <c r="M530" i="4"/>
  <c r="N530" i="4"/>
  <c r="O530" i="4"/>
  <c r="R530" i="4"/>
  <c r="S530" i="4"/>
  <c r="T530" i="4"/>
  <c r="U530" i="4"/>
  <c r="W530" i="4"/>
  <c r="Z530" i="4"/>
  <c r="AA530" i="4"/>
  <c r="AB530" i="4"/>
  <c r="AC530" i="4"/>
  <c r="AH530" i="4"/>
  <c r="AK530" i="4"/>
  <c r="AL530" i="4"/>
  <c r="AM530" i="4"/>
  <c r="AN530" i="4"/>
  <c r="AO530" i="4"/>
  <c r="F531" i="4"/>
  <c r="G531" i="4"/>
  <c r="H531" i="4"/>
  <c r="I531" i="4"/>
  <c r="L531" i="4"/>
  <c r="M531" i="4"/>
  <c r="N531" i="4"/>
  <c r="O531" i="4"/>
  <c r="R531" i="4"/>
  <c r="S531" i="4"/>
  <c r="T531" i="4"/>
  <c r="U531" i="4"/>
  <c r="W531" i="4"/>
  <c r="Z531" i="4"/>
  <c r="AA531" i="4"/>
  <c r="AB531" i="4"/>
  <c r="AC531" i="4"/>
  <c r="AH531" i="4"/>
  <c r="AK531" i="4"/>
  <c r="AL531" i="4"/>
  <c r="AM531" i="4"/>
  <c r="AN531" i="4"/>
  <c r="AO531" i="4"/>
  <c r="F532" i="4"/>
  <c r="G532" i="4"/>
  <c r="H532" i="4"/>
  <c r="I532" i="4"/>
  <c r="L532" i="4"/>
  <c r="M532" i="4"/>
  <c r="N532" i="4"/>
  <c r="O532" i="4"/>
  <c r="R532" i="4"/>
  <c r="S532" i="4"/>
  <c r="T532" i="4"/>
  <c r="U532" i="4"/>
  <c r="W532" i="4"/>
  <c r="Z532" i="4"/>
  <c r="AA532" i="4"/>
  <c r="AB532" i="4"/>
  <c r="AC532" i="4"/>
  <c r="AH532" i="4"/>
  <c r="AK532" i="4"/>
  <c r="AL532" i="4"/>
  <c r="AM532" i="4"/>
  <c r="AN532" i="4"/>
  <c r="AO532" i="4"/>
  <c r="F533" i="4"/>
  <c r="G533" i="4"/>
  <c r="H533" i="4"/>
  <c r="I533" i="4"/>
  <c r="L533" i="4"/>
  <c r="M533" i="4"/>
  <c r="N533" i="4"/>
  <c r="O533" i="4"/>
  <c r="R533" i="4"/>
  <c r="S533" i="4"/>
  <c r="T533" i="4"/>
  <c r="U533" i="4"/>
  <c r="W533" i="4"/>
  <c r="Z533" i="4"/>
  <c r="AA533" i="4"/>
  <c r="AB533" i="4"/>
  <c r="AC533" i="4"/>
  <c r="AH533" i="4"/>
  <c r="AK533" i="4"/>
  <c r="AL533" i="4"/>
  <c r="AM533" i="4"/>
  <c r="AN533" i="4"/>
  <c r="AO533" i="4"/>
  <c r="F534" i="4"/>
  <c r="G534" i="4"/>
  <c r="H534" i="4"/>
  <c r="I534" i="4"/>
  <c r="L534" i="4"/>
  <c r="M534" i="4"/>
  <c r="N534" i="4"/>
  <c r="O534" i="4"/>
  <c r="R534" i="4"/>
  <c r="S534" i="4"/>
  <c r="T534" i="4"/>
  <c r="U534" i="4"/>
  <c r="W534" i="4"/>
  <c r="Z534" i="4"/>
  <c r="AA534" i="4"/>
  <c r="AB534" i="4"/>
  <c r="AC534" i="4"/>
  <c r="AH534" i="4"/>
  <c r="AK534" i="4"/>
  <c r="AL534" i="4"/>
  <c r="AM534" i="4"/>
  <c r="AN534" i="4"/>
  <c r="AO534" i="4"/>
  <c r="F535" i="4"/>
  <c r="G535" i="4"/>
  <c r="H535" i="4"/>
  <c r="I535" i="4"/>
  <c r="L535" i="4"/>
  <c r="M535" i="4"/>
  <c r="N535" i="4"/>
  <c r="O535" i="4"/>
  <c r="R535" i="4"/>
  <c r="S535" i="4"/>
  <c r="T535" i="4"/>
  <c r="U535" i="4"/>
  <c r="W535" i="4"/>
  <c r="Z535" i="4"/>
  <c r="AA535" i="4"/>
  <c r="AB535" i="4"/>
  <c r="AC535" i="4"/>
  <c r="AH535" i="4"/>
  <c r="AK535" i="4"/>
  <c r="AL535" i="4"/>
  <c r="AM535" i="4"/>
  <c r="AN535" i="4"/>
  <c r="AO535" i="4"/>
  <c r="F536" i="4"/>
  <c r="G536" i="4"/>
  <c r="H536" i="4"/>
  <c r="I536" i="4"/>
  <c r="L536" i="4"/>
  <c r="M536" i="4"/>
  <c r="N536" i="4"/>
  <c r="O536" i="4"/>
  <c r="R536" i="4"/>
  <c r="S536" i="4"/>
  <c r="T536" i="4"/>
  <c r="U536" i="4"/>
  <c r="W536" i="4"/>
  <c r="Z536" i="4"/>
  <c r="AA536" i="4"/>
  <c r="AB536" i="4"/>
  <c r="AC536" i="4"/>
  <c r="AH536" i="4"/>
  <c r="AK536" i="4"/>
  <c r="AL536" i="4"/>
  <c r="AM536" i="4"/>
  <c r="AN536" i="4"/>
  <c r="AO536" i="4"/>
  <c r="F537" i="4"/>
  <c r="G537" i="4"/>
  <c r="H537" i="4"/>
  <c r="I537" i="4"/>
  <c r="L537" i="4"/>
  <c r="M537" i="4"/>
  <c r="N537" i="4"/>
  <c r="O537" i="4"/>
  <c r="R537" i="4"/>
  <c r="S537" i="4"/>
  <c r="T537" i="4"/>
  <c r="U537" i="4"/>
  <c r="W537" i="4"/>
  <c r="Z537" i="4"/>
  <c r="AA537" i="4"/>
  <c r="AB537" i="4"/>
  <c r="AC537" i="4"/>
  <c r="AH537" i="4"/>
  <c r="AK537" i="4"/>
  <c r="AL537" i="4"/>
  <c r="AM537" i="4"/>
  <c r="AN537" i="4"/>
  <c r="AO537" i="4"/>
  <c r="F538" i="4"/>
  <c r="G538" i="4"/>
  <c r="H538" i="4"/>
  <c r="I538" i="4"/>
  <c r="L538" i="4"/>
  <c r="M538" i="4"/>
  <c r="N538" i="4"/>
  <c r="O538" i="4"/>
  <c r="R538" i="4"/>
  <c r="S538" i="4"/>
  <c r="T538" i="4"/>
  <c r="U538" i="4"/>
  <c r="W538" i="4"/>
  <c r="Z538" i="4"/>
  <c r="AA538" i="4"/>
  <c r="AB538" i="4"/>
  <c r="AC538" i="4"/>
  <c r="AH538" i="4"/>
  <c r="AK538" i="4"/>
  <c r="AL538" i="4"/>
  <c r="AM538" i="4"/>
  <c r="AN538" i="4"/>
  <c r="AO538" i="4"/>
  <c r="F539" i="4"/>
  <c r="G539" i="4"/>
  <c r="H539" i="4"/>
  <c r="I539" i="4"/>
  <c r="L539" i="4"/>
  <c r="M539" i="4"/>
  <c r="N539" i="4"/>
  <c r="O539" i="4"/>
  <c r="R539" i="4"/>
  <c r="S539" i="4"/>
  <c r="T539" i="4"/>
  <c r="U539" i="4"/>
  <c r="W539" i="4"/>
  <c r="Z539" i="4"/>
  <c r="AA539" i="4"/>
  <c r="AB539" i="4"/>
  <c r="AC539" i="4"/>
  <c r="AH539" i="4"/>
  <c r="AK539" i="4"/>
  <c r="AL539" i="4"/>
  <c r="AM539" i="4"/>
  <c r="AN539" i="4"/>
  <c r="AO539" i="4"/>
  <c r="F540" i="4"/>
  <c r="G540" i="4"/>
  <c r="H540" i="4"/>
  <c r="I540" i="4"/>
  <c r="L540" i="4"/>
  <c r="M540" i="4"/>
  <c r="N540" i="4"/>
  <c r="O540" i="4"/>
  <c r="R540" i="4"/>
  <c r="S540" i="4"/>
  <c r="T540" i="4"/>
  <c r="U540" i="4"/>
  <c r="W540" i="4"/>
  <c r="Z540" i="4"/>
  <c r="AA540" i="4"/>
  <c r="AB540" i="4"/>
  <c r="AC540" i="4"/>
  <c r="AH540" i="4"/>
  <c r="AK540" i="4"/>
  <c r="AL540" i="4"/>
  <c r="AM540" i="4"/>
  <c r="AN540" i="4"/>
  <c r="AO540" i="4"/>
  <c r="F541" i="4"/>
  <c r="G541" i="4"/>
  <c r="H541" i="4"/>
  <c r="I541" i="4"/>
  <c r="L541" i="4"/>
  <c r="M541" i="4"/>
  <c r="N541" i="4"/>
  <c r="O541" i="4"/>
  <c r="R541" i="4"/>
  <c r="S541" i="4"/>
  <c r="T541" i="4"/>
  <c r="U541" i="4"/>
  <c r="W541" i="4"/>
  <c r="Z541" i="4"/>
  <c r="AA541" i="4"/>
  <c r="AB541" i="4"/>
  <c r="AC541" i="4"/>
  <c r="AH541" i="4"/>
  <c r="AK541" i="4"/>
  <c r="AL541" i="4"/>
  <c r="AM541" i="4"/>
  <c r="AN541" i="4"/>
  <c r="AO541" i="4"/>
  <c r="F542" i="4"/>
  <c r="G542" i="4"/>
  <c r="H542" i="4"/>
  <c r="I542" i="4"/>
  <c r="L542" i="4"/>
  <c r="M542" i="4"/>
  <c r="N542" i="4"/>
  <c r="O542" i="4"/>
  <c r="R542" i="4"/>
  <c r="S542" i="4"/>
  <c r="T542" i="4"/>
  <c r="U542" i="4"/>
  <c r="W542" i="4"/>
  <c r="Z542" i="4"/>
  <c r="AA542" i="4"/>
  <c r="AB542" i="4"/>
  <c r="AC542" i="4"/>
  <c r="AH542" i="4"/>
  <c r="AK542" i="4"/>
  <c r="AL542" i="4"/>
  <c r="AM542" i="4"/>
  <c r="AN542" i="4"/>
  <c r="AO542" i="4"/>
  <c r="F543" i="4"/>
  <c r="G543" i="4"/>
  <c r="H543" i="4"/>
  <c r="I543" i="4"/>
  <c r="L543" i="4"/>
  <c r="M543" i="4"/>
  <c r="N543" i="4"/>
  <c r="O543" i="4"/>
  <c r="R543" i="4"/>
  <c r="S543" i="4"/>
  <c r="T543" i="4"/>
  <c r="U543" i="4"/>
  <c r="W543" i="4"/>
  <c r="Z543" i="4"/>
  <c r="AA543" i="4"/>
  <c r="AB543" i="4"/>
  <c r="AC543" i="4"/>
  <c r="AH543" i="4"/>
  <c r="AK543" i="4"/>
  <c r="AL543" i="4"/>
  <c r="AM543" i="4"/>
  <c r="AN543" i="4"/>
  <c r="AO543" i="4"/>
  <c r="F544" i="4"/>
  <c r="G544" i="4"/>
  <c r="H544" i="4"/>
  <c r="I544" i="4"/>
  <c r="L544" i="4"/>
  <c r="M544" i="4"/>
  <c r="N544" i="4"/>
  <c r="O544" i="4"/>
  <c r="R544" i="4"/>
  <c r="S544" i="4"/>
  <c r="T544" i="4"/>
  <c r="U544" i="4"/>
  <c r="W544" i="4"/>
  <c r="Z544" i="4"/>
  <c r="AA544" i="4"/>
  <c r="AB544" i="4"/>
  <c r="AC544" i="4"/>
  <c r="AH544" i="4"/>
  <c r="AK544" i="4"/>
  <c r="AL544" i="4"/>
  <c r="AM544" i="4"/>
  <c r="AN544" i="4"/>
  <c r="AO544" i="4"/>
  <c r="F545" i="4"/>
  <c r="G545" i="4"/>
  <c r="H545" i="4"/>
  <c r="I545" i="4"/>
  <c r="L545" i="4"/>
  <c r="M545" i="4"/>
  <c r="N545" i="4"/>
  <c r="O545" i="4"/>
  <c r="R545" i="4"/>
  <c r="S545" i="4"/>
  <c r="T545" i="4"/>
  <c r="U545" i="4"/>
  <c r="W545" i="4"/>
  <c r="Z545" i="4"/>
  <c r="AA545" i="4"/>
  <c r="AB545" i="4"/>
  <c r="AC545" i="4"/>
  <c r="AH545" i="4"/>
  <c r="AK545" i="4"/>
  <c r="AL545" i="4"/>
  <c r="AM545" i="4"/>
  <c r="AN545" i="4"/>
  <c r="AO545" i="4"/>
  <c r="F546" i="4"/>
  <c r="G546" i="4"/>
  <c r="H546" i="4"/>
  <c r="I546" i="4"/>
  <c r="L546" i="4"/>
  <c r="M546" i="4"/>
  <c r="N546" i="4"/>
  <c r="O546" i="4"/>
  <c r="R546" i="4"/>
  <c r="S546" i="4"/>
  <c r="T546" i="4"/>
  <c r="U546" i="4"/>
  <c r="W546" i="4"/>
  <c r="Z546" i="4"/>
  <c r="AA546" i="4"/>
  <c r="AB546" i="4"/>
  <c r="AC546" i="4"/>
  <c r="AH546" i="4"/>
  <c r="AK546" i="4"/>
  <c r="AL546" i="4"/>
  <c r="AM546" i="4"/>
  <c r="AN546" i="4"/>
  <c r="AO546" i="4"/>
  <c r="F547" i="4"/>
  <c r="G547" i="4"/>
  <c r="H547" i="4"/>
  <c r="I547" i="4"/>
  <c r="L547" i="4"/>
  <c r="M547" i="4"/>
  <c r="N547" i="4"/>
  <c r="O547" i="4"/>
  <c r="R547" i="4"/>
  <c r="S547" i="4"/>
  <c r="T547" i="4"/>
  <c r="U547" i="4"/>
  <c r="W547" i="4"/>
  <c r="Z547" i="4"/>
  <c r="AA547" i="4"/>
  <c r="AB547" i="4"/>
  <c r="AC547" i="4"/>
  <c r="AH547" i="4"/>
  <c r="AK547" i="4"/>
  <c r="AL547" i="4"/>
  <c r="AM547" i="4"/>
  <c r="AN547" i="4"/>
  <c r="AO547" i="4"/>
  <c r="F548" i="4"/>
  <c r="G548" i="4"/>
  <c r="H548" i="4"/>
  <c r="I548" i="4"/>
  <c r="L548" i="4"/>
  <c r="M548" i="4"/>
  <c r="N548" i="4"/>
  <c r="O548" i="4"/>
  <c r="R548" i="4"/>
  <c r="S548" i="4"/>
  <c r="T548" i="4"/>
  <c r="U548" i="4"/>
  <c r="W548" i="4"/>
  <c r="Z548" i="4"/>
  <c r="AA548" i="4"/>
  <c r="AB548" i="4"/>
  <c r="AC548" i="4"/>
  <c r="AH548" i="4"/>
  <c r="AK548" i="4"/>
  <c r="AL548" i="4"/>
  <c r="AM548" i="4"/>
  <c r="AN548" i="4"/>
  <c r="AO548" i="4"/>
  <c r="F549" i="4"/>
  <c r="G549" i="4"/>
  <c r="H549" i="4"/>
  <c r="I549" i="4"/>
  <c r="L549" i="4"/>
  <c r="M549" i="4"/>
  <c r="N549" i="4"/>
  <c r="O549" i="4"/>
  <c r="R549" i="4"/>
  <c r="S549" i="4"/>
  <c r="T549" i="4"/>
  <c r="U549" i="4"/>
  <c r="W549" i="4"/>
  <c r="Z549" i="4"/>
  <c r="AA549" i="4"/>
  <c r="AB549" i="4"/>
  <c r="AC549" i="4"/>
  <c r="AH549" i="4"/>
  <c r="AK549" i="4"/>
  <c r="AL549" i="4"/>
  <c r="AM549" i="4"/>
  <c r="AN549" i="4"/>
  <c r="AO549" i="4"/>
  <c r="F550" i="4"/>
  <c r="G550" i="4"/>
  <c r="H550" i="4"/>
  <c r="I550" i="4"/>
  <c r="L550" i="4"/>
  <c r="M550" i="4"/>
  <c r="N550" i="4"/>
  <c r="O550" i="4"/>
  <c r="R550" i="4"/>
  <c r="S550" i="4"/>
  <c r="T550" i="4"/>
  <c r="U550" i="4"/>
  <c r="W550" i="4"/>
  <c r="Z550" i="4"/>
  <c r="AA550" i="4"/>
  <c r="AB550" i="4"/>
  <c r="AC550" i="4"/>
  <c r="AH550" i="4"/>
  <c r="AK550" i="4"/>
  <c r="AL550" i="4"/>
  <c r="AM550" i="4"/>
  <c r="AN550" i="4"/>
  <c r="AO550" i="4"/>
  <c r="F551" i="4"/>
  <c r="G551" i="4"/>
  <c r="H551" i="4"/>
  <c r="I551" i="4"/>
  <c r="L551" i="4"/>
  <c r="M551" i="4"/>
  <c r="N551" i="4"/>
  <c r="O551" i="4"/>
  <c r="R551" i="4"/>
  <c r="S551" i="4"/>
  <c r="T551" i="4"/>
  <c r="U551" i="4"/>
  <c r="W551" i="4"/>
  <c r="Z551" i="4"/>
  <c r="AA551" i="4"/>
  <c r="AB551" i="4"/>
  <c r="AC551" i="4"/>
  <c r="AH551" i="4"/>
  <c r="AK551" i="4"/>
  <c r="AL551" i="4"/>
  <c r="AM551" i="4"/>
  <c r="AN551" i="4"/>
  <c r="AO551" i="4"/>
  <c r="F552" i="4"/>
  <c r="G552" i="4"/>
  <c r="H552" i="4"/>
  <c r="I552" i="4"/>
  <c r="L552" i="4"/>
  <c r="M552" i="4"/>
  <c r="N552" i="4"/>
  <c r="O552" i="4"/>
  <c r="R552" i="4"/>
  <c r="S552" i="4"/>
  <c r="T552" i="4"/>
  <c r="U552" i="4"/>
  <c r="W552" i="4"/>
  <c r="Z552" i="4"/>
  <c r="AA552" i="4"/>
  <c r="AB552" i="4"/>
  <c r="AC552" i="4"/>
  <c r="AH552" i="4"/>
  <c r="AK552" i="4"/>
  <c r="AL552" i="4"/>
  <c r="AM552" i="4"/>
  <c r="AN552" i="4"/>
  <c r="AO552" i="4"/>
  <c r="F553" i="4"/>
  <c r="G553" i="4"/>
  <c r="H553" i="4"/>
  <c r="I553" i="4"/>
  <c r="L553" i="4"/>
  <c r="M553" i="4"/>
  <c r="N553" i="4"/>
  <c r="O553" i="4"/>
  <c r="R553" i="4"/>
  <c r="S553" i="4"/>
  <c r="T553" i="4"/>
  <c r="U553" i="4"/>
  <c r="W553" i="4"/>
  <c r="Z553" i="4"/>
  <c r="AA553" i="4"/>
  <c r="AB553" i="4"/>
  <c r="AC553" i="4"/>
  <c r="AH553" i="4"/>
  <c r="AK553" i="4"/>
  <c r="AL553" i="4"/>
  <c r="AM553" i="4"/>
  <c r="AN553" i="4"/>
  <c r="AO553" i="4"/>
  <c r="F554" i="4"/>
  <c r="G554" i="4"/>
  <c r="H554" i="4"/>
  <c r="I554" i="4"/>
  <c r="L554" i="4"/>
  <c r="M554" i="4"/>
  <c r="N554" i="4"/>
  <c r="O554" i="4"/>
  <c r="R554" i="4"/>
  <c r="S554" i="4"/>
  <c r="T554" i="4"/>
  <c r="U554" i="4"/>
  <c r="W554" i="4"/>
  <c r="Z554" i="4"/>
  <c r="AA554" i="4"/>
  <c r="AB554" i="4"/>
  <c r="AC554" i="4"/>
  <c r="AH554" i="4"/>
  <c r="AK554" i="4"/>
  <c r="AL554" i="4"/>
  <c r="AM554" i="4"/>
  <c r="AN554" i="4"/>
  <c r="AO554" i="4"/>
  <c r="F555" i="4"/>
  <c r="G555" i="4"/>
  <c r="H555" i="4"/>
  <c r="I555" i="4"/>
  <c r="L555" i="4"/>
  <c r="M555" i="4"/>
  <c r="N555" i="4"/>
  <c r="O555" i="4"/>
  <c r="R555" i="4"/>
  <c r="S555" i="4"/>
  <c r="T555" i="4"/>
  <c r="U555" i="4"/>
  <c r="W555" i="4"/>
  <c r="Z555" i="4"/>
  <c r="AA555" i="4"/>
  <c r="AB555" i="4"/>
  <c r="AC555" i="4"/>
  <c r="AH555" i="4"/>
  <c r="AK555" i="4"/>
  <c r="AL555" i="4"/>
  <c r="AM555" i="4"/>
  <c r="AN555" i="4"/>
  <c r="AO555" i="4"/>
  <c r="F556" i="4"/>
  <c r="G556" i="4"/>
  <c r="H556" i="4"/>
  <c r="I556" i="4"/>
  <c r="L556" i="4"/>
  <c r="M556" i="4"/>
  <c r="N556" i="4"/>
  <c r="O556" i="4"/>
  <c r="R556" i="4"/>
  <c r="S556" i="4"/>
  <c r="T556" i="4"/>
  <c r="U556" i="4"/>
  <c r="W556" i="4"/>
  <c r="Z556" i="4"/>
  <c r="AA556" i="4"/>
  <c r="AB556" i="4"/>
  <c r="AC556" i="4"/>
  <c r="AH556" i="4"/>
  <c r="AK556" i="4"/>
  <c r="AL556" i="4"/>
  <c r="AM556" i="4"/>
  <c r="AN556" i="4"/>
  <c r="AO556" i="4"/>
  <c r="F557" i="4"/>
  <c r="G557" i="4"/>
  <c r="H557" i="4"/>
  <c r="I557" i="4"/>
  <c r="L557" i="4"/>
  <c r="M557" i="4"/>
  <c r="N557" i="4"/>
  <c r="O557" i="4"/>
  <c r="R557" i="4"/>
  <c r="S557" i="4"/>
  <c r="T557" i="4"/>
  <c r="U557" i="4"/>
  <c r="W557" i="4"/>
  <c r="Z557" i="4"/>
  <c r="AA557" i="4"/>
  <c r="AB557" i="4"/>
  <c r="AC557" i="4"/>
  <c r="AH557" i="4"/>
  <c r="AK557" i="4"/>
  <c r="AL557" i="4"/>
  <c r="AM557" i="4"/>
  <c r="AN557" i="4"/>
  <c r="AO557" i="4"/>
  <c r="F558" i="4"/>
  <c r="G558" i="4"/>
  <c r="H558" i="4"/>
  <c r="I558" i="4"/>
  <c r="L558" i="4"/>
  <c r="M558" i="4"/>
  <c r="N558" i="4"/>
  <c r="O558" i="4"/>
  <c r="R558" i="4"/>
  <c r="S558" i="4"/>
  <c r="T558" i="4"/>
  <c r="U558" i="4"/>
  <c r="W558" i="4"/>
  <c r="Z558" i="4"/>
  <c r="AA558" i="4"/>
  <c r="AB558" i="4"/>
  <c r="AC558" i="4"/>
  <c r="AH558" i="4"/>
  <c r="AK558" i="4"/>
  <c r="AL558" i="4"/>
  <c r="AM558" i="4"/>
  <c r="AN558" i="4"/>
  <c r="AO558" i="4"/>
  <c r="F559" i="4"/>
  <c r="G559" i="4"/>
  <c r="H559" i="4"/>
  <c r="I559" i="4"/>
  <c r="L559" i="4"/>
  <c r="M559" i="4"/>
  <c r="N559" i="4"/>
  <c r="O559" i="4"/>
  <c r="R559" i="4"/>
  <c r="S559" i="4"/>
  <c r="T559" i="4"/>
  <c r="U559" i="4"/>
  <c r="W559" i="4"/>
  <c r="Z559" i="4"/>
  <c r="AA559" i="4"/>
  <c r="AB559" i="4"/>
  <c r="AC559" i="4"/>
  <c r="AH559" i="4"/>
  <c r="AK559" i="4"/>
  <c r="AL559" i="4"/>
  <c r="AM559" i="4"/>
  <c r="AN559" i="4"/>
  <c r="AO559" i="4"/>
  <c r="F560" i="4"/>
  <c r="G560" i="4"/>
  <c r="H560" i="4"/>
  <c r="I560" i="4"/>
  <c r="L560" i="4"/>
  <c r="M560" i="4"/>
  <c r="N560" i="4"/>
  <c r="O560" i="4"/>
  <c r="R560" i="4"/>
  <c r="S560" i="4"/>
  <c r="T560" i="4"/>
  <c r="U560" i="4"/>
  <c r="W560" i="4"/>
  <c r="Z560" i="4"/>
  <c r="AA560" i="4"/>
  <c r="AB560" i="4"/>
  <c r="AC560" i="4"/>
  <c r="AH560" i="4"/>
  <c r="AK560" i="4"/>
  <c r="AL560" i="4"/>
  <c r="AM560" i="4"/>
  <c r="AN560" i="4"/>
  <c r="AO560" i="4"/>
  <c r="F561" i="4"/>
  <c r="G561" i="4"/>
  <c r="H561" i="4"/>
  <c r="I561" i="4"/>
  <c r="L561" i="4"/>
  <c r="M561" i="4"/>
  <c r="N561" i="4"/>
  <c r="O561" i="4"/>
  <c r="R561" i="4"/>
  <c r="S561" i="4"/>
  <c r="T561" i="4"/>
  <c r="U561" i="4"/>
  <c r="W561" i="4"/>
  <c r="Z561" i="4"/>
  <c r="AA561" i="4"/>
  <c r="AB561" i="4"/>
  <c r="AC561" i="4"/>
  <c r="AH561" i="4"/>
  <c r="AK561" i="4"/>
  <c r="AL561" i="4"/>
  <c r="AM561" i="4"/>
  <c r="AN561" i="4"/>
  <c r="AO561" i="4"/>
  <c r="F562" i="4"/>
  <c r="G562" i="4"/>
  <c r="H562" i="4"/>
  <c r="I562" i="4"/>
  <c r="L562" i="4"/>
  <c r="M562" i="4"/>
  <c r="N562" i="4"/>
  <c r="O562" i="4"/>
  <c r="R562" i="4"/>
  <c r="S562" i="4"/>
  <c r="T562" i="4"/>
  <c r="U562" i="4"/>
  <c r="W562" i="4"/>
  <c r="Z562" i="4"/>
  <c r="AA562" i="4"/>
  <c r="AB562" i="4"/>
  <c r="AC562" i="4"/>
  <c r="AH562" i="4"/>
  <c r="AK562" i="4"/>
  <c r="AL562" i="4"/>
  <c r="AM562" i="4"/>
  <c r="AN562" i="4"/>
  <c r="AO562" i="4"/>
  <c r="F563" i="4"/>
  <c r="G563" i="4"/>
  <c r="H563" i="4"/>
  <c r="I563" i="4"/>
  <c r="L563" i="4"/>
  <c r="M563" i="4"/>
  <c r="N563" i="4"/>
  <c r="O563" i="4"/>
  <c r="R563" i="4"/>
  <c r="S563" i="4"/>
  <c r="T563" i="4"/>
  <c r="U563" i="4"/>
  <c r="W563" i="4"/>
  <c r="Z563" i="4"/>
  <c r="AA563" i="4"/>
  <c r="AB563" i="4"/>
  <c r="AC563" i="4"/>
  <c r="AH563" i="4"/>
  <c r="AK563" i="4"/>
  <c r="AL563" i="4"/>
  <c r="AM563" i="4"/>
  <c r="AN563" i="4"/>
  <c r="AO563" i="4"/>
  <c r="F564" i="4"/>
  <c r="G564" i="4"/>
  <c r="H564" i="4"/>
  <c r="I564" i="4"/>
  <c r="L564" i="4"/>
  <c r="M564" i="4"/>
  <c r="N564" i="4"/>
  <c r="O564" i="4"/>
  <c r="R564" i="4"/>
  <c r="S564" i="4"/>
  <c r="T564" i="4"/>
  <c r="U564" i="4"/>
  <c r="W564" i="4"/>
  <c r="Z564" i="4"/>
  <c r="AA564" i="4"/>
  <c r="AB564" i="4"/>
  <c r="AC564" i="4"/>
  <c r="AH564" i="4"/>
  <c r="AK564" i="4"/>
  <c r="AL564" i="4"/>
  <c r="AM564" i="4"/>
  <c r="AN564" i="4"/>
  <c r="AO564" i="4"/>
  <c r="F565" i="4"/>
  <c r="G565" i="4"/>
  <c r="H565" i="4"/>
  <c r="I565" i="4"/>
  <c r="L565" i="4"/>
  <c r="M565" i="4"/>
  <c r="N565" i="4"/>
  <c r="O565" i="4"/>
  <c r="R565" i="4"/>
  <c r="S565" i="4"/>
  <c r="T565" i="4"/>
  <c r="U565" i="4"/>
  <c r="W565" i="4"/>
  <c r="Z565" i="4"/>
  <c r="AA565" i="4"/>
  <c r="AB565" i="4"/>
  <c r="AC565" i="4"/>
  <c r="AH565" i="4"/>
  <c r="AK565" i="4"/>
  <c r="AL565" i="4"/>
  <c r="AM565" i="4"/>
  <c r="AN565" i="4"/>
  <c r="AO565" i="4"/>
  <c r="F566" i="4"/>
  <c r="G566" i="4"/>
  <c r="H566" i="4"/>
  <c r="I566" i="4"/>
  <c r="L566" i="4"/>
  <c r="M566" i="4"/>
  <c r="N566" i="4"/>
  <c r="O566" i="4"/>
  <c r="R566" i="4"/>
  <c r="S566" i="4"/>
  <c r="T566" i="4"/>
  <c r="U566" i="4"/>
  <c r="W566" i="4"/>
  <c r="Z566" i="4"/>
  <c r="AA566" i="4"/>
  <c r="AB566" i="4"/>
  <c r="AC566" i="4"/>
  <c r="AH566" i="4"/>
  <c r="AK566" i="4"/>
  <c r="AL566" i="4"/>
  <c r="AM566" i="4"/>
  <c r="AN566" i="4"/>
  <c r="AO566" i="4"/>
  <c r="F567" i="4"/>
  <c r="G567" i="4"/>
  <c r="H567" i="4"/>
  <c r="I567" i="4"/>
  <c r="L567" i="4"/>
  <c r="M567" i="4"/>
  <c r="N567" i="4"/>
  <c r="O567" i="4"/>
  <c r="R567" i="4"/>
  <c r="S567" i="4"/>
  <c r="T567" i="4"/>
  <c r="U567" i="4"/>
  <c r="W567" i="4"/>
  <c r="Z567" i="4"/>
  <c r="AA567" i="4"/>
  <c r="AB567" i="4"/>
  <c r="AC567" i="4"/>
  <c r="AH567" i="4"/>
  <c r="AK567" i="4"/>
  <c r="AL567" i="4"/>
  <c r="AM567" i="4"/>
  <c r="AN567" i="4"/>
  <c r="AO567" i="4"/>
  <c r="F568" i="4"/>
  <c r="G568" i="4"/>
  <c r="H568" i="4"/>
  <c r="I568" i="4"/>
  <c r="L568" i="4"/>
  <c r="M568" i="4"/>
  <c r="N568" i="4"/>
  <c r="O568" i="4"/>
  <c r="R568" i="4"/>
  <c r="S568" i="4"/>
  <c r="T568" i="4"/>
  <c r="U568" i="4"/>
  <c r="W568" i="4"/>
  <c r="Z568" i="4"/>
  <c r="AA568" i="4"/>
  <c r="AB568" i="4"/>
  <c r="AC568" i="4"/>
  <c r="AH568" i="4"/>
  <c r="AK568" i="4"/>
  <c r="AL568" i="4"/>
  <c r="AM568" i="4"/>
  <c r="AN568" i="4"/>
  <c r="AO568" i="4"/>
  <c r="F569" i="4"/>
  <c r="G569" i="4"/>
  <c r="H569" i="4"/>
  <c r="I569" i="4"/>
  <c r="L569" i="4"/>
  <c r="M569" i="4"/>
  <c r="N569" i="4"/>
  <c r="O569" i="4"/>
  <c r="R569" i="4"/>
  <c r="S569" i="4"/>
  <c r="T569" i="4"/>
  <c r="U569" i="4"/>
  <c r="W569" i="4"/>
  <c r="Z569" i="4"/>
  <c r="AA569" i="4"/>
  <c r="AB569" i="4"/>
  <c r="AC569" i="4"/>
  <c r="AH569" i="4"/>
  <c r="AK569" i="4"/>
  <c r="AL569" i="4"/>
  <c r="AM569" i="4"/>
  <c r="AN569" i="4"/>
  <c r="AO569" i="4"/>
  <c r="F570" i="4"/>
  <c r="G570" i="4"/>
  <c r="H570" i="4"/>
  <c r="I570" i="4"/>
  <c r="L570" i="4"/>
  <c r="M570" i="4"/>
  <c r="N570" i="4"/>
  <c r="O570" i="4"/>
  <c r="R570" i="4"/>
  <c r="S570" i="4"/>
  <c r="T570" i="4"/>
  <c r="U570" i="4"/>
  <c r="W570" i="4"/>
  <c r="Z570" i="4"/>
  <c r="AA570" i="4"/>
  <c r="AB570" i="4"/>
  <c r="AC570" i="4"/>
  <c r="AH570" i="4"/>
  <c r="AK570" i="4"/>
  <c r="AL570" i="4"/>
  <c r="AM570" i="4"/>
  <c r="AN570" i="4"/>
  <c r="AO570" i="4"/>
  <c r="F571" i="4"/>
  <c r="G571" i="4"/>
  <c r="H571" i="4"/>
  <c r="I571" i="4"/>
  <c r="L571" i="4"/>
  <c r="M571" i="4"/>
  <c r="N571" i="4"/>
  <c r="O571" i="4"/>
  <c r="R571" i="4"/>
  <c r="S571" i="4"/>
  <c r="T571" i="4"/>
  <c r="U571" i="4"/>
  <c r="W571" i="4"/>
  <c r="Z571" i="4"/>
  <c r="AA571" i="4"/>
  <c r="AB571" i="4"/>
  <c r="AC571" i="4"/>
  <c r="AH571" i="4"/>
  <c r="AK571" i="4"/>
  <c r="AL571" i="4"/>
  <c r="AM571" i="4"/>
  <c r="AN571" i="4"/>
  <c r="AO571" i="4"/>
  <c r="F572" i="4"/>
  <c r="G572" i="4"/>
  <c r="H572" i="4"/>
  <c r="I572" i="4"/>
  <c r="L572" i="4"/>
  <c r="M572" i="4"/>
  <c r="N572" i="4"/>
  <c r="O572" i="4"/>
  <c r="R572" i="4"/>
  <c r="S572" i="4"/>
  <c r="T572" i="4"/>
  <c r="U572" i="4"/>
  <c r="W572" i="4"/>
  <c r="Z572" i="4"/>
  <c r="AA572" i="4"/>
  <c r="AB572" i="4"/>
  <c r="AC572" i="4"/>
  <c r="AH572" i="4"/>
  <c r="AK572" i="4"/>
  <c r="AL572" i="4"/>
  <c r="AM572" i="4"/>
  <c r="AN572" i="4"/>
  <c r="AO572" i="4"/>
  <c r="F573" i="4"/>
  <c r="G573" i="4"/>
  <c r="H573" i="4"/>
  <c r="I573" i="4"/>
  <c r="L573" i="4"/>
  <c r="M573" i="4"/>
  <c r="N573" i="4"/>
  <c r="O573" i="4"/>
  <c r="R573" i="4"/>
  <c r="S573" i="4"/>
  <c r="T573" i="4"/>
  <c r="U573" i="4"/>
  <c r="W573" i="4"/>
  <c r="Z573" i="4"/>
  <c r="AA573" i="4"/>
  <c r="AB573" i="4"/>
  <c r="AC573" i="4"/>
  <c r="AH573" i="4"/>
  <c r="AK573" i="4"/>
  <c r="AL573" i="4"/>
  <c r="AM573" i="4"/>
  <c r="AN573" i="4"/>
  <c r="AO573" i="4"/>
  <c r="F574" i="4"/>
  <c r="G574" i="4"/>
  <c r="H574" i="4"/>
  <c r="I574" i="4"/>
  <c r="L574" i="4"/>
  <c r="M574" i="4"/>
  <c r="N574" i="4"/>
  <c r="O574" i="4"/>
  <c r="R574" i="4"/>
  <c r="S574" i="4"/>
  <c r="T574" i="4"/>
  <c r="U574" i="4"/>
  <c r="W574" i="4"/>
  <c r="Z574" i="4"/>
  <c r="AA574" i="4"/>
  <c r="AB574" i="4"/>
  <c r="AC574" i="4"/>
  <c r="AH574" i="4"/>
  <c r="AK574" i="4"/>
  <c r="AL574" i="4"/>
  <c r="AM574" i="4"/>
  <c r="AN574" i="4"/>
  <c r="AO574" i="4"/>
  <c r="F575" i="4"/>
  <c r="G575" i="4"/>
  <c r="H575" i="4"/>
  <c r="I575" i="4"/>
  <c r="L575" i="4"/>
  <c r="M575" i="4"/>
  <c r="N575" i="4"/>
  <c r="O575" i="4"/>
  <c r="R575" i="4"/>
  <c r="S575" i="4"/>
  <c r="T575" i="4"/>
  <c r="U575" i="4"/>
  <c r="W575" i="4"/>
  <c r="Z575" i="4"/>
  <c r="AA575" i="4"/>
  <c r="AB575" i="4"/>
  <c r="AC575" i="4"/>
  <c r="AH575" i="4"/>
  <c r="AK575" i="4"/>
  <c r="AL575" i="4"/>
  <c r="AM575" i="4"/>
  <c r="AN575" i="4"/>
  <c r="AO575" i="4"/>
  <c r="F576" i="4"/>
  <c r="G576" i="4"/>
  <c r="H576" i="4"/>
  <c r="I576" i="4"/>
  <c r="L576" i="4"/>
  <c r="M576" i="4"/>
  <c r="N576" i="4"/>
  <c r="O576" i="4"/>
  <c r="R576" i="4"/>
  <c r="S576" i="4"/>
  <c r="T576" i="4"/>
  <c r="U576" i="4"/>
  <c r="W576" i="4"/>
  <c r="Z576" i="4"/>
  <c r="AA576" i="4"/>
  <c r="AB576" i="4"/>
  <c r="AC576" i="4"/>
  <c r="AH576" i="4"/>
  <c r="AK576" i="4"/>
  <c r="AL576" i="4"/>
  <c r="AM576" i="4"/>
  <c r="AN576" i="4"/>
  <c r="AO576" i="4"/>
  <c r="F577" i="4"/>
  <c r="G577" i="4"/>
  <c r="H577" i="4"/>
  <c r="I577" i="4"/>
  <c r="L577" i="4"/>
  <c r="M577" i="4"/>
  <c r="N577" i="4"/>
  <c r="O577" i="4"/>
  <c r="R577" i="4"/>
  <c r="S577" i="4"/>
  <c r="T577" i="4"/>
  <c r="U577" i="4"/>
  <c r="W577" i="4"/>
  <c r="Z577" i="4"/>
  <c r="AA577" i="4"/>
  <c r="AB577" i="4"/>
  <c r="AC577" i="4"/>
  <c r="AH577" i="4"/>
  <c r="AK577" i="4"/>
  <c r="AL577" i="4"/>
  <c r="AM577" i="4"/>
  <c r="AN577" i="4"/>
  <c r="AO577" i="4"/>
  <c r="F578" i="4"/>
  <c r="G578" i="4"/>
  <c r="H578" i="4"/>
  <c r="I578" i="4"/>
  <c r="L578" i="4"/>
  <c r="M578" i="4"/>
  <c r="N578" i="4"/>
  <c r="O578" i="4"/>
  <c r="R578" i="4"/>
  <c r="S578" i="4"/>
  <c r="T578" i="4"/>
  <c r="U578" i="4"/>
  <c r="W578" i="4"/>
  <c r="Z578" i="4"/>
  <c r="AA578" i="4"/>
  <c r="AB578" i="4"/>
  <c r="AC578" i="4"/>
  <c r="AH578" i="4"/>
  <c r="AK578" i="4"/>
  <c r="AL578" i="4"/>
  <c r="AM578" i="4"/>
  <c r="AN578" i="4"/>
  <c r="AO578" i="4"/>
  <c r="F579" i="4"/>
  <c r="G579" i="4"/>
  <c r="H579" i="4"/>
  <c r="I579" i="4"/>
  <c r="L579" i="4"/>
  <c r="M579" i="4"/>
  <c r="N579" i="4"/>
  <c r="O579" i="4"/>
  <c r="R579" i="4"/>
  <c r="S579" i="4"/>
  <c r="T579" i="4"/>
  <c r="U579" i="4"/>
  <c r="W579" i="4"/>
  <c r="Z579" i="4"/>
  <c r="AA579" i="4"/>
  <c r="AB579" i="4"/>
  <c r="AC579" i="4"/>
  <c r="AH579" i="4"/>
  <c r="AK579" i="4"/>
  <c r="AL579" i="4"/>
  <c r="AM579" i="4"/>
  <c r="AN579" i="4"/>
  <c r="AO579" i="4"/>
  <c r="F580" i="4"/>
  <c r="G580" i="4"/>
  <c r="H580" i="4"/>
  <c r="I580" i="4"/>
  <c r="L580" i="4"/>
  <c r="M580" i="4"/>
  <c r="N580" i="4"/>
  <c r="O580" i="4"/>
  <c r="R580" i="4"/>
  <c r="S580" i="4"/>
  <c r="T580" i="4"/>
  <c r="U580" i="4"/>
  <c r="W580" i="4"/>
  <c r="Z580" i="4"/>
  <c r="AA580" i="4"/>
  <c r="AB580" i="4"/>
  <c r="AC580" i="4"/>
  <c r="AH580" i="4"/>
  <c r="AK580" i="4"/>
  <c r="AL580" i="4"/>
  <c r="AM580" i="4"/>
  <c r="AN580" i="4"/>
  <c r="AO580" i="4"/>
  <c r="F581" i="4"/>
  <c r="G581" i="4"/>
  <c r="H581" i="4"/>
  <c r="I581" i="4"/>
  <c r="L581" i="4"/>
  <c r="M581" i="4"/>
  <c r="N581" i="4"/>
  <c r="O581" i="4"/>
  <c r="R581" i="4"/>
  <c r="S581" i="4"/>
  <c r="T581" i="4"/>
  <c r="U581" i="4"/>
  <c r="W581" i="4"/>
  <c r="Z581" i="4"/>
  <c r="AA581" i="4"/>
  <c r="AB581" i="4"/>
  <c r="AC581" i="4"/>
  <c r="AH581" i="4"/>
  <c r="AK581" i="4"/>
  <c r="AL581" i="4"/>
  <c r="AM581" i="4"/>
  <c r="AN581" i="4"/>
  <c r="AO581" i="4"/>
  <c r="F582" i="4"/>
  <c r="G582" i="4"/>
  <c r="H582" i="4"/>
  <c r="I582" i="4"/>
  <c r="L582" i="4"/>
  <c r="M582" i="4"/>
  <c r="N582" i="4"/>
  <c r="O582" i="4"/>
  <c r="R582" i="4"/>
  <c r="S582" i="4"/>
  <c r="T582" i="4"/>
  <c r="U582" i="4"/>
  <c r="W582" i="4"/>
  <c r="Z582" i="4"/>
  <c r="AA582" i="4"/>
  <c r="AB582" i="4"/>
  <c r="AC582" i="4"/>
  <c r="AH582" i="4"/>
  <c r="AK582" i="4"/>
  <c r="AL582" i="4"/>
  <c r="AM582" i="4"/>
  <c r="AN582" i="4"/>
  <c r="AO582" i="4"/>
  <c r="F583" i="4"/>
  <c r="G583" i="4"/>
  <c r="H583" i="4"/>
  <c r="I583" i="4"/>
  <c r="L583" i="4"/>
  <c r="M583" i="4"/>
  <c r="N583" i="4"/>
  <c r="O583" i="4"/>
  <c r="R583" i="4"/>
  <c r="S583" i="4"/>
  <c r="T583" i="4"/>
  <c r="U583" i="4"/>
  <c r="W583" i="4"/>
  <c r="Z583" i="4"/>
  <c r="AA583" i="4"/>
  <c r="AB583" i="4"/>
  <c r="AC583" i="4"/>
  <c r="AH583" i="4"/>
  <c r="AK583" i="4"/>
  <c r="AL583" i="4"/>
  <c r="AM583" i="4"/>
  <c r="AN583" i="4"/>
  <c r="AO583" i="4"/>
  <c r="F584" i="4"/>
  <c r="G584" i="4"/>
  <c r="H584" i="4"/>
  <c r="I584" i="4"/>
  <c r="L584" i="4"/>
  <c r="M584" i="4"/>
  <c r="N584" i="4"/>
  <c r="O584" i="4"/>
  <c r="R584" i="4"/>
  <c r="S584" i="4"/>
  <c r="T584" i="4"/>
  <c r="U584" i="4"/>
  <c r="W584" i="4"/>
  <c r="Z584" i="4"/>
  <c r="AA584" i="4"/>
  <c r="AB584" i="4"/>
  <c r="AC584" i="4"/>
  <c r="AH584" i="4"/>
  <c r="AK584" i="4"/>
  <c r="AL584" i="4"/>
  <c r="AM584" i="4"/>
  <c r="AN584" i="4"/>
  <c r="AO584" i="4"/>
  <c r="F585" i="4"/>
  <c r="G585" i="4"/>
  <c r="H585" i="4"/>
  <c r="I585" i="4"/>
  <c r="L585" i="4"/>
  <c r="M585" i="4"/>
  <c r="N585" i="4"/>
  <c r="O585" i="4"/>
  <c r="R585" i="4"/>
  <c r="S585" i="4"/>
  <c r="T585" i="4"/>
  <c r="U585" i="4"/>
  <c r="W585" i="4"/>
  <c r="Z585" i="4"/>
  <c r="AA585" i="4"/>
  <c r="AB585" i="4"/>
  <c r="AC585" i="4"/>
  <c r="AH585" i="4"/>
  <c r="AK585" i="4"/>
  <c r="AL585" i="4"/>
  <c r="AM585" i="4"/>
  <c r="AN585" i="4"/>
  <c r="AO585" i="4"/>
  <c r="F586" i="4"/>
  <c r="G586" i="4"/>
  <c r="H586" i="4"/>
  <c r="I586" i="4"/>
  <c r="L586" i="4"/>
  <c r="M586" i="4"/>
  <c r="N586" i="4"/>
  <c r="O586" i="4"/>
  <c r="R586" i="4"/>
  <c r="S586" i="4"/>
  <c r="T586" i="4"/>
  <c r="U586" i="4"/>
  <c r="W586" i="4"/>
  <c r="Z586" i="4"/>
  <c r="AA586" i="4"/>
  <c r="AB586" i="4"/>
  <c r="AC586" i="4"/>
  <c r="AH586" i="4"/>
  <c r="AK586" i="4"/>
  <c r="AL586" i="4"/>
  <c r="AM586" i="4"/>
  <c r="AN586" i="4"/>
  <c r="AO586" i="4"/>
  <c r="F587" i="4"/>
  <c r="G587" i="4"/>
  <c r="H587" i="4"/>
  <c r="I587" i="4"/>
  <c r="L587" i="4"/>
  <c r="M587" i="4"/>
  <c r="N587" i="4"/>
  <c r="O587" i="4"/>
  <c r="R587" i="4"/>
  <c r="S587" i="4"/>
  <c r="T587" i="4"/>
  <c r="U587" i="4"/>
  <c r="W587" i="4"/>
  <c r="Z587" i="4"/>
  <c r="AA587" i="4"/>
  <c r="AB587" i="4"/>
  <c r="AC587" i="4"/>
  <c r="AH587" i="4"/>
  <c r="AK587" i="4"/>
  <c r="AL587" i="4"/>
  <c r="AM587" i="4"/>
  <c r="AN587" i="4"/>
  <c r="AO587" i="4"/>
  <c r="F588" i="4"/>
  <c r="G588" i="4"/>
  <c r="H588" i="4"/>
  <c r="I588" i="4"/>
  <c r="L588" i="4"/>
  <c r="M588" i="4"/>
  <c r="N588" i="4"/>
  <c r="O588" i="4"/>
  <c r="R588" i="4"/>
  <c r="S588" i="4"/>
  <c r="T588" i="4"/>
  <c r="U588" i="4"/>
  <c r="W588" i="4"/>
  <c r="Z588" i="4"/>
  <c r="AA588" i="4"/>
  <c r="AB588" i="4"/>
  <c r="AC588" i="4"/>
  <c r="AH588" i="4"/>
  <c r="AK588" i="4"/>
  <c r="AL588" i="4"/>
  <c r="AM588" i="4"/>
  <c r="AN588" i="4"/>
  <c r="AO588" i="4"/>
  <c r="F589" i="4"/>
  <c r="G589" i="4"/>
  <c r="H589" i="4"/>
  <c r="I589" i="4"/>
  <c r="L589" i="4"/>
  <c r="M589" i="4"/>
  <c r="N589" i="4"/>
  <c r="O589" i="4"/>
  <c r="R589" i="4"/>
  <c r="S589" i="4"/>
  <c r="T589" i="4"/>
  <c r="U589" i="4"/>
  <c r="W589" i="4"/>
  <c r="Z589" i="4"/>
  <c r="AA589" i="4"/>
  <c r="AB589" i="4"/>
  <c r="AC589" i="4"/>
  <c r="AH589" i="4"/>
  <c r="AK589" i="4"/>
  <c r="AL589" i="4"/>
  <c r="AM589" i="4"/>
  <c r="AN589" i="4"/>
  <c r="AO589" i="4"/>
  <c r="F590" i="4"/>
  <c r="G590" i="4"/>
  <c r="H590" i="4"/>
  <c r="I590" i="4"/>
  <c r="L590" i="4"/>
  <c r="M590" i="4"/>
  <c r="N590" i="4"/>
  <c r="O590" i="4"/>
  <c r="R590" i="4"/>
  <c r="S590" i="4"/>
  <c r="T590" i="4"/>
  <c r="U590" i="4"/>
  <c r="W590" i="4"/>
  <c r="Z590" i="4"/>
  <c r="AA590" i="4"/>
  <c r="AB590" i="4"/>
  <c r="AC590" i="4"/>
  <c r="AH590" i="4"/>
  <c r="AK590" i="4"/>
  <c r="AL590" i="4"/>
  <c r="AM590" i="4"/>
  <c r="AN590" i="4"/>
  <c r="AO590" i="4"/>
  <c r="F591" i="4"/>
  <c r="G591" i="4"/>
  <c r="H591" i="4"/>
  <c r="I591" i="4"/>
  <c r="L591" i="4"/>
  <c r="M591" i="4"/>
  <c r="N591" i="4"/>
  <c r="O591" i="4"/>
  <c r="R591" i="4"/>
  <c r="S591" i="4"/>
  <c r="T591" i="4"/>
  <c r="U591" i="4"/>
  <c r="W591" i="4"/>
  <c r="Z591" i="4"/>
  <c r="AA591" i="4"/>
  <c r="AB591" i="4"/>
  <c r="AC591" i="4"/>
  <c r="AH591" i="4"/>
  <c r="AK591" i="4"/>
  <c r="AL591" i="4"/>
  <c r="AM591" i="4"/>
  <c r="AN591" i="4"/>
  <c r="AO591" i="4"/>
  <c r="F592" i="4"/>
  <c r="G592" i="4"/>
  <c r="H592" i="4"/>
  <c r="I592" i="4"/>
  <c r="L592" i="4"/>
  <c r="M592" i="4"/>
  <c r="N592" i="4"/>
  <c r="O592" i="4"/>
  <c r="R592" i="4"/>
  <c r="S592" i="4"/>
  <c r="T592" i="4"/>
  <c r="U592" i="4"/>
  <c r="W592" i="4"/>
  <c r="Z592" i="4"/>
  <c r="AA592" i="4"/>
  <c r="AB592" i="4"/>
  <c r="AC592" i="4"/>
  <c r="AH592" i="4"/>
  <c r="AK592" i="4"/>
  <c r="AL592" i="4"/>
  <c r="AM592" i="4"/>
  <c r="AN592" i="4"/>
  <c r="AO592" i="4"/>
  <c r="F593" i="4"/>
  <c r="G593" i="4"/>
  <c r="H593" i="4"/>
  <c r="I593" i="4"/>
  <c r="L593" i="4"/>
  <c r="M593" i="4"/>
  <c r="N593" i="4"/>
  <c r="O593" i="4"/>
  <c r="R593" i="4"/>
  <c r="S593" i="4"/>
  <c r="T593" i="4"/>
  <c r="U593" i="4"/>
  <c r="W593" i="4"/>
  <c r="Z593" i="4"/>
  <c r="AA593" i="4"/>
  <c r="AB593" i="4"/>
  <c r="AC593" i="4"/>
  <c r="AH593" i="4"/>
  <c r="AK593" i="4"/>
  <c r="AL593" i="4"/>
  <c r="AM593" i="4"/>
  <c r="AN593" i="4"/>
  <c r="AO593" i="4"/>
  <c r="F594" i="4"/>
  <c r="G594" i="4"/>
  <c r="H594" i="4"/>
  <c r="I594" i="4"/>
  <c r="L594" i="4"/>
  <c r="M594" i="4"/>
  <c r="N594" i="4"/>
  <c r="O594" i="4"/>
  <c r="R594" i="4"/>
  <c r="S594" i="4"/>
  <c r="T594" i="4"/>
  <c r="U594" i="4"/>
  <c r="W594" i="4"/>
  <c r="Z594" i="4"/>
  <c r="AA594" i="4"/>
  <c r="AB594" i="4"/>
  <c r="AC594" i="4"/>
  <c r="AH594" i="4"/>
  <c r="AK594" i="4"/>
  <c r="AL594" i="4"/>
  <c r="AM594" i="4"/>
  <c r="AN594" i="4"/>
  <c r="AO594" i="4"/>
  <c r="F595" i="4"/>
  <c r="G595" i="4"/>
  <c r="H595" i="4"/>
  <c r="I595" i="4"/>
  <c r="L595" i="4"/>
  <c r="M595" i="4"/>
  <c r="N595" i="4"/>
  <c r="O595" i="4"/>
  <c r="R595" i="4"/>
  <c r="S595" i="4"/>
  <c r="T595" i="4"/>
  <c r="U595" i="4"/>
  <c r="W595" i="4"/>
  <c r="Z595" i="4"/>
  <c r="AA595" i="4"/>
  <c r="AB595" i="4"/>
  <c r="AC595" i="4"/>
  <c r="AH595" i="4"/>
  <c r="AK595" i="4"/>
  <c r="AL595" i="4"/>
  <c r="AM595" i="4"/>
  <c r="AN595" i="4"/>
  <c r="AO595" i="4"/>
  <c r="F596" i="4"/>
  <c r="G596" i="4"/>
  <c r="H596" i="4"/>
  <c r="I596" i="4"/>
  <c r="L596" i="4"/>
  <c r="M596" i="4"/>
  <c r="N596" i="4"/>
  <c r="O596" i="4"/>
  <c r="R596" i="4"/>
  <c r="S596" i="4"/>
  <c r="T596" i="4"/>
  <c r="U596" i="4"/>
  <c r="W596" i="4"/>
  <c r="Z596" i="4"/>
  <c r="AA596" i="4"/>
  <c r="AB596" i="4"/>
  <c r="AC596" i="4"/>
  <c r="AH596" i="4"/>
  <c r="AK596" i="4"/>
  <c r="AL596" i="4"/>
  <c r="AM596" i="4"/>
  <c r="AN596" i="4"/>
  <c r="AO596" i="4"/>
  <c r="F597" i="4"/>
  <c r="G597" i="4"/>
  <c r="H597" i="4"/>
  <c r="I597" i="4"/>
  <c r="L597" i="4"/>
  <c r="M597" i="4"/>
  <c r="N597" i="4"/>
  <c r="O597" i="4"/>
  <c r="R597" i="4"/>
  <c r="S597" i="4"/>
  <c r="T597" i="4"/>
  <c r="U597" i="4"/>
  <c r="W597" i="4"/>
  <c r="Z597" i="4"/>
  <c r="AA597" i="4"/>
  <c r="AB597" i="4"/>
  <c r="AC597" i="4"/>
  <c r="AH597" i="4"/>
  <c r="AK597" i="4"/>
  <c r="AL597" i="4"/>
  <c r="AM597" i="4"/>
  <c r="AN597" i="4"/>
  <c r="AO597" i="4"/>
  <c r="F598" i="4"/>
  <c r="G598" i="4"/>
  <c r="H598" i="4"/>
  <c r="I598" i="4"/>
  <c r="L598" i="4"/>
  <c r="M598" i="4"/>
  <c r="N598" i="4"/>
  <c r="O598" i="4"/>
  <c r="R598" i="4"/>
  <c r="S598" i="4"/>
  <c r="T598" i="4"/>
  <c r="U598" i="4"/>
  <c r="W598" i="4"/>
  <c r="Z598" i="4"/>
  <c r="AA598" i="4"/>
  <c r="AB598" i="4"/>
  <c r="AC598" i="4"/>
  <c r="AH598" i="4"/>
  <c r="AK598" i="4"/>
  <c r="AL598" i="4"/>
  <c r="AM598" i="4"/>
  <c r="AN598" i="4"/>
  <c r="AO598" i="4"/>
  <c r="F599" i="4"/>
  <c r="G599" i="4"/>
  <c r="H599" i="4"/>
  <c r="I599" i="4"/>
  <c r="L599" i="4"/>
  <c r="M599" i="4"/>
  <c r="N599" i="4"/>
  <c r="O599" i="4"/>
  <c r="R599" i="4"/>
  <c r="S599" i="4"/>
  <c r="T599" i="4"/>
  <c r="U599" i="4"/>
  <c r="W599" i="4"/>
  <c r="Z599" i="4"/>
  <c r="AA599" i="4"/>
  <c r="AB599" i="4"/>
  <c r="AC599" i="4"/>
  <c r="AH599" i="4"/>
  <c r="AK599" i="4"/>
  <c r="AL599" i="4"/>
  <c r="AM599" i="4"/>
  <c r="AN599" i="4"/>
  <c r="AO599" i="4"/>
  <c r="F600" i="4"/>
  <c r="G600" i="4"/>
  <c r="H600" i="4"/>
  <c r="I600" i="4"/>
  <c r="L600" i="4"/>
  <c r="M600" i="4"/>
  <c r="N600" i="4"/>
  <c r="O600" i="4"/>
  <c r="R600" i="4"/>
  <c r="S600" i="4"/>
  <c r="T600" i="4"/>
  <c r="U600" i="4"/>
  <c r="W600" i="4"/>
  <c r="Z600" i="4"/>
  <c r="AA600" i="4"/>
  <c r="AB600" i="4"/>
  <c r="AC600" i="4"/>
  <c r="AH600" i="4"/>
  <c r="AK600" i="4"/>
  <c r="AL600" i="4"/>
  <c r="AM600" i="4"/>
  <c r="AN600" i="4"/>
  <c r="AO600" i="4"/>
  <c r="F601" i="4"/>
  <c r="G601" i="4"/>
  <c r="H601" i="4"/>
  <c r="I601" i="4"/>
  <c r="L601" i="4"/>
  <c r="M601" i="4"/>
  <c r="N601" i="4"/>
  <c r="O601" i="4"/>
  <c r="R601" i="4"/>
  <c r="S601" i="4"/>
  <c r="T601" i="4"/>
  <c r="U601" i="4"/>
  <c r="W601" i="4"/>
  <c r="Z601" i="4"/>
  <c r="AA601" i="4"/>
  <c r="AB601" i="4"/>
  <c r="AC601" i="4"/>
  <c r="AH601" i="4"/>
  <c r="AK601" i="4"/>
  <c r="AL601" i="4"/>
  <c r="AM601" i="4"/>
  <c r="AN601" i="4"/>
  <c r="AO601" i="4"/>
  <c r="F602" i="4"/>
  <c r="G602" i="4"/>
  <c r="H602" i="4"/>
  <c r="I602" i="4"/>
  <c r="L602" i="4"/>
  <c r="M602" i="4"/>
  <c r="N602" i="4"/>
  <c r="O602" i="4"/>
  <c r="R602" i="4"/>
  <c r="S602" i="4"/>
  <c r="T602" i="4"/>
  <c r="U602" i="4"/>
  <c r="W602" i="4"/>
  <c r="Z602" i="4"/>
  <c r="AA602" i="4"/>
  <c r="AB602" i="4"/>
  <c r="AC602" i="4"/>
  <c r="AH602" i="4"/>
  <c r="AK602" i="4"/>
  <c r="AL602" i="4"/>
  <c r="AM602" i="4"/>
  <c r="AN602" i="4"/>
  <c r="AO602" i="4"/>
  <c r="F603" i="4"/>
  <c r="G603" i="4"/>
  <c r="H603" i="4"/>
  <c r="I603" i="4"/>
  <c r="L603" i="4"/>
  <c r="M603" i="4"/>
  <c r="N603" i="4"/>
  <c r="O603" i="4"/>
  <c r="R603" i="4"/>
  <c r="S603" i="4"/>
  <c r="T603" i="4"/>
  <c r="U603" i="4"/>
  <c r="W603" i="4"/>
  <c r="Z603" i="4"/>
  <c r="AA603" i="4"/>
  <c r="AB603" i="4"/>
  <c r="AC603" i="4"/>
  <c r="AH603" i="4"/>
  <c r="AK603" i="4"/>
  <c r="AL603" i="4"/>
  <c r="AM603" i="4"/>
  <c r="AN603" i="4"/>
  <c r="AO603" i="4"/>
  <c r="F604" i="4"/>
  <c r="G604" i="4"/>
  <c r="H604" i="4"/>
  <c r="I604" i="4"/>
  <c r="L604" i="4"/>
  <c r="M604" i="4"/>
  <c r="N604" i="4"/>
  <c r="O604" i="4"/>
  <c r="R604" i="4"/>
  <c r="S604" i="4"/>
  <c r="T604" i="4"/>
  <c r="U604" i="4"/>
  <c r="W604" i="4"/>
  <c r="Z604" i="4"/>
  <c r="AA604" i="4"/>
  <c r="AB604" i="4"/>
  <c r="AC604" i="4"/>
  <c r="AH604" i="4"/>
  <c r="AK604" i="4"/>
  <c r="AL604" i="4"/>
  <c r="AM604" i="4"/>
  <c r="AN604" i="4"/>
  <c r="AO604" i="4"/>
  <c r="F605" i="4"/>
  <c r="G605" i="4"/>
  <c r="H605" i="4"/>
  <c r="I605" i="4"/>
  <c r="L605" i="4"/>
  <c r="M605" i="4"/>
  <c r="N605" i="4"/>
  <c r="O605" i="4"/>
  <c r="R605" i="4"/>
  <c r="S605" i="4"/>
  <c r="T605" i="4"/>
  <c r="U605" i="4"/>
  <c r="W605" i="4"/>
  <c r="Z605" i="4"/>
  <c r="AA605" i="4"/>
  <c r="AB605" i="4"/>
  <c r="AC605" i="4"/>
  <c r="AH605" i="4"/>
  <c r="AK605" i="4"/>
  <c r="AL605" i="4"/>
  <c r="AM605" i="4"/>
  <c r="AN605" i="4"/>
  <c r="AO605" i="4"/>
  <c r="F606" i="4"/>
  <c r="G606" i="4"/>
  <c r="H606" i="4"/>
  <c r="I606" i="4"/>
  <c r="L606" i="4"/>
  <c r="M606" i="4"/>
  <c r="N606" i="4"/>
  <c r="O606" i="4"/>
  <c r="R606" i="4"/>
  <c r="S606" i="4"/>
  <c r="T606" i="4"/>
  <c r="U606" i="4"/>
  <c r="W606" i="4"/>
  <c r="Z606" i="4"/>
  <c r="AA606" i="4"/>
  <c r="AB606" i="4"/>
  <c r="AC606" i="4"/>
  <c r="AH606" i="4"/>
  <c r="AK606" i="4"/>
  <c r="AL606" i="4"/>
  <c r="AM606" i="4"/>
  <c r="AN606" i="4"/>
  <c r="AO606" i="4"/>
  <c r="F607" i="4"/>
  <c r="G607" i="4"/>
  <c r="H607" i="4"/>
  <c r="I607" i="4"/>
  <c r="L607" i="4"/>
  <c r="M607" i="4"/>
  <c r="N607" i="4"/>
  <c r="O607" i="4"/>
  <c r="R607" i="4"/>
  <c r="S607" i="4"/>
  <c r="T607" i="4"/>
  <c r="U607" i="4"/>
  <c r="W607" i="4"/>
  <c r="Z607" i="4"/>
  <c r="AA607" i="4"/>
  <c r="AB607" i="4"/>
  <c r="AC607" i="4"/>
  <c r="AH607" i="4"/>
  <c r="AK607" i="4"/>
  <c r="AL607" i="4"/>
  <c r="AM607" i="4"/>
  <c r="AN607" i="4"/>
  <c r="AO607" i="4"/>
  <c r="F608" i="4"/>
  <c r="G608" i="4"/>
  <c r="H608" i="4"/>
  <c r="I608" i="4"/>
  <c r="L608" i="4"/>
  <c r="M608" i="4"/>
  <c r="N608" i="4"/>
  <c r="O608" i="4"/>
  <c r="R608" i="4"/>
  <c r="S608" i="4"/>
  <c r="T608" i="4"/>
  <c r="U608" i="4"/>
  <c r="W608" i="4"/>
  <c r="Z608" i="4"/>
  <c r="AA608" i="4"/>
  <c r="AB608" i="4"/>
  <c r="AC608" i="4"/>
  <c r="AH608" i="4"/>
  <c r="AK608" i="4"/>
  <c r="AL608" i="4"/>
  <c r="AM608" i="4"/>
  <c r="AN608" i="4"/>
  <c r="AO608" i="4"/>
  <c r="F609" i="4"/>
  <c r="G609" i="4"/>
  <c r="H609" i="4"/>
  <c r="I609" i="4"/>
  <c r="L609" i="4"/>
  <c r="M609" i="4"/>
  <c r="N609" i="4"/>
  <c r="O609" i="4"/>
  <c r="R609" i="4"/>
  <c r="S609" i="4"/>
  <c r="T609" i="4"/>
  <c r="U609" i="4"/>
  <c r="W609" i="4"/>
  <c r="Z609" i="4"/>
  <c r="AA609" i="4"/>
  <c r="AB609" i="4"/>
  <c r="AC609" i="4"/>
  <c r="AH609" i="4"/>
  <c r="AK609" i="4"/>
  <c r="AL609" i="4"/>
  <c r="AM609" i="4"/>
  <c r="AN609" i="4"/>
  <c r="AO609" i="4"/>
  <c r="F610" i="4"/>
  <c r="G610" i="4"/>
  <c r="H610" i="4"/>
  <c r="I610" i="4"/>
  <c r="L610" i="4"/>
  <c r="M610" i="4"/>
  <c r="N610" i="4"/>
  <c r="O610" i="4"/>
  <c r="R610" i="4"/>
  <c r="S610" i="4"/>
  <c r="T610" i="4"/>
  <c r="U610" i="4"/>
  <c r="W610" i="4"/>
  <c r="Z610" i="4"/>
  <c r="AA610" i="4"/>
  <c r="AB610" i="4"/>
  <c r="AC610" i="4"/>
  <c r="AH610" i="4"/>
  <c r="AK610" i="4"/>
  <c r="AL610" i="4"/>
  <c r="AM610" i="4"/>
  <c r="AN610" i="4"/>
  <c r="AO610" i="4"/>
  <c r="F611" i="4"/>
  <c r="G611" i="4"/>
  <c r="H611" i="4"/>
  <c r="I611" i="4"/>
  <c r="L611" i="4"/>
  <c r="M611" i="4"/>
  <c r="N611" i="4"/>
  <c r="O611" i="4"/>
  <c r="R611" i="4"/>
  <c r="S611" i="4"/>
  <c r="T611" i="4"/>
  <c r="U611" i="4"/>
  <c r="W611" i="4"/>
  <c r="Z611" i="4"/>
  <c r="AA611" i="4"/>
  <c r="AB611" i="4"/>
  <c r="AC611" i="4"/>
  <c r="AH611" i="4"/>
  <c r="AK611" i="4"/>
  <c r="AL611" i="4"/>
  <c r="AM611" i="4"/>
  <c r="AN611" i="4"/>
  <c r="AO611" i="4"/>
  <c r="F612" i="4"/>
  <c r="G612" i="4"/>
  <c r="H612" i="4"/>
  <c r="I612" i="4"/>
  <c r="L612" i="4"/>
  <c r="M612" i="4"/>
  <c r="N612" i="4"/>
  <c r="O612" i="4"/>
  <c r="R612" i="4"/>
  <c r="S612" i="4"/>
  <c r="T612" i="4"/>
  <c r="U612" i="4"/>
  <c r="W612" i="4"/>
  <c r="Z612" i="4"/>
  <c r="AA612" i="4"/>
  <c r="AB612" i="4"/>
  <c r="AC612" i="4"/>
  <c r="AH612" i="4"/>
  <c r="AK612" i="4"/>
  <c r="AL612" i="4"/>
  <c r="AM612" i="4"/>
  <c r="AN612" i="4"/>
  <c r="AO612" i="4"/>
  <c r="F613" i="4"/>
  <c r="G613" i="4"/>
  <c r="H613" i="4"/>
  <c r="I613" i="4"/>
  <c r="L613" i="4"/>
  <c r="M613" i="4"/>
  <c r="N613" i="4"/>
  <c r="O613" i="4"/>
  <c r="R613" i="4"/>
  <c r="S613" i="4"/>
  <c r="T613" i="4"/>
  <c r="U613" i="4"/>
  <c r="W613" i="4"/>
  <c r="Z613" i="4"/>
  <c r="AA613" i="4"/>
  <c r="AB613" i="4"/>
  <c r="AC613" i="4"/>
  <c r="AH613" i="4"/>
  <c r="AK613" i="4"/>
  <c r="AL613" i="4"/>
  <c r="AM613" i="4"/>
  <c r="AN613" i="4"/>
  <c r="AO613" i="4"/>
  <c r="F614" i="4"/>
  <c r="G614" i="4"/>
  <c r="H614" i="4"/>
  <c r="I614" i="4"/>
  <c r="L614" i="4"/>
  <c r="M614" i="4"/>
  <c r="N614" i="4"/>
  <c r="O614" i="4"/>
  <c r="R614" i="4"/>
  <c r="S614" i="4"/>
  <c r="T614" i="4"/>
  <c r="U614" i="4"/>
  <c r="W614" i="4"/>
  <c r="Z614" i="4"/>
  <c r="AA614" i="4"/>
  <c r="AB614" i="4"/>
  <c r="AC614" i="4"/>
  <c r="AH614" i="4"/>
  <c r="AK614" i="4"/>
  <c r="AL614" i="4"/>
  <c r="AM614" i="4"/>
  <c r="AN614" i="4"/>
  <c r="AO614" i="4"/>
  <c r="F615" i="4"/>
  <c r="G615" i="4"/>
  <c r="H615" i="4"/>
  <c r="I615" i="4"/>
  <c r="L615" i="4"/>
  <c r="M615" i="4"/>
  <c r="N615" i="4"/>
  <c r="O615" i="4"/>
  <c r="R615" i="4"/>
  <c r="S615" i="4"/>
  <c r="T615" i="4"/>
  <c r="U615" i="4"/>
  <c r="W615" i="4"/>
  <c r="Z615" i="4"/>
  <c r="AA615" i="4"/>
  <c r="AB615" i="4"/>
  <c r="AC615" i="4"/>
  <c r="AH615" i="4"/>
  <c r="AK615" i="4"/>
  <c r="AL615" i="4"/>
  <c r="AM615" i="4"/>
  <c r="AN615" i="4"/>
  <c r="AO615" i="4"/>
  <c r="F616" i="4"/>
  <c r="G616" i="4"/>
  <c r="H616" i="4"/>
  <c r="I616" i="4"/>
  <c r="L616" i="4"/>
  <c r="M616" i="4"/>
  <c r="N616" i="4"/>
  <c r="O616" i="4"/>
  <c r="R616" i="4"/>
  <c r="S616" i="4"/>
  <c r="T616" i="4"/>
  <c r="U616" i="4"/>
  <c r="W616" i="4"/>
  <c r="Z616" i="4"/>
  <c r="AA616" i="4"/>
  <c r="AB616" i="4"/>
  <c r="AC616" i="4"/>
  <c r="AH616" i="4"/>
  <c r="AK616" i="4"/>
  <c r="AL616" i="4"/>
  <c r="AM616" i="4"/>
  <c r="AN616" i="4"/>
  <c r="AO616" i="4"/>
  <c r="F617" i="4"/>
  <c r="G617" i="4"/>
  <c r="H617" i="4"/>
  <c r="I617" i="4"/>
  <c r="L617" i="4"/>
  <c r="M617" i="4"/>
  <c r="N617" i="4"/>
  <c r="O617" i="4"/>
  <c r="R617" i="4"/>
  <c r="S617" i="4"/>
  <c r="T617" i="4"/>
  <c r="U617" i="4"/>
  <c r="W617" i="4"/>
  <c r="Z617" i="4"/>
  <c r="AA617" i="4"/>
  <c r="AB617" i="4"/>
  <c r="AC617" i="4"/>
  <c r="AH617" i="4"/>
  <c r="AK617" i="4"/>
  <c r="AL617" i="4"/>
  <c r="AM617" i="4"/>
  <c r="AN617" i="4"/>
  <c r="AO617" i="4"/>
  <c r="F618" i="4"/>
  <c r="G618" i="4"/>
  <c r="H618" i="4"/>
  <c r="I618" i="4"/>
  <c r="L618" i="4"/>
  <c r="M618" i="4"/>
  <c r="N618" i="4"/>
  <c r="O618" i="4"/>
  <c r="R618" i="4"/>
  <c r="S618" i="4"/>
  <c r="T618" i="4"/>
  <c r="U618" i="4"/>
  <c r="W618" i="4"/>
  <c r="Z618" i="4"/>
  <c r="AA618" i="4"/>
  <c r="AB618" i="4"/>
  <c r="AC618" i="4"/>
  <c r="AH618" i="4"/>
  <c r="AK618" i="4"/>
  <c r="AL618" i="4"/>
  <c r="AM618" i="4"/>
  <c r="AN618" i="4"/>
  <c r="AO618" i="4"/>
  <c r="F619" i="4"/>
  <c r="G619" i="4"/>
  <c r="H619" i="4"/>
  <c r="I619" i="4"/>
  <c r="L619" i="4"/>
  <c r="M619" i="4"/>
  <c r="N619" i="4"/>
  <c r="O619" i="4"/>
  <c r="R619" i="4"/>
  <c r="S619" i="4"/>
  <c r="T619" i="4"/>
  <c r="U619" i="4"/>
  <c r="W619" i="4"/>
  <c r="Z619" i="4"/>
  <c r="AA619" i="4"/>
  <c r="AB619" i="4"/>
  <c r="AC619" i="4"/>
  <c r="AH619" i="4"/>
  <c r="AK619" i="4"/>
  <c r="AL619" i="4"/>
  <c r="AM619" i="4"/>
  <c r="AN619" i="4"/>
  <c r="AO619" i="4"/>
  <c r="F620" i="4"/>
  <c r="G620" i="4"/>
  <c r="H620" i="4"/>
  <c r="I620" i="4"/>
  <c r="L620" i="4"/>
  <c r="M620" i="4"/>
  <c r="N620" i="4"/>
  <c r="O620" i="4"/>
  <c r="R620" i="4"/>
  <c r="S620" i="4"/>
  <c r="T620" i="4"/>
  <c r="U620" i="4"/>
  <c r="W620" i="4"/>
  <c r="Z620" i="4"/>
  <c r="AA620" i="4"/>
  <c r="AB620" i="4"/>
  <c r="AC620" i="4"/>
  <c r="AH620" i="4"/>
  <c r="AK620" i="4"/>
  <c r="AL620" i="4"/>
  <c r="AM620" i="4"/>
  <c r="AN620" i="4"/>
  <c r="AO620" i="4"/>
  <c r="F621" i="4"/>
  <c r="G621" i="4"/>
  <c r="H621" i="4"/>
  <c r="I621" i="4"/>
  <c r="L621" i="4"/>
  <c r="M621" i="4"/>
  <c r="N621" i="4"/>
  <c r="O621" i="4"/>
  <c r="R621" i="4"/>
  <c r="S621" i="4"/>
  <c r="T621" i="4"/>
  <c r="U621" i="4"/>
  <c r="W621" i="4"/>
  <c r="Z621" i="4"/>
  <c r="AA621" i="4"/>
  <c r="AB621" i="4"/>
  <c r="AC621" i="4"/>
  <c r="AH621" i="4"/>
  <c r="AK621" i="4"/>
  <c r="AL621" i="4"/>
  <c r="AM621" i="4"/>
  <c r="AN621" i="4"/>
  <c r="AO621" i="4"/>
  <c r="F622" i="4"/>
  <c r="G622" i="4"/>
  <c r="H622" i="4"/>
  <c r="I622" i="4"/>
  <c r="L622" i="4"/>
  <c r="M622" i="4"/>
  <c r="N622" i="4"/>
  <c r="O622" i="4"/>
  <c r="R622" i="4"/>
  <c r="S622" i="4"/>
  <c r="T622" i="4"/>
  <c r="U622" i="4"/>
  <c r="W622" i="4"/>
  <c r="Z622" i="4"/>
  <c r="AA622" i="4"/>
  <c r="AB622" i="4"/>
  <c r="AC622" i="4"/>
  <c r="AH622" i="4"/>
  <c r="AK622" i="4"/>
  <c r="AL622" i="4"/>
  <c r="AM622" i="4"/>
  <c r="AN622" i="4"/>
  <c r="AO622" i="4"/>
  <c r="F623" i="4"/>
  <c r="G623" i="4"/>
  <c r="H623" i="4"/>
  <c r="I623" i="4"/>
  <c r="L623" i="4"/>
  <c r="M623" i="4"/>
  <c r="N623" i="4"/>
  <c r="O623" i="4"/>
  <c r="R623" i="4"/>
  <c r="S623" i="4"/>
  <c r="T623" i="4"/>
  <c r="U623" i="4"/>
  <c r="W623" i="4"/>
  <c r="Z623" i="4"/>
  <c r="AA623" i="4"/>
  <c r="AB623" i="4"/>
  <c r="AC623" i="4"/>
  <c r="AH623" i="4"/>
  <c r="AK623" i="4"/>
  <c r="AL623" i="4"/>
  <c r="AM623" i="4"/>
  <c r="AN623" i="4"/>
  <c r="AO623" i="4"/>
  <c r="F624" i="4"/>
  <c r="G624" i="4"/>
  <c r="H624" i="4"/>
  <c r="I624" i="4"/>
  <c r="L624" i="4"/>
  <c r="M624" i="4"/>
  <c r="N624" i="4"/>
  <c r="O624" i="4"/>
  <c r="R624" i="4"/>
  <c r="S624" i="4"/>
  <c r="T624" i="4"/>
  <c r="U624" i="4"/>
  <c r="W624" i="4"/>
  <c r="Z624" i="4"/>
  <c r="AA624" i="4"/>
  <c r="AB624" i="4"/>
  <c r="AC624" i="4"/>
  <c r="AH624" i="4"/>
  <c r="AK624" i="4"/>
  <c r="AL624" i="4"/>
  <c r="AM624" i="4"/>
  <c r="AN624" i="4"/>
  <c r="AO624" i="4"/>
  <c r="F625" i="4"/>
  <c r="G625" i="4"/>
  <c r="H625" i="4"/>
  <c r="I625" i="4"/>
  <c r="L625" i="4"/>
  <c r="M625" i="4"/>
  <c r="N625" i="4"/>
  <c r="O625" i="4"/>
  <c r="R625" i="4"/>
  <c r="S625" i="4"/>
  <c r="T625" i="4"/>
  <c r="U625" i="4"/>
  <c r="W625" i="4"/>
  <c r="Z625" i="4"/>
  <c r="AA625" i="4"/>
  <c r="AB625" i="4"/>
  <c r="AC625" i="4"/>
  <c r="AH625" i="4"/>
  <c r="AK625" i="4"/>
  <c r="AL625" i="4"/>
  <c r="AM625" i="4"/>
  <c r="AN625" i="4"/>
  <c r="AO625" i="4"/>
  <c r="F626" i="4"/>
  <c r="G626" i="4"/>
  <c r="H626" i="4"/>
  <c r="I626" i="4"/>
  <c r="L626" i="4"/>
  <c r="M626" i="4"/>
  <c r="N626" i="4"/>
  <c r="O626" i="4"/>
  <c r="R626" i="4"/>
  <c r="S626" i="4"/>
  <c r="T626" i="4"/>
  <c r="U626" i="4"/>
  <c r="W626" i="4"/>
  <c r="Z626" i="4"/>
  <c r="AA626" i="4"/>
  <c r="AB626" i="4"/>
  <c r="AC626" i="4"/>
  <c r="AH626" i="4"/>
  <c r="AK626" i="4"/>
  <c r="AL626" i="4"/>
  <c r="AM626" i="4"/>
  <c r="AN626" i="4"/>
  <c r="AO626" i="4"/>
  <c r="F627" i="4"/>
  <c r="G627" i="4"/>
  <c r="H627" i="4"/>
  <c r="I627" i="4"/>
  <c r="L627" i="4"/>
  <c r="M627" i="4"/>
  <c r="N627" i="4"/>
  <c r="O627" i="4"/>
  <c r="R627" i="4"/>
  <c r="S627" i="4"/>
  <c r="T627" i="4"/>
  <c r="U627" i="4"/>
  <c r="W627" i="4"/>
  <c r="Z627" i="4"/>
  <c r="AA627" i="4"/>
  <c r="AB627" i="4"/>
  <c r="AC627" i="4"/>
  <c r="AH627" i="4"/>
  <c r="AK627" i="4"/>
  <c r="AL627" i="4"/>
  <c r="AM627" i="4"/>
  <c r="AN627" i="4"/>
  <c r="AO627" i="4"/>
  <c r="F628" i="4"/>
  <c r="G628" i="4"/>
  <c r="H628" i="4"/>
  <c r="I628" i="4"/>
  <c r="L628" i="4"/>
  <c r="M628" i="4"/>
  <c r="N628" i="4"/>
  <c r="O628" i="4"/>
  <c r="R628" i="4"/>
  <c r="S628" i="4"/>
  <c r="T628" i="4"/>
  <c r="U628" i="4"/>
  <c r="W628" i="4"/>
  <c r="Z628" i="4"/>
  <c r="AA628" i="4"/>
  <c r="AB628" i="4"/>
  <c r="AC628" i="4"/>
  <c r="AH628" i="4"/>
  <c r="AK628" i="4"/>
  <c r="AL628" i="4"/>
  <c r="AM628" i="4"/>
  <c r="AN628" i="4"/>
  <c r="AO628" i="4"/>
  <c r="F629" i="4"/>
  <c r="G629" i="4"/>
  <c r="H629" i="4"/>
  <c r="I629" i="4"/>
  <c r="L629" i="4"/>
  <c r="M629" i="4"/>
  <c r="N629" i="4"/>
  <c r="O629" i="4"/>
  <c r="R629" i="4"/>
  <c r="S629" i="4"/>
  <c r="T629" i="4"/>
  <c r="U629" i="4"/>
  <c r="W629" i="4"/>
  <c r="Z629" i="4"/>
  <c r="AA629" i="4"/>
  <c r="AB629" i="4"/>
  <c r="AC629" i="4"/>
  <c r="AH629" i="4"/>
  <c r="AK629" i="4"/>
  <c r="AL629" i="4"/>
  <c r="AM629" i="4"/>
  <c r="AN629" i="4"/>
  <c r="AO629" i="4"/>
  <c r="F630" i="4"/>
  <c r="G630" i="4"/>
  <c r="H630" i="4"/>
  <c r="I630" i="4"/>
  <c r="L630" i="4"/>
  <c r="M630" i="4"/>
  <c r="N630" i="4"/>
  <c r="O630" i="4"/>
  <c r="R630" i="4"/>
  <c r="S630" i="4"/>
  <c r="T630" i="4"/>
  <c r="U630" i="4"/>
  <c r="W630" i="4"/>
  <c r="Z630" i="4"/>
  <c r="AA630" i="4"/>
  <c r="AB630" i="4"/>
  <c r="AC630" i="4"/>
  <c r="AH630" i="4"/>
  <c r="AK630" i="4"/>
  <c r="AL630" i="4"/>
  <c r="AM630" i="4"/>
  <c r="AN630" i="4"/>
  <c r="AO630" i="4"/>
  <c r="F631" i="4"/>
  <c r="G631" i="4"/>
  <c r="H631" i="4"/>
  <c r="I631" i="4"/>
  <c r="L631" i="4"/>
  <c r="M631" i="4"/>
  <c r="N631" i="4"/>
  <c r="O631" i="4"/>
  <c r="R631" i="4"/>
  <c r="S631" i="4"/>
  <c r="T631" i="4"/>
  <c r="U631" i="4"/>
  <c r="W631" i="4"/>
  <c r="Z631" i="4"/>
  <c r="AA631" i="4"/>
  <c r="AB631" i="4"/>
  <c r="AC631" i="4"/>
  <c r="AH631" i="4"/>
  <c r="AK631" i="4"/>
  <c r="AL631" i="4"/>
  <c r="AM631" i="4"/>
  <c r="AN631" i="4"/>
  <c r="AO631" i="4"/>
  <c r="F632" i="4"/>
  <c r="G632" i="4"/>
  <c r="H632" i="4"/>
  <c r="I632" i="4"/>
  <c r="L632" i="4"/>
  <c r="M632" i="4"/>
  <c r="N632" i="4"/>
  <c r="O632" i="4"/>
  <c r="R632" i="4"/>
  <c r="S632" i="4"/>
  <c r="T632" i="4"/>
  <c r="U632" i="4"/>
  <c r="W632" i="4"/>
  <c r="Z632" i="4"/>
  <c r="AA632" i="4"/>
  <c r="AB632" i="4"/>
  <c r="AC632" i="4"/>
  <c r="AH632" i="4"/>
  <c r="AK632" i="4"/>
  <c r="AL632" i="4"/>
  <c r="AM632" i="4"/>
  <c r="AN632" i="4"/>
  <c r="AO632" i="4"/>
  <c r="F633" i="4"/>
  <c r="G633" i="4"/>
  <c r="H633" i="4"/>
  <c r="I633" i="4"/>
  <c r="L633" i="4"/>
  <c r="M633" i="4"/>
  <c r="N633" i="4"/>
  <c r="O633" i="4"/>
  <c r="R633" i="4"/>
  <c r="S633" i="4"/>
  <c r="T633" i="4"/>
  <c r="U633" i="4"/>
  <c r="W633" i="4"/>
  <c r="Z633" i="4"/>
  <c r="AA633" i="4"/>
  <c r="AB633" i="4"/>
  <c r="AC633" i="4"/>
  <c r="AH633" i="4"/>
  <c r="AK633" i="4"/>
  <c r="AL633" i="4"/>
  <c r="AM633" i="4"/>
  <c r="AN633" i="4"/>
  <c r="AO633" i="4"/>
  <c r="F634" i="4"/>
  <c r="G634" i="4"/>
  <c r="H634" i="4"/>
  <c r="I634" i="4"/>
  <c r="L634" i="4"/>
  <c r="M634" i="4"/>
  <c r="N634" i="4"/>
  <c r="O634" i="4"/>
  <c r="R634" i="4"/>
  <c r="S634" i="4"/>
  <c r="T634" i="4"/>
  <c r="U634" i="4"/>
  <c r="W634" i="4"/>
  <c r="Z634" i="4"/>
  <c r="AA634" i="4"/>
  <c r="AB634" i="4"/>
  <c r="AC634" i="4"/>
  <c r="AH634" i="4"/>
  <c r="AK634" i="4"/>
  <c r="AL634" i="4"/>
  <c r="AM634" i="4"/>
  <c r="AN634" i="4"/>
  <c r="AO634" i="4"/>
  <c r="F635" i="4"/>
  <c r="G635" i="4"/>
  <c r="H635" i="4"/>
  <c r="I635" i="4"/>
  <c r="L635" i="4"/>
  <c r="M635" i="4"/>
  <c r="N635" i="4"/>
  <c r="O635" i="4"/>
  <c r="R635" i="4"/>
  <c r="S635" i="4"/>
  <c r="T635" i="4"/>
  <c r="U635" i="4"/>
  <c r="W635" i="4"/>
  <c r="Z635" i="4"/>
  <c r="AA635" i="4"/>
  <c r="AB635" i="4"/>
  <c r="AC635" i="4"/>
  <c r="AH635" i="4"/>
  <c r="AK635" i="4"/>
  <c r="AL635" i="4"/>
  <c r="AM635" i="4"/>
  <c r="AN635" i="4"/>
  <c r="AO635" i="4"/>
  <c r="F636" i="4"/>
  <c r="G636" i="4"/>
  <c r="H636" i="4"/>
  <c r="I636" i="4"/>
  <c r="L636" i="4"/>
  <c r="M636" i="4"/>
  <c r="N636" i="4"/>
  <c r="O636" i="4"/>
  <c r="R636" i="4"/>
  <c r="S636" i="4"/>
  <c r="T636" i="4"/>
  <c r="U636" i="4"/>
  <c r="W636" i="4"/>
  <c r="Z636" i="4"/>
  <c r="AA636" i="4"/>
  <c r="AB636" i="4"/>
  <c r="AC636" i="4"/>
  <c r="AH636" i="4"/>
  <c r="AK636" i="4"/>
  <c r="AL636" i="4"/>
  <c r="AM636" i="4"/>
  <c r="AN636" i="4"/>
  <c r="AO636" i="4"/>
  <c r="F637" i="4"/>
  <c r="G637" i="4"/>
  <c r="H637" i="4"/>
  <c r="I637" i="4"/>
  <c r="L637" i="4"/>
  <c r="M637" i="4"/>
  <c r="N637" i="4"/>
  <c r="O637" i="4"/>
  <c r="R637" i="4"/>
  <c r="S637" i="4"/>
  <c r="T637" i="4"/>
  <c r="U637" i="4"/>
  <c r="W637" i="4"/>
  <c r="Z637" i="4"/>
  <c r="AA637" i="4"/>
  <c r="AB637" i="4"/>
  <c r="AC637" i="4"/>
  <c r="AH637" i="4"/>
  <c r="AK637" i="4"/>
  <c r="AL637" i="4"/>
  <c r="AM637" i="4"/>
  <c r="AN637" i="4"/>
  <c r="AO637" i="4"/>
  <c r="F638" i="4"/>
  <c r="G638" i="4"/>
  <c r="H638" i="4"/>
  <c r="I638" i="4"/>
  <c r="L638" i="4"/>
  <c r="M638" i="4"/>
  <c r="N638" i="4"/>
  <c r="O638" i="4"/>
  <c r="R638" i="4"/>
  <c r="S638" i="4"/>
  <c r="T638" i="4"/>
  <c r="U638" i="4"/>
  <c r="W638" i="4"/>
  <c r="Z638" i="4"/>
  <c r="AA638" i="4"/>
  <c r="AB638" i="4"/>
  <c r="AC638" i="4"/>
  <c r="AH638" i="4"/>
  <c r="AK638" i="4"/>
  <c r="AL638" i="4"/>
  <c r="AM638" i="4"/>
  <c r="AN638" i="4"/>
  <c r="AO638" i="4"/>
  <c r="F639" i="4"/>
  <c r="G639" i="4"/>
  <c r="H639" i="4"/>
  <c r="I639" i="4"/>
  <c r="L639" i="4"/>
  <c r="M639" i="4"/>
  <c r="N639" i="4"/>
  <c r="O639" i="4"/>
  <c r="R639" i="4"/>
  <c r="S639" i="4"/>
  <c r="T639" i="4"/>
  <c r="U639" i="4"/>
  <c r="W639" i="4"/>
  <c r="Z639" i="4"/>
  <c r="AA639" i="4"/>
  <c r="AB639" i="4"/>
  <c r="AC639" i="4"/>
  <c r="AH639" i="4"/>
  <c r="AK639" i="4"/>
  <c r="AL639" i="4"/>
  <c r="AM639" i="4"/>
  <c r="AN639" i="4"/>
  <c r="AO639" i="4"/>
  <c r="F640" i="4"/>
  <c r="G640" i="4"/>
  <c r="H640" i="4"/>
  <c r="I640" i="4"/>
  <c r="L640" i="4"/>
  <c r="M640" i="4"/>
  <c r="N640" i="4"/>
  <c r="O640" i="4"/>
  <c r="R640" i="4"/>
  <c r="S640" i="4"/>
  <c r="T640" i="4"/>
  <c r="U640" i="4"/>
  <c r="W640" i="4"/>
  <c r="Z640" i="4"/>
  <c r="AA640" i="4"/>
  <c r="AB640" i="4"/>
  <c r="AC640" i="4"/>
  <c r="AH640" i="4"/>
  <c r="AK640" i="4"/>
  <c r="AL640" i="4"/>
  <c r="AM640" i="4"/>
  <c r="AN640" i="4"/>
  <c r="AO640" i="4"/>
  <c r="F641" i="4"/>
  <c r="G641" i="4"/>
  <c r="H641" i="4"/>
  <c r="I641" i="4"/>
  <c r="L641" i="4"/>
  <c r="M641" i="4"/>
  <c r="N641" i="4"/>
  <c r="O641" i="4"/>
  <c r="R641" i="4"/>
  <c r="S641" i="4"/>
  <c r="T641" i="4"/>
  <c r="U641" i="4"/>
  <c r="W641" i="4"/>
  <c r="Z641" i="4"/>
  <c r="AA641" i="4"/>
  <c r="AB641" i="4"/>
  <c r="AC641" i="4"/>
  <c r="AH641" i="4"/>
  <c r="AK641" i="4"/>
  <c r="AL641" i="4"/>
  <c r="AM641" i="4"/>
  <c r="AN641" i="4"/>
  <c r="AO641" i="4"/>
  <c r="F642" i="4"/>
  <c r="G642" i="4"/>
  <c r="H642" i="4"/>
  <c r="I642" i="4"/>
  <c r="L642" i="4"/>
  <c r="M642" i="4"/>
  <c r="N642" i="4"/>
  <c r="O642" i="4"/>
  <c r="R642" i="4"/>
  <c r="S642" i="4"/>
  <c r="T642" i="4"/>
  <c r="U642" i="4"/>
  <c r="W642" i="4"/>
  <c r="Z642" i="4"/>
  <c r="AA642" i="4"/>
  <c r="AB642" i="4"/>
  <c r="AC642" i="4"/>
  <c r="AH642" i="4"/>
  <c r="AK642" i="4"/>
  <c r="AL642" i="4"/>
  <c r="AM642" i="4"/>
  <c r="AN642" i="4"/>
  <c r="AO642" i="4"/>
  <c r="F643" i="4"/>
  <c r="G643" i="4"/>
  <c r="H643" i="4"/>
  <c r="I643" i="4"/>
  <c r="L643" i="4"/>
  <c r="M643" i="4"/>
  <c r="N643" i="4"/>
  <c r="O643" i="4"/>
  <c r="R643" i="4"/>
  <c r="S643" i="4"/>
  <c r="T643" i="4"/>
  <c r="U643" i="4"/>
  <c r="W643" i="4"/>
  <c r="Z643" i="4"/>
  <c r="AA643" i="4"/>
  <c r="AB643" i="4"/>
  <c r="AC643" i="4"/>
  <c r="AH643" i="4"/>
  <c r="AK643" i="4"/>
  <c r="AL643" i="4"/>
  <c r="AM643" i="4"/>
  <c r="AN643" i="4"/>
  <c r="AO643" i="4"/>
  <c r="F644" i="4"/>
  <c r="G644" i="4"/>
  <c r="H644" i="4"/>
  <c r="I644" i="4"/>
  <c r="L644" i="4"/>
  <c r="M644" i="4"/>
  <c r="N644" i="4"/>
  <c r="O644" i="4"/>
  <c r="R644" i="4"/>
  <c r="S644" i="4"/>
  <c r="T644" i="4"/>
  <c r="U644" i="4"/>
  <c r="W644" i="4"/>
  <c r="Z644" i="4"/>
  <c r="AA644" i="4"/>
  <c r="AB644" i="4"/>
  <c r="AC644" i="4"/>
  <c r="AH644" i="4"/>
  <c r="AK644" i="4"/>
  <c r="AL644" i="4"/>
  <c r="AM644" i="4"/>
  <c r="AN644" i="4"/>
  <c r="AO644" i="4"/>
  <c r="F645" i="4"/>
  <c r="G645" i="4"/>
  <c r="H645" i="4"/>
  <c r="I645" i="4"/>
  <c r="L645" i="4"/>
  <c r="M645" i="4"/>
  <c r="N645" i="4"/>
  <c r="O645" i="4"/>
  <c r="R645" i="4"/>
  <c r="S645" i="4"/>
  <c r="T645" i="4"/>
  <c r="U645" i="4"/>
  <c r="W645" i="4"/>
  <c r="Z645" i="4"/>
  <c r="AA645" i="4"/>
  <c r="AB645" i="4"/>
  <c r="AC645" i="4"/>
  <c r="AH645" i="4"/>
  <c r="AK645" i="4"/>
  <c r="AL645" i="4"/>
  <c r="AM645" i="4"/>
  <c r="AN645" i="4"/>
  <c r="AO645" i="4"/>
  <c r="W68" i="4" l="1"/>
  <c r="Z68" i="4" s="1"/>
  <c r="W69" i="4"/>
  <c r="Z69" i="4" s="1"/>
  <c r="W70" i="4"/>
  <c r="Z70" i="4" s="1"/>
  <c r="W71" i="4"/>
  <c r="Z71" i="4" s="1"/>
  <c r="W72" i="4"/>
  <c r="Z72" i="4" s="1"/>
  <c r="W73" i="4"/>
  <c r="Z73" i="4" s="1"/>
  <c r="W74" i="4"/>
  <c r="Z74" i="4" s="1"/>
  <c r="W75" i="4"/>
  <c r="Z75" i="4" s="1"/>
  <c r="W76" i="4"/>
  <c r="Z76" i="4" s="1"/>
  <c r="W77" i="4"/>
  <c r="Z77" i="4" s="1"/>
  <c r="W78" i="4"/>
  <c r="Z78" i="4" s="1"/>
  <c r="W79" i="4"/>
  <c r="Z79" i="4" s="1"/>
  <c r="W80" i="4"/>
  <c r="Z80" i="4" s="1"/>
  <c r="W81" i="4"/>
  <c r="Z81" i="4" s="1"/>
  <c r="W82" i="4"/>
  <c r="Z82" i="4" s="1"/>
  <c r="W83" i="4"/>
  <c r="Z83" i="4" s="1"/>
  <c r="W84" i="4"/>
  <c r="Z84" i="4" s="1"/>
  <c r="W85" i="4"/>
  <c r="Z85" i="4" s="1"/>
  <c r="W86" i="4"/>
  <c r="Z86" i="4" s="1"/>
  <c r="W87" i="4"/>
  <c r="Z87" i="4" s="1"/>
  <c r="W88" i="4"/>
  <c r="Z88" i="4" s="1"/>
  <c r="W89" i="4"/>
  <c r="Z89" i="4" s="1"/>
  <c r="W90" i="4"/>
  <c r="Z90" i="4" s="1"/>
  <c r="W91" i="4"/>
  <c r="Z91" i="4" s="1"/>
  <c r="W92" i="4"/>
  <c r="Z92" i="4" s="1"/>
  <c r="W93" i="4"/>
  <c r="Z93" i="4" s="1"/>
  <c r="W94" i="4"/>
  <c r="Z94" i="4" s="1"/>
  <c r="W95" i="4"/>
  <c r="Z95" i="4" s="1"/>
  <c r="W96" i="4"/>
  <c r="Z96" i="4" s="1"/>
  <c r="W97" i="4"/>
  <c r="Z97" i="4" s="1"/>
  <c r="W98" i="4"/>
  <c r="Z98" i="4" s="1"/>
  <c r="W99" i="4"/>
  <c r="Z99" i="4" s="1"/>
  <c r="W100" i="4"/>
  <c r="Z100" i="4" s="1"/>
  <c r="W101" i="4"/>
  <c r="Z101" i="4" s="1"/>
  <c r="W102" i="4"/>
  <c r="Z102" i="4" s="1"/>
  <c r="N127" i="21"/>
  <c r="N128" i="21"/>
  <c r="N129" i="21"/>
  <c r="N130" i="21"/>
  <c r="N131" i="21"/>
  <c r="N132" i="21"/>
  <c r="N133" i="21"/>
  <c r="N134" i="21"/>
  <c r="N135" i="21"/>
  <c r="N136" i="21"/>
  <c r="N126" i="21"/>
  <c r="N116" i="21" l="1"/>
  <c r="N117" i="21"/>
  <c r="N118" i="21"/>
  <c r="N119" i="21"/>
  <c r="N120" i="21"/>
  <c r="N121" i="21"/>
  <c r="N122" i="21"/>
  <c r="N123" i="21"/>
  <c r="N124" i="21"/>
  <c r="N125" i="21"/>
  <c r="N115" i="21" l="1"/>
  <c r="N108" i="21" l="1"/>
  <c r="N107" i="21"/>
  <c r="N101" i="21"/>
  <c r="N102" i="21"/>
  <c r="N103" i="21"/>
  <c r="N104" i="21"/>
  <c r="N105" i="21"/>
  <c r="N106" i="21"/>
  <c r="N95" i="21" l="1"/>
  <c r="N92" i="21"/>
  <c r="N93" i="21"/>
  <c r="N94" i="21"/>
  <c r="N96" i="21"/>
  <c r="N97" i="21"/>
  <c r="N98" i="21"/>
  <c r="N99" i="21"/>
  <c r="N100" i="21"/>
  <c r="N109" i="21"/>
  <c r="N110" i="21"/>
  <c r="N111" i="21"/>
  <c r="N112" i="21"/>
  <c r="N113" i="21"/>
  <c r="N114" i="21"/>
  <c r="N90" i="21" l="1"/>
  <c r="N91" i="21"/>
  <c r="N84" i="21" l="1"/>
  <c r="N85" i="21"/>
  <c r="N86" i="21"/>
  <c r="N87" i="21"/>
  <c r="N88" i="21"/>
  <c r="N89" i="21"/>
  <c r="N82" i="21" l="1"/>
  <c r="N81" i="21"/>
  <c r="N83" i="21"/>
  <c r="W81" i="21"/>
  <c r="W80" i="21"/>
  <c r="W79" i="21"/>
  <c r="N56" i="21"/>
  <c r="N55" i="21"/>
  <c r="N54" i="21"/>
  <c r="N53" i="21"/>
  <c r="N52" i="21"/>
  <c r="N51" i="21"/>
  <c r="N50" i="21"/>
  <c r="N49" i="21"/>
  <c r="N48" i="21"/>
  <c r="N47" i="21"/>
  <c r="N46" i="21"/>
  <c r="N45" i="21"/>
  <c r="N44" i="21"/>
  <c r="N43" i="21"/>
  <c r="N42" i="21"/>
  <c r="N41" i="21"/>
  <c r="N40" i="21"/>
  <c r="N39" i="21"/>
  <c r="N38" i="21"/>
  <c r="N37" i="21"/>
  <c r="N36" i="21"/>
  <c r="N35" i="21"/>
  <c r="N34" i="21"/>
  <c r="N33" i="21"/>
  <c r="N32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57" i="21"/>
  <c r="U129" i="6" l="1"/>
  <c r="T129" i="6"/>
  <c r="H11" i="20" l="1"/>
  <c r="E7" i="20"/>
  <c r="H7" i="20"/>
  <c r="I22" i="20"/>
  <c r="I21" i="20"/>
  <c r="I20" i="20"/>
  <c r="I19" i="20"/>
  <c r="I18" i="20" l="1"/>
  <c r="I5" i="20"/>
  <c r="I6" i="20"/>
  <c r="I17" i="20"/>
  <c r="I7" i="20" l="1"/>
  <c r="P3" i="3" l="1"/>
  <c r="T3" i="3" l="1"/>
  <c r="R3" i="3"/>
  <c r="Q3" i="3"/>
  <c r="K3" i="3"/>
  <c r="J3" i="3"/>
  <c r="E675" i="4" l="1" a="1"/>
  <c r="AO675" i="4" a="1"/>
  <c r="P160" i="6" a="1"/>
  <c r="C133" i="6" a="1"/>
  <c r="A675" i="4"/>
  <c r="D675" i="4"/>
  <c r="H59" i="8" l="1"/>
  <c r="G59" i="8"/>
  <c r="F59" i="8"/>
  <c r="E59" i="8"/>
  <c r="D59" i="8"/>
  <c r="C59" i="8"/>
  <c r="J58" i="8"/>
  <c r="I58" i="8"/>
  <c r="L58" i="8" s="1"/>
  <c r="H58" i="8"/>
  <c r="G58" i="8"/>
  <c r="F58" i="8"/>
  <c r="E58" i="8"/>
  <c r="D58" i="8"/>
  <c r="C58" i="8"/>
  <c r="C51" i="8"/>
  <c r="D51" i="8"/>
  <c r="E51" i="8"/>
  <c r="F51" i="8"/>
  <c r="G51" i="8"/>
  <c r="H51" i="8"/>
  <c r="I51" i="8"/>
  <c r="L51" i="8" s="1"/>
  <c r="J51" i="8"/>
  <c r="C52" i="8"/>
  <c r="D52" i="8"/>
  <c r="E52" i="8"/>
  <c r="F52" i="8"/>
  <c r="G52" i="8"/>
  <c r="H52" i="8"/>
  <c r="I52" i="8"/>
  <c r="L52" i="8" s="1"/>
  <c r="J52" i="8"/>
  <c r="C53" i="8"/>
  <c r="D53" i="8"/>
  <c r="E53" i="8"/>
  <c r="F53" i="8"/>
  <c r="G53" i="8"/>
  <c r="H53" i="8"/>
  <c r="I53" i="8"/>
  <c r="L53" i="8" s="1"/>
  <c r="J53" i="8"/>
  <c r="C54" i="8"/>
  <c r="D54" i="8"/>
  <c r="E54" i="8"/>
  <c r="F54" i="8"/>
  <c r="G54" i="8"/>
  <c r="H54" i="8"/>
  <c r="I54" i="8"/>
  <c r="L54" i="8" s="1"/>
  <c r="J54" i="8"/>
  <c r="C55" i="8"/>
  <c r="D55" i="8"/>
  <c r="E55" i="8"/>
  <c r="F55" i="8"/>
  <c r="G55" i="8"/>
  <c r="H55" i="8"/>
  <c r="I55" i="8"/>
  <c r="L55" i="8" s="1"/>
  <c r="J55" i="8"/>
  <c r="C56" i="8"/>
  <c r="D56" i="8"/>
  <c r="E56" i="8"/>
  <c r="F56" i="8"/>
  <c r="G56" i="8"/>
  <c r="H56" i="8"/>
  <c r="I56" i="8"/>
  <c r="L56" i="8" s="1"/>
  <c r="J56" i="8"/>
  <c r="C57" i="8"/>
  <c r="D57" i="8"/>
  <c r="E57" i="8"/>
  <c r="F57" i="8"/>
  <c r="G57" i="8"/>
  <c r="H57" i="8"/>
  <c r="I57" i="8"/>
  <c r="J57" i="8"/>
  <c r="C62" i="8"/>
  <c r="D62" i="8"/>
  <c r="E62" i="8"/>
  <c r="F62" i="8"/>
  <c r="G62" i="8"/>
  <c r="H62" i="8"/>
  <c r="I62" i="8"/>
  <c r="L62" i="8" s="1"/>
  <c r="J62" i="8"/>
  <c r="C63" i="8"/>
  <c r="D63" i="8"/>
  <c r="E63" i="8"/>
  <c r="F63" i="8"/>
  <c r="G63" i="8"/>
  <c r="H63" i="8"/>
  <c r="I63" i="8"/>
  <c r="L63" i="8" s="1"/>
  <c r="J63" i="8"/>
  <c r="C64" i="8"/>
  <c r="D64" i="8"/>
  <c r="E64" i="8"/>
  <c r="F64" i="8"/>
  <c r="G64" i="8"/>
  <c r="H64" i="8"/>
  <c r="I64" i="8"/>
  <c r="L64" i="8" s="1"/>
  <c r="J64" i="8"/>
  <c r="C48" i="8"/>
  <c r="D48" i="8"/>
  <c r="E48" i="8"/>
  <c r="F48" i="8"/>
  <c r="G48" i="8"/>
  <c r="C30" i="8"/>
  <c r="D30" i="8"/>
  <c r="E30" i="8"/>
  <c r="F30" i="8"/>
  <c r="G30" i="8"/>
  <c r="H30" i="8"/>
  <c r="C47" i="8"/>
  <c r="D47" i="8"/>
  <c r="E47" i="8"/>
  <c r="F47" i="8"/>
  <c r="G47" i="8"/>
  <c r="H47" i="8"/>
  <c r="I47" i="8"/>
  <c r="L47" i="8" s="1"/>
  <c r="J47" i="8"/>
  <c r="C18" i="8"/>
  <c r="D18" i="8"/>
  <c r="E18" i="8"/>
  <c r="F18" i="8"/>
  <c r="G18" i="8"/>
  <c r="H18" i="8"/>
  <c r="I18" i="8"/>
  <c r="J18" i="8"/>
  <c r="J20" i="8" s="1"/>
  <c r="C25" i="8"/>
  <c r="D25" i="8"/>
  <c r="E25" i="8"/>
  <c r="F25" i="8"/>
  <c r="G25" i="8"/>
  <c r="H25" i="8"/>
  <c r="I25" i="8"/>
  <c r="L25" i="8" s="1"/>
  <c r="J25" i="8"/>
  <c r="C26" i="8"/>
  <c r="D26" i="8"/>
  <c r="E26" i="8"/>
  <c r="F26" i="8"/>
  <c r="G26" i="8"/>
  <c r="H26" i="8"/>
  <c r="I26" i="8"/>
  <c r="L26" i="8" s="1"/>
  <c r="J26" i="8"/>
  <c r="C27" i="8"/>
  <c r="D27" i="8"/>
  <c r="E27" i="8"/>
  <c r="F27" i="8"/>
  <c r="G27" i="8"/>
  <c r="H27" i="8"/>
  <c r="I27" i="8"/>
  <c r="L27" i="8" s="1"/>
  <c r="J27" i="8"/>
  <c r="C28" i="8"/>
  <c r="D28" i="8"/>
  <c r="E28" i="8"/>
  <c r="F28" i="8"/>
  <c r="G28" i="8"/>
  <c r="H28" i="8"/>
  <c r="I28" i="8"/>
  <c r="L28" i="8" s="1"/>
  <c r="J28" i="8"/>
  <c r="C29" i="8"/>
  <c r="D29" i="8"/>
  <c r="E29" i="8"/>
  <c r="F29" i="8"/>
  <c r="G29" i="8"/>
  <c r="H29" i="8"/>
  <c r="I29" i="8"/>
  <c r="J29" i="8"/>
  <c r="C33" i="8"/>
  <c r="D33" i="8"/>
  <c r="E33" i="8"/>
  <c r="F33" i="8"/>
  <c r="G33" i="8"/>
  <c r="H33" i="8"/>
  <c r="I33" i="8"/>
  <c r="L33" i="8" s="1"/>
  <c r="L48" i="8" s="1"/>
  <c r="M48" i="8" s="1"/>
  <c r="J33" i="8"/>
  <c r="J48" i="8" s="1"/>
  <c r="J23" i="8"/>
  <c r="J30" i="8" s="1"/>
  <c r="I23" i="8"/>
  <c r="L23" i="8" s="1"/>
  <c r="L30" i="8" s="1"/>
  <c r="M30" i="8" s="1"/>
  <c r="H23" i="8"/>
  <c r="G23" i="8"/>
  <c r="F23" i="8"/>
  <c r="E23" i="8"/>
  <c r="D23" i="8"/>
  <c r="C23" i="8"/>
  <c r="AH10" i="3"/>
  <c r="AB11" i="3"/>
  <c r="AB10" i="3"/>
  <c r="L59" i="8" l="1"/>
  <c r="M59" i="8" s="1"/>
  <c r="J59" i="8"/>
  <c r="L19" i="8"/>
  <c r="L18" i="8"/>
  <c r="L20" i="8" s="1"/>
  <c r="M20" i="8" s="1"/>
  <c r="L29" i="8"/>
  <c r="P7" i="13" l="1"/>
  <c r="N7" i="13"/>
  <c r="L7" i="13"/>
  <c r="P6" i="13"/>
  <c r="N6" i="13"/>
  <c r="L6" i="13"/>
  <c r="P5" i="13"/>
  <c r="N5" i="13"/>
  <c r="L5" i="13"/>
  <c r="P4" i="13"/>
  <c r="P3" i="13"/>
  <c r="N3" i="13"/>
  <c r="L3" i="13"/>
  <c r="P2" i="13"/>
  <c r="N2" i="13"/>
  <c r="L2" i="13"/>
  <c r="C2" i="8" l="1"/>
  <c r="D2" i="8"/>
  <c r="E2" i="8"/>
  <c r="F2" i="8"/>
  <c r="H2" i="8"/>
  <c r="C6" i="8" l="1"/>
  <c r="D6" i="8"/>
  <c r="E6" i="8"/>
  <c r="F6" i="8"/>
  <c r="H6" i="8"/>
  <c r="I6" i="8"/>
  <c r="C3" i="8" l="1"/>
  <c r="D3" i="8"/>
  <c r="E3" i="8"/>
  <c r="F3" i="8"/>
  <c r="H3" i="8"/>
  <c r="I3" i="8"/>
  <c r="C4" i="8"/>
  <c r="D4" i="8"/>
  <c r="E4" i="8"/>
  <c r="F4" i="8"/>
  <c r="H4" i="8"/>
  <c r="I4" i="8"/>
  <c r="C5" i="8"/>
  <c r="D5" i="8"/>
  <c r="E5" i="8"/>
  <c r="F5" i="8"/>
  <c r="H5" i="8"/>
  <c r="I5" i="8"/>
  <c r="C7" i="8"/>
  <c r="D7" i="8"/>
  <c r="E7" i="8"/>
  <c r="F7" i="8"/>
  <c r="H7" i="8"/>
  <c r="I7" i="8"/>
  <c r="C8" i="8"/>
  <c r="D8" i="8"/>
  <c r="E8" i="8"/>
  <c r="F8" i="8"/>
  <c r="H8" i="8"/>
  <c r="I8" i="8"/>
  <c r="L8" i="8" s="1"/>
  <c r="AF10" i="3" l="1"/>
  <c r="U7" i="17"/>
  <c r="U6" i="17"/>
  <c r="S6" i="17"/>
  <c r="R6" i="17"/>
  <c r="AK10" i="3" l="1"/>
  <c r="AK11" i="3" l="1"/>
  <c r="AE10" i="3"/>
  <c r="AJ10" i="3"/>
  <c r="G8" i="8" l="1"/>
  <c r="G7" i="8"/>
  <c r="G2" i="8"/>
  <c r="G3" i="8"/>
  <c r="G4" i="8"/>
  <c r="G5" i="8"/>
  <c r="G6" i="8"/>
  <c r="J3" i="8" l="1"/>
  <c r="L3" i="8"/>
  <c r="J8" i="8"/>
  <c r="J10" i="8" l="1"/>
  <c r="L10" i="8"/>
  <c r="M10" i="8" s="1"/>
  <c r="AA6" i="7" l="1"/>
  <c r="AA5" i="7"/>
  <c r="Y5" i="7"/>
  <c r="X5" i="7"/>
  <c r="Q25" i="5"/>
  <c r="O27" i="5" s="1"/>
  <c r="R27" i="5" s="1"/>
  <c r="Q4" i="5"/>
  <c r="R4" i="5" s="1"/>
  <c r="Q18" i="5"/>
  <c r="T18" i="5" s="1"/>
  <c r="M8" i="14"/>
  <c r="K18" i="14"/>
  <c r="J18" i="14"/>
  <c r="AD10" i="1"/>
  <c r="J19" i="2"/>
  <c r="T49" i="2"/>
  <c r="P49" i="2"/>
  <c r="J50" i="2" s="1"/>
  <c r="J49" i="2"/>
  <c r="S44" i="2"/>
  <c r="R44" i="2"/>
  <c r="S43" i="2"/>
  <c r="R43" i="2"/>
  <c r="Q49" i="2" s="1"/>
  <c r="P43" i="2"/>
  <c r="N43" i="2"/>
  <c r="L43" i="2"/>
  <c r="J43" i="2"/>
  <c r="H43" i="2"/>
  <c r="E43" i="2"/>
  <c r="C43" i="2"/>
  <c r="T39" i="2"/>
  <c r="P39" i="2"/>
  <c r="J40" i="2" s="1"/>
  <c r="J39" i="2"/>
  <c r="S34" i="2"/>
  <c r="R34" i="2"/>
  <c r="S33" i="2"/>
  <c r="R33" i="2"/>
  <c r="Q39" i="2" s="1"/>
  <c r="P33" i="2"/>
  <c r="N33" i="2"/>
  <c r="L33" i="2"/>
  <c r="J33" i="2"/>
  <c r="H33" i="2"/>
  <c r="E33" i="2"/>
  <c r="C33" i="2"/>
  <c r="T29" i="2"/>
  <c r="P29" i="2"/>
  <c r="J30" i="2" s="1"/>
  <c r="J29" i="2"/>
  <c r="S24" i="2"/>
  <c r="R24" i="2"/>
  <c r="S23" i="2"/>
  <c r="R23" i="2"/>
  <c r="Q29" i="2" s="1"/>
  <c r="P23" i="2"/>
  <c r="N23" i="2"/>
  <c r="L23" i="2"/>
  <c r="J23" i="2"/>
  <c r="H23" i="2"/>
  <c r="E23" i="2"/>
  <c r="C23" i="2"/>
  <c r="T19" i="2"/>
  <c r="P19" i="2"/>
  <c r="J20" i="2" s="1"/>
  <c r="S5" i="2"/>
  <c r="R5" i="2"/>
  <c r="S4" i="2"/>
  <c r="R4" i="2"/>
  <c r="Q19" i="2" s="1"/>
  <c r="P4" i="2"/>
  <c r="N4" i="2"/>
  <c r="L4" i="2"/>
  <c r="J4" i="2"/>
  <c r="H4" i="2"/>
  <c r="E4" i="2"/>
  <c r="C4" i="2"/>
  <c r="T148" i="6"/>
  <c r="R149" i="6" s="1"/>
  <c r="T143" i="6"/>
  <c r="V143" i="6" s="1"/>
  <c r="T138" i="6"/>
  <c r="W138" i="6" s="1"/>
  <c r="T133" i="6"/>
  <c r="W133" i="6" s="1"/>
  <c r="J25" i="5"/>
  <c r="L25" i="5" s="1"/>
  <c r="C25" i="5"/>
  <c r="H27" i="5" s="1"/>
  <c r="L28" i="5" s="1"/>
  <c r="J18" i="5"/>
  <c r="L18" i="5" s="1"/>
  <c r="C18" i="5"/>
  <c r="D18" i="5" s="1"/>
  <c r="J11" i="5"/>
  <c r="H13" i="5" s="1"/>
  <c r="J13" i="5" s="1"/>
  <c r="C11" i="5"/>
  <c r="D11" i="5" s="1"/>
  <c r="J4" i="5"/>
  <c r="M4" i="5" s="1"/>
  <c r="C4" i="5"/>
  <c r="D4" i="5" s="1"/>
  <c r="M25" i="5"/>
  <c r="T11" i="5"/>
  <c r="S11" i="5"/>
  <c r="R11" i="5"/>
  <c r="O13" i="5"/>
  <c r="S13" i="5" s="1"/>
  <c r="F8" i="5"/>
  <c r="J51" i="2" l="1"/>
  <c r="R49" i="2"/>
  <c r="R50" i="2" s="1"/>
  <c r="A20" i="5"/>
  <c r="E20" i="5" s="1"/>
  <c r="R19" i="2"/>
  <c r="R20" i="2" s="1"/>
  <c r="R25" i="5"/>
  <c r="L11" i="5"/>
  <c r="U133" i="6"/>
  <c r="R144" i="6"/>
  <c r="M18" i="5"/>
  <c r="L4" i="5"/>
  <c r="V138" i="6"/>
  <c r="M11" i="5"/>
  <c r="A13" i="5"/>
  <c r="B13" i="5" s="1"/>
  <c r="J21" i="2"/>
  <c r="W143" i="6"/>
  <c r="J31" i="2"/>
  <c r="O6" i="5"/>
  <c r="S8" i="5" s="1"/>
  <c r="S4" i="5"/>
  <c r="U148" i="6"/>
  <c r="V133" i="6"/>
  <c r="T4" i="5"/>
  <c r="K4" i="5"/>
  <c r="U138" i="6"/>
  <c r="W148" i="6"/>
  <c r="H20" i="5"/>
  <c r="K22" i="5" s="1"/>
  <c r="J41" i="2"/>
  <c r="O20" i="5"/>
  <c r="P22" i="5" s="1"/>
  <c r="R18" i="5"/>
  <c r="R134" i="6"/>
  <c r="V148" i="6"/>
  <c r="S18" i="5"/>
  <c r="T25" i="5"/>
  <c r="R139" i="6"/>
  <c r="R39" i="2"/>
  <c r="R40" i="2" s="1"/>
  <c r="A27" i="5"/>
  <c r="E27" i="5" s="1"/>
  <c r="H6" i="5"/>
  <c r="L7" i="5" s="1"/>
  <c r="U143" i="6"/>
  <c r="R29" i="2"/>
  <c r="S25" i="5"/>
  <c r="D25" i="5"/>
  <c r="R30" i="2"/>
  <c r="R31" i="2"/>
  <c r="R41" i="2"/>
  <c r="R51" i="2"/>
  <c r="P29" i="5"/>
  <c r="M13" i="5"/>
  <c r="T15" i="5"/>
  <c r="U149" i="6"/>
  <c r="T149" i="6"/>
  <c r="M28" i="5"/>
  <c r="V151" i="6"/>
  <c r="X151" i="6" s="1"/>
  <c r="K27" i="5"/>
  <c r="W149" i="6"/>
  <c r="M27" i="5"/>
  <c r="J27" i="5"/>
  <c r="S150" i="6"/>
  <c r="T150" i="6"/>
  <c r="K29" i="5"/>
  <c r="T14" i="5"/>
  <c r="S151" i="6"/>
  <c r="I27" i="5"/>
  <c r="J29" i="5"/>
  <c r="T28" i="5"/>
  <c r="M29" i="5"/>
  <c r="S27" i="5"/>
  <c r="R15" i="5"/>
  <c r="U151" i="6"/>
  <c r="K28" i="5"/>
  <c r="L14" i="5"/>
  <c r="T27" i="5"/>
  <c r="T29" i="5"/>
  <c r="R29" i="5"/>
  <c r="C7" i="5"/>
  <c r="B7" i="5"/>
  <c r="O28" i="5"/>
  <c r="Q28" i="5" s="1"/>
  <c r="S15" i="5"/>
  <c r="J28" i="5"/>
  <c r="I28" i="5"/>
  <c r="D6" i="5"/>
  <c r="R28" i="5"/>
  <c r="S29" i="5"/>
  <c r="S149" i="6"/>
  <c r="U150" i="6"/>
  <c r="Q27" i="5"/>
  <c r="R13" i="5"/>
  <c r="O29" i="5"/>
  <c r="Q29" i="5" s="1"/>
  <c r="S14" i="5"/>
  <c r="R151" i="6"/>
  <c r="W150" i="6"/>
  <c r="S28" i="5"/>
  <c r="P28" i="5"/>
  <c r="V149" i="6"/>
  <c r="X149" i="6" s="1"/>
  <c r="I29" i="5"/>
  <c r="C8" i="5"/>
  <c r="P27" i="5"/>
  <c r="T13" i="5"/>
  <c r="O15" i="5"/>
  <c r="R150" i="6"/>
  <c r="T151" i="6"/>
  <c r="W151" i="6"/>
  <c r="L27" i="5"/>
  <c r="L29" i="5"/>
  <c r="L13" i="5"/>
  <c r="B6" i="5"/>
  <c r="I14" i="5"/>
  <c r="E7" i="5"/>
  <c r="J14" i="5"/>
  <c r="E6" i="5"/>
  <c r="I13" i="5"/>
  <c r="F7" i="5"/>
  <c r="I15" i="5"/>
  <c r="L15" i="5"/>
  <c r="D8" i="5"/>
  <c r="M14" i="5"/>
  <c r="D7" i="5"/>
  <c r="F6" i="5"/>
  <c r="B8" i="5"/>
  <c r="J15" i="5"/>
  <c r="M15" i="5"/>
  <c r="C6" i="5"/>
  <c r="E8" i="5"/>
  <c r="R14" i="5"/>
  <c r="O14" i="5"/>
  <c r="V150" i="6"/>
  <c r="X150" i="6" s="1"/>
  <c r="E13" i="5" l="1"/>
  <c r="F13" i="5"/>
  <c r="I20" i="5"/>
  <c r="T7" i="5"/>
  <c r="M21" i="5"/>
  <c r="E21" i="5"/>
  <c r="J21" i="5"/>
  <c r="S6" i="5"/>
  <c r="C22" i="5"/>
  <c r="L22" i="5"/>
  <c r="E22" i="5"/>
  <c r="B20" i="5"/>
  <c r="F20" i="5"/>
  <c r="O7" i="5"/>
  <c r="R21" i="5"/>
  <c r="S144" i="6"/>
  <c r="R145" i="6"/>
  <c r="V145" i="6" s="1"/>
  <c r="X145" i="6" s="1"/>
  <c r="V144" i="6"/>
  <c r="X144" i="6" s="1"/>
  <c r="U136" i="6"/>
  <c r="T136" i="6"/>
  <c r="U135" i="6"/>
  <c r="U134" i="6"/>
  <c r="U146" i="6"/>
  <c r="V135" i="6"/>
  <c r="X135" i="6" s="1"/>
  <c r="V134" i="6"/>
  <c r="X134" i="6" s="1"/>
  <c r="S146" i="6"/>
  <c r="S145" i="6"/>
  <c r="T146" i="6"/>
  <c r="V146" i="6"/>
  <c r="X146" i="6" s="1"/>
  <c r="S136" i="6"/>
  <c r="S135" i="6"/>
  <c r="W136" i="6"/>
  <c r="T145" i="6"/>
  <c r="V136" i="6"/>
  <c r="X136" i="6" s="1"/>
  <c r="S134" i="6"/>
  <c r="W146" i="6"/>
  <c r="R146" i="6"/>
  <c r="W135" i="6"/>
  <c r="W134" i="6"/>
  <c r="U144" i="6"/>
  <c r="T134" i="6"/>
  <c r="T144" i="6"/>
  <c r="R135" i="6"/>
  <c r="W144" i="6"/>
  <c r="F22" i="5"/>
  <c r="M20" i="5"/>
  <c r="C21" i="5"/>
  <c r="R8" i="5"/>
  <c r="T6" i="5"/>
  <c r="C28" i="5"/>
  <c r="I22" i="5"/>
  <c r="B21" i="5"/>
  <c r="D21" i="5"/>
  <c r="D22" i="5"/>
  <c r="M22" i="5"/>
  <c r="D29" i="5"/>
  <c r="R7" i="5"/>
  <c r="S7" i="5"/>
  <c r="L21" i="5"/>
  <c r="I21" i="5"/>
  <c r="C20" i="5"/>
  <c r="K21" i="5"/>
  <c r="B22" i="5"/>
  <c r="K20" i="5"/>
  <c r="J20" i="5"/>
  <c r="F21" i="5"/>
  <c r="D20" i="5"/>
  <c r="T8" i="5"/>
  <c r="S21" i="5"/>
  <c r="F27" i="5"/>
  <c r="B27" i="5"/>
  <c r="D27" i="5"/>
  <c r="R6" i="5"/>
  <c r="O8" i="5"/>
  <c r="J22" i="5"/>
  <c r="L20" i="5"/>
  <c r="S139" i="6"/>
  <c r="I7" i="5"/>
  <c r="S22" i="5"/>
  <c r="S20" i="5"/>
  <c r="R21" i="2"/>
  <c r="Q20" i="5"/>
  <c r="E14" i="5"/>
  <c r="D13" i="5"/>
  <c r="W139" i="6"/>
  <c r="F14" i="5"/>
  <c r="R22" i="5"/>
  <c r="T21" i="5"/>
  <c r="S140" i="6"/>
  <c r="T20" i="5"/>
  <c r="B14" i="5"/>
  <c r="C13" i="5"/>
  <c r="D14" i="5"/>
  <c r="P21" i="5"/>
  <c r="O21" i="5"/>
  <c r="Q21" i="5" s="1"/>
  <c r="F15" i="5"/>
  <c r="T22" i="5"/>
  <c r="B15" i="5"/>
  <c r="E15" i="5"/>
  <c r="C15" i="5"/>
  <c r="C14" i="5"/>
  <c r="D15" i="5"/>
  <c r="P20" i="5"/>
  <c r="R20" i="5"/>
  <c r="O22" i="5"/>
  <c r="Q22" i="5" s="1"/>
  <c r="V141" i="6"/>
  <c r="X141" i="6" s="1"/>
  <c r="T135" i="6"/>
  <c r="R136" i="6"/>
  <c r="B28" i="5"/>
  <c r="S141" i="6"/>
  <c r="C27" i="5"/>
  <c r="U141" i="6"/>
  <c r="U140" i="6"/>
  <c r="U139" i="6"/>
  <c r="D28" i="5"/>
  <c r="T141" i="6"/>
  <c r="E29" i="5"/>
  <c r="V139" i="6"/>
  <c r="X139" i="6" s="1"/>
  <c r="R141" i="6"/>
  <c r="R140" i="6"/>
  <c r="V140" i="6"/>
  <c r="X140" i="6" s="1"/>
  <c r="F29" i="5"/>
  <c r="T140" i="6"/>
  <c r="W141" i="6"/>
  <c r="F28" i="5"/>
  <c r="T139" i="6"/>
  <c r="W140" i="6"/>
  <c r="E28" i="5"/>
  <c r="B29" i="5"/>
  <c r="C29" i="5"/>
  <c r="J6" i="5"/>
  <c r="L6" i="5"/>
  <c r="J7" i="5"/>
  <c r="M7" i="5"/>
  <c r="M8" i="5"/>
  <c r="J8" i="5"/>
  <c r="I6" i="5"/>
  <c r="I8" i="5"/>
  <c r="K6" i="5"/>
  <c r="M6" i="5"/>
  <c r="K7" i="5"/>
  <c r="L8" i="5"/>
  <c r="K8" i="5"/>
  <c r="T16" i="5"/>
  <c r="M30" i="5"/>
  <c r="M16" i="5"/>
  <c r="T30" i="5"/>
  <c r="W152" i="6"/>
  <c r="F9" i="5"/>
  <c r="W145" i="6" l="1"/>
  <c r="W147" i="6" s="1"/>
  <c r="U145" i="6"/>
  <c r="F23" i="5"/>
  <c r="T9" i="5"/>
  <c r="M23" i="5"/>
  <c r="W137" i="6"/>
  <c r="F30" i="5"/>
  <c r="T23" i="5"/>
  <c r="F16" i="5"/>
  <c r="W142" i="6"/>
  <c r="M9" i="5"/>
  <c r="Q675" i="4" l="1" a="1"/>
  <c r="P160" i="6"/>
  <c r="C133" i="6"/>
  <c r="AO675" i="4"/>
  <c r="Q675" i="4"/>
  <c r="E67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<sst xmlns="http://schemas.openxmlformats.org/spreadsheetml/2006/main" count="4310" uniqueCount="1000">
  <si>
    <t>A to Z Industries</t>
  </si>
  <si>
    <t>A2Z</t>
  </si>
  <si>
    <t>Amitbhai</t>
  </si>
  <si>
    <t>APOLO ROLLERS</t>
  </si>
  <si>
    <t>APR</t>
  </si>
  <si>
    <t>a3</t>
  </si>
  <si>
    <t>Apple Industries</t>
  </si>
  <si>
    <t>APL</t>
  </si>
  <si>
    <t>Jenish</t>
  </si>
  <si>
    <t>b2</t>
  </si>
  <si>
    <t>36,37,38</t>
  </si>
  <si>
    <t>Aumtex India</t>
  </si>
  <si>
    <t>ATE</t>
  </si>
  <si>
    <t>vasantbhai</t>
  </si>
  <si>
    <t>d1</t>
  </si>
  <si>
    <t>Bolton Fastners</t>
  </si>
  <si>
    <t>BF</t>
  </si>
  <si>
    <t>Surya Deep</t>
  </si>
  <si>
    <t>j1</t>
  </si>
  <si>
    <t>41,42</t>
  </si>
  <si>
    <t>BRIGHT CORPORATION</t>
  </si>
  <si>
    <t>BC</t>
  </si>
  <si>
    <t>k3</t>
  </si>
  <si>
    <t>44,45</t>
  </si>
  <si>
    <t>Dhiraj Wire</t>
  </si>
  <si>
    <t>DHR</t>
  </si>
  <si>
    <t>l1</t>
  </si>
  <si>
    <t>47,48</t>
  </si>
  <si>
    <t>Jaydeep Enterprise</t>
  </si>
  <si>
    <t>JE</t>
  </si>
  <si>
    <t>Dipakbhai</t>
  </si>
  <si>
    <t>m2</t>
  </si>
  <si>
    <t>Royal Enterpise   -laxmi</t>
  </si>
  <si>
    <t>ROE</t>
  </si>
  <si>
    <t>Karnal Roller</t>
  </si>
  <si>
    <t>KR</t>
  </si>
  <si>
    <t>Rajubhau</t>
  </si>
  <si>
    <t>n1</t>
  </si>
  <si>
    <t>Kathiawad</t>
  </si>
  <si>
    <t>KTW</t>
  </si>
  <si>
    <t>o1</t>
  </si>
  <si>
    <t>52,53,54</t>
  </si>
  <si>
    <t>KS Diesel</t>
  </si>
  <si>
    <t>KSD</t>
  </si>
  <si>
    <t>Kariabhai</t>
  </si>
  <si>
    <t>p5</t>
  </si>
  <si>
    <t>56,57,58</t>
  </si>
  <si>
    <t>Laxmi Engineering</t>
  </si>
  <si>
    <t>LAX</t>
  </si>
  <si>
    <t>Bavanji</t>
  </si>
  <si>
    <t>r2</t>
  </si>
  <si>
    <t>Macwell</t>
  </si>
  <si>
    <t>MW</t>
  </si>
  <si>
    <t>Chirag</t>
  </si>
  <si>
    <t>s10</t>
  </si>
  <si>
    <t>61,62,63</t>
  </si>
  <si>
    <t>Milan Steel</t>
  </si>
  <si>
    <t>MLN</t>
  </si>
  <si>
    <t>Vimal</t>
  </si>
  <si>
    <t>65,66</t>
  </si>
  <si>
    <t>NARESH STEEL</t>
  </si>
  <si>
    <t>NS</t>
  </si>
  <si>
    <t>NARESH</t>
  </si>
  <si>
    <t>68,69,</t>
  </si>
  <si>
    <t>Orbit Bearing India</t>
  </si>
  <si>
    <t>OBI</t>
  </si>
  <si>
    <t>Sanjay</t>
  </si>
  <si>
    <t>Pelican Engitech Pvt. Ltd</t>
  </si>
  <si>
    <t>PEPL</t>
  </si>
  <si>
    <t>Suraj Shah</t>
  </si>
  <si>
    <t>Perfect Roller</t>
  </si>
  <si>
    <t>DP</t>
  </si>
  <si>
    <t>Dilip</t>
  </si>
  <si>
    <t>Pioneer Steel</t>
  </si>
  <si>
    <t>PNR</t>
  </si>
  <si>
    <t>Siddharth</t>
  </si>
  <si>
    <t>Poonam Engg. S nagar</t>
  </si>
  <si>
    <t>Punm</t>
  </si>
  <si>
    <t>75,76,77</t>
  </si>
  <si>
    <t>Power Fastners</t>
  </si>
  <si>
    <t>PF</t>
  </si>
  <si>
    <t>Dipak</t>
  </si>
  <si>
    <t>Radhika Steel</t>
  </si>
  <si>
    <t>RDK</t>
  </si>
  <si>
    <t>80,81</t>
  </si>
  <si>
    <t>Ravi Corporation</t>
  </si>
  <si>
    <t>RAVI</t>
  </si>
  <si>
    <t>Natubhai</t>
  </si>
  <si>
    <t>Scarlate</t>
  </si>
  <si>
    <t>SCR</t>
  </si>
  <si>
    <t>Pankaj</t>
  </si>
  <si>
    <t>Shiv Shakti</t>
  </si>
  <si>
    <t>SS</t>
  </si>
  <si>
    <t>Dharmesh</t>
  </si>
  <si>
    <t>Shree Khodal Alloy Steel</t>
  </si>
  <si>
    <t>SKAS</t>
  </si>
  <si>
    <t>MANISHBHAI</t>
  </si>
  <si>
    <t xml:space="preserve"> </t>
  </si>
  <si>
    <t>Sitaram Techno Tech</t>
  </si>
  <si>
    <t>Sita</t>
  </si>
  <si>
    <t>Rasikbhai</t>
  </si>
  <si>
    <t>Skill Ball</t>
  </si>
  <si>
    <t>BALL</t>
  </si>
  <si>
    <t>Manish</t>
  </si>
  <si>
    <t>Skill Rolls</t>
  </si>
  <si>
    <t>ROLL</t>
  </si>
  <si>
    <t>Darshan</t>
  </si>
  <si>
    <t>SKP Industries</t>
  </si>
  <si>
    <t>SKP</t>
  </si>
  <si>
    <t>Hitesh Gandhi</t>
  </si>
  <si>
    <t>Star Steel Wire</t>
  </si>
  <si>
    <t>Bhavesh</t>
  </si>
  <si>
    <t>STEEL &amp; BRIGHT CORPORATION</t>
  </si>
  <si>
    <t>S&amp;B</t>
  </si>
  <si>
    <t>United Fastners</t>
  </si>
  <si>
    <t>UNT</t>
  </si>
  <si>
    <t>Maulik/Kalpesh</t>
  </si>
  <si>
    <t>MICRO   PROCESSORS , RAJKOT</t>
  </si>
  <si>
    <t>Mth</t>
  </si>
  <si>
    <t>Id</t>
  </si>
  <si>
    <t>Party</t>
  </si>
  <si>
    <t>Ch. No.</t>
  </si>
  <si>
    <t>Date</t>
  </si>
  <si>
    <t>Recd from</t>
  </si>
  <si>
    <t>Co.</t>
  </si>
  <si>
    <t>Size</t>
  </si>
  <si>
    <t>Self</t>
  </si>
  <si>
    <t>Murlidhar</t>
  </si>
  <si>
    <t>Rajkot</t>
  </si>
  <si>
    <t>Item</t>
  </si>
  <si>
    <t>Wgt slip</t>
  </si>
  <si>
    <t>@</t>
  </si>
  <si>
    <t>Amount</t>
  </si>
  <si>
    <t>Code</t>
  </si>
  <si>
    <t>Fare</t>
  </si>
  <si>
    <t>Apr</t>
  </si>
  <si>
    <t>GST No.</t>
  </si>
  <si>
    <t>Slip</t>
  </si>
  <si>
    <t>FEB</t>
  </si>
  <si>
    <t>os</t>
  </si>
  <si>
    <t>U</t>
  </si>
  <si>
    <t>16.5/8</t>
  </si>
  <si>
    <t>MAR</t>
  </si>
  <si>
    <t>25.4/12</t>
  </si>
  <si>
    <t>11/4, 13/2</t>
  </si>
  <si>
    <t>13/2</t>
  </si>
  <si>
    <t>17.5/3</t>
  </si>
  <si>
    <t>25.4/6</t>
  </si>
  <si>
    <t>20/7,25.4/14</t>
  </si>
  <si>
    <t>Inward</t>
  </si>
  <si>
    <t>Total</t>
  </si>
  <si>
    <t>Mat Handling</t>
  </si>
  <si>
    <t>Outward</t>
  </si>
  <si>
    <t>GST</t>
  </si>
  <si>
    <t>Balance</t>
  </si>
  <si>
    <t>TOTAL</t>
  </si>
  <si>
    <t>SH</t>
  </si>
  <si>
    <t>JSW</t>
  </si>
  <si>
    <t>17.3/4</t>
  </si>
  <si>
    <t>3/92</t>
  </si>
  <si>
    <t>13/3</t>
  </si>
  <si>
    <t>10/2</t>
  </si>
  <si>
    <t>1/188</t>
  </si>
  <si>
    <t>10/1,11/1</t>
  </si>
  <si>
    <t>2/189</t>
  </si>
  <si>
    <t>BHU</t>
  </si>
  <si>
    <t>18.5/10</t>
  </si>
  <si>
    <t xml:space="preserve">V N C </t>
  </si>
  <si>
    <t xml:space="preserve">M V C </t>
  </si>
  <si>
    <t>RENEX</t>
  </si>
  <si>
    <t xml:space="preserve">वि ऍन सी </t>
  </si>
  <si>
    <t xml:space="preserve">एम वि सी </t>
  </si>
  <si>
    <t>रेनेक्स</t>
  </si>
  <si>
    <t>Unique Instruments &amp; Mgrs. Pvt. Ltd No. 118/119, 7th Main Road, 3rd Phase,  Peenya Industrial Area, Banglore - 560058</t>
  </si>
  <si>
    <t>Masters</t>
  </si>
  <si>
    <t>Party Master</t>
  </si>
  <si>
    <t>Furnace Master</t>
  </si>
  <si>
    <t xml:space="preserve">Pot Master </t>
  </si>
  <si>
    <t>Bhadu  Master</t>
  </si>
  <si>
    <t>Remark</t>
  </si>
  <si>
    <t>Gamnu Bhadu</t>
  </si>
  <si>
    <t>Cycle</t>
  </si>
  <si>
    <t>Anku Tractor</t>
  </si>
  <si>
    <t>Co. Name</t>
  </si>
  <si>
    <t>Name</t>
  </si>
  <si>
    <t>Mo. No.</t>
  </si>
  <si>
    <t>R1</t>
  </si>
  <si>
    <t>DT1</t>
  </si>
  <si>
    <t>R2</t>
  </si>
  <si>
    <t>Dt2</t>
  </si>
  <si>
    <t>Transport</t>
  </si>
  <si>
    <t>No.</t>
  </si>
  <si>
    <t>Making Date</t>
  </si>
  <si>
    <t>Kw</t>
  </si>
  <si>
    <t>Dia</t>
  </si>
  <si>
    <t>Ht</t>
  </si>
  <si>
    <t xml:space="preserve"> Btm Plat</t>
  </si>
  <si>
    <t>Wgt</t>
  </si>
  <si>
    <t>700/0.5, 820/4</t>
  </si>
  <si>
    <t>Vehical No.</t>
  </si>
  <si>
    <t>Vehical</t>
  </si>
  <si>
    <t>T</t>
  </si>
  <si>
    <t>Furnace</t>
  </si>
  <si>
    <t>Self/T</t>
  </si>
  <si>
    <t>24ADMFS1017L1Z0</t>
  </si>
  <si>
    <t>30"Dia X 36" Ht</t>
  </si>
  <si>
    <t>ATM</t>
  </si>
  <si>
    <t>Anku Tractor Mavdi</t>
  </si>
  <si>
    <t>A1</t>
  </si>
  <si>
    <t>750/0.5, 790/4.5</t>
  </si>
  <si>
    <t>UPTO 18.5</t>
  </si>
  <si>
    <t>GJ 07  E 2004</t>
  </si>
  <si>
    <t>Tractor</t>
  </si>
  <si>
    <t>deep industries</t>
  </si>
  <si>
    <t>deep</t>
  </si>
  <si>
    <t>deep bhai</t>
  </si>
  <si>
    <t>24BMVPM6097F2ZE</t>
  </si>
  <si>
    <t>ROYAL ENTERPRISE</t>
  </si>
  <si>
    <t>ROYAL</t>
  </si>
  <si>
    <t>PONCH</t>
  </si>
  <si>
    <t>24AGCPM6833D2ZN</t>
  </si>
  <si>
    <t>Pot</t>
  </si>
  <si>
    <t>+ Bhadu</t>
  </si>
  <si>
    <t>24AIYPM4593J1ZF</t>
  </si>
  <si>
    <t>SHIVSAKTI MAHUDI</t>
  </si>
  <si>
    <t>Discard</t>
  </si>
  <si>
    <t>ATV</t>
  </si>
  <si>
    <t>Anku Tractor Vavdi</t>
  </si>
  <si>
    <t>A2</t>
  </si>
  <si>
    <t>700/0.5, 790/5.5</t>
  </si>
  <si>
    <t>ABOVE 18.5</t>
  </si>
  <si>
    <t>GJ 07 AA 2487</t>
  </si>
  <si>
    <t>KRNL</t>
  </si>
  <si>
    <t>98983 04828</t>
  </si>
  <si>
    <t>24AAHFK7524J1Z7</t>
  </si>
  <si>
    <t>ATS</t>
  </si>
  <si>
    <t>Anku Tractor Shaper</t>
  </si>
  <si>
    <t>Bhadu</t>
  </si>
  <si>
    <t>24AALFJ8824G1Z6</t>
  </si>
  <si>
    <t>24"Dia X 30" Ht</t>
  </si>
  <si>
    <t>AGM</t>
  </si>
  <si>
    <t>Anku Gadi Mavdi</t>
  </si>
  <si>
    <t>A3</t>
  </si>
  <si>
    <t>BHARAT TOOLS SYNDICATE</t>
  </si>
  <si>
    <t>BHARAT</t>
  </si>
  <si>
    <t>VEER SHAH</t>
  </si>
  <si>
    <t>+ Bhadu + bandhiya</t>
  </si>
  <si>
    <t>24AEJPK4179D1ZK</t>
  </si>
  <si>
    <t>FC11</t>
  </si>
  <si>
    <t>AGV</t>
  </si>
  <si>
    <t>Anku Gadi Vavdi</t>
  </si>
  <si>
    <t>A4</t>
  </si>
  <si>
    <t>JAYRAM INDUSTRIES</t>
  </si>
  <si>
    <t>JRI</t>
  </si>
  <si>
    <t>24AAIFJ2716J1ZF</t>
  </si>
  <si>
    <t>AGS</t>
  </si>
  <si>
    <t>Anku Gadi Shaper</t>
  </si>
  <si>
    <t>Sp1</t>
  </si>
  <si>
    <t>730/0.5, 785/4.5, 750/0.5, 685/10,685/7</t>
  </si>
  <si>
    <t>97024 88899</t>
  </si>
  <si>
    <t>24AAKCP5420E1ZP</t>
  </si>
  <si>
    <t>SELF</t>
  </si>
  <si>
    <t>Sp2</t>
  </si>
  <si>
    <t>730/0.5, 770/5, 680/7  580 out</t>
  </si>
  <si>
    <t>Pelican 217</t>
  </si>
  <si>
    <t>98251-60044</t>
  </si>
  <si>
    <t>Ponch</t>
  </si>
  <si>
    <t>24ACYPT8042R1ZD</t>
  </si>
  <si>
    <t>HMM</t>
  </si>
  <si>
    <t>Hanif Metador Mavdi</t>
  </si>
  <si>
    <t>Sp3</t>
  </si>
  <si>
    <t>730/0.5, 770/4.5, 760/10 MIN, 10 MIN, 675/10 MIN, 675/9 HR-580 OUT</t>
  </si>
  <si>
    <t>Pelican 363,379</t>
  </si>
  <si>
    <t>94272-63756</t>
  </si>
  <si>
    <t>24AAFFP4304B1ZX</t>
  </si>
  <si>
    <t>36"Dia X 48" Ht</t>
  </si>
  <si>
    <t>HMV</t>
  </si>
  <si>
    <t>Hanif Metador Vavdi</t>
  </si>
  <si>
    <t>Sr1</t>
  </si>
  <si>
    <t>500/0.5, 650/2</t>
  </si>
  <si>
    <t>24AGGPS4974B1ZC</t>
  </si>
  <si>
    <t>52"Dia X 72" PR</t>
  </si>
  <si>
    <t>Teared</t>
  </si>
  <si>
    <t>FC12</t>
  </si>
  <si>
    <t>HMS</t>
  </si>
  <si>
    <t>Hanif Metador Shaper</t>
  </si>
  <si>
    <t>Sr2</t>
  </si>
  <si>
    <t>500/0.5, 650/3</t>
  </si>
  <si>
    <t>Apolo Rollers Pvt Ltd</t>
  </si>
  <si>
    <t>ARP</t>
  </si>
  <si>
    <t>24AASCA2864P1ZZ</t>
  </si>
  <si>
    <t>POWERSPIN ROLLER</t>
  </si>
  <si>
    <t>PPR</t>
  </si>
  <si>
    <t>52"Dia X 78" PR</t>
  </si>
  <si>
    <t xml:space="preserve">VIKRAM CRANE </t>
  </si>
  <si>
    <t>50/TON</t>
  </si>
  <si>
    <t>1000 MINI</t>
  </si>
  <si>
    <t>Sr3</t>
  </si>
  <si>
    <t>500/0.5, 700/2</t>
  </si>
  <si>
    <t>98257-80275</t>
  </si>
  <si>
    <t>Inclu bhadu</t>
  </si>
  <si>
    <t>24AADFA8230B1Z5</t>
  </si>
  <si>
    <t>Shee Ram,Shaper</t>
  </si>
  <si>
    <t>60"Dia X 60" HT PR</t>
  </si>
  <si>
    <t>6 spa</t>
  </si>
  <si>
    <t>78"</t>
  </si>
  <si>
    <t>248"</t>
  </si>
  <si>
    <t>IF(I8="ts",940,IF(I8="tm",440,IF(I8="tv",540,IF(I8="gs",(H8/1000)*150,IF(I8="gv",(H8/1000)*100,)))))</t>
  </si>
  <si>
    <t>FINE THREAD FORM INDUSTRIES</t>
  </si>
  <si>
    <t>FTFI</t>
  </si>
  <si>
    <t>6.00 SPA</t>
  </si>
  <si>
    <t>24AAAFF4063G1ZU</t>
  </si>
  <si>
    <t>98252-20024</t>
  </si>
  <si>
    <t>Madhav</t>
  </si>
  <si>
    <t>PINNACLE FASTENER</t>
  </si>
  <si>
    <t>PNCF</t>
  </si>
  <si>
    <t>24AAQFP2416F1ZD</t>
  </si>
  <si>
    <t>Skill Precision Ball</t>
  </si>
  <si>
    <t>98240-42852</t>
  </si>
  <si>
    <t>24AADCS1840A1Z1</t>
  </si>
  <si>
    <t>JAYRAM,VAVDI</t>
  </si>
  <si>
    <t>IF(V14="ATM",1000,IF(V14="ATV",870,IF(V14="ATS",1000,IF(V14="AGM",(S14/1000)*108,IF(V14="AGV",(S14/1000)*90,IF(V14="AGS",(S14/1000)*100,IF(V14="HMM",450,IF(V14="MHV"450,IF(v14="HMS",640,0))))))))</t>
  </si>
  <si>
    <t>SATYAM FASTENERS</t>
  </si>
  <si>
    <t>SF</t>
  </si>
  <si>
    <t>NANJI BHAI</t>
  </si>
  <si>
    <t>24ADJFS5427P1ZH</t>
  </si>
  <si>
    <t>ACME ROLLER</t>
  </si>
  <si>
    <t>ACME</t>
  </si>
  <si>
    <t>ponch</t>
  </si>
  <si>
    <t>S.V FORGE-SHAPAR</t>
  </si>
  <si>
    <t>SVF</t>
  </si>
  <si>
    <t>98252-21554</t>
  </si>
  <si>
    <t>4.25 050420</t>
  </si>
  <si>
    <t>Ponch + Bandhiya</t>
  </si>
  <si>
    <t>24AAECS6670B1ZK</t>
  </si>
  <si>
    <t>RAVI FASTNER</t>
  </si>
  <si>
    <t>RF</t>
  </si>
  <si>
    <t>Surya Sales Corporation</t>
  </si>
  <si>
    <t>SSC</t>
  </si>
  <si>
    <t>24BKIPS3432H1Z5</t>
  </si>
  <si>
    <t>94262-16075</t>
  </si>
  <si>
    <t>24ARKPG5697C1ZP</t>
  </si>
  <si>
    <t>98242-30308</t>
  </si>
  <si>
    <t>24AABPZ6120F1ZW</t>
  </si>
  <si>
    <t>93777-26391</t>
  </si>
  <si>
    <t>24AAFFS6416H1Z9</t>
  </si>
  <si>
    <t>Shree ram ,Shaper</t>
  </si>
  <si>
    <t>DHJ ENEITECH</t>
  </si>
  <si>
    <t>DHJ</t>
  </si>
  <si>
    <t>24AAKCD3160D1Z2</t>
  </si>
  <si>
    <t>Ravi Shaper</t>
  </si>
  <si>
    <t>97276-35055</t>
  </si>
  <si>
    <t>Allwyn Roller</t>
  </si>
  <si>
    <t>ALR</t>
  </si>
  <si>
    <t>Above 18.5</t>
  </si>
  <si>
    <t>24AALFA0780G1ZO</t>
  </si>
  <si>
    <t>98248-98365</t>
  </si>
  <si>
    <t>24AANPT3570B1ZQ</t>
  </si>
  <si>
    <t>DHIRAJ, Aji</t>
  </si>
  <si>
    <t>94272-06852</t>
  </si>
  <si>
    <t>Old</t>
  </si>
  <si>
    <t>Dhiraj,Aji</t>
  </si>
  <si>
    <t>24DEYPS4604P1ZJ</t>
  </si>
  <si>
    <t>24AAAFL7147B1ZR</t>
  </si>
  <si>
    <t>VAISHALI AUTO ENGINEERING</t>
  </si>
  <si>
    <t>VAE</t>
  </si>
  <si>
    <t>24AAQFV0028D1ZF</t>
  </si>
  <si>
    <t>VARDHMAN METALS</t>
  </si>
  <si>
    <t>VRDM</t>
  </si>
  <si>
    <t>24CBQPD0307J1ZX</t>
  </si>
  <si>
    <t>Jaydev</t>
  </si>
  <si>
    <t>JAIN STEEL INDUSTRIES</t>
  </si>
  <si>
    <t>JAIN</t>
  </si>
  <si>
    <t>sae 4140</t>
  </si>
  <si>
    <t>99988-54266</t>
  </si>
  <si>
    <t>24AAFFM9046H1Z7</t>
  </si>
  <si>
    <t>KHODIYAR,shaper</t>
  </si>
  <si>
    <t>SCARLETT</t>
  </si>
  <si>
    <t>24AAUFS0462N1ZN</t>
  </si>
  <si>
    <t>Kant Industries</t>
  </si>
  <si>
    <t>kant</t>
  </si>
  <si>
    <t>94277-25534</t>
  </si>
  <si>
    <t>24ALSPV9502H1ZK</t>
  </si>
  <si>
    <t>Overseas Alloy</t>
  </si>
  <si>
    <t>OS</t>
  </si>
  <si>
    <t>Material Coming From</t>
  </si>
  <si>
    <t>Overseas Alloys</t>
  </si>
  <si>
    <t>O/s</t>
  </si>
  <si>
    <t>Usha</t>
  </si>
  <si>
    <t>98250-76522</t>
  </si>
  <si>
    <t>Steel House</t>
  </si>
  <si>
    <t>Nitin</t>
  </si>
  <si>
    <t>Survey No. 171/1/32,</t>
  </si>
  <si>
    <t>98250-36153</t>
  </si>
  <si>
    <t>24AAQFS1636K1ZX</t>
  </si>
  <si>
    <t>SIDC Road,</t>
  </si>
  <si>
    <t>Bharat</t>
  </si>
  <si>
    <t>Opp. Pruthavi Cement</t>
  </si>
  <si>
    <t>Veraval (shaper)</t>
  </si>
  <si>
    <t>steelhouse.r@gmail.com</t>
  </si>
  <si>
    <t>Khodal</t>
  </si>
  <si>
    <t>Neco Jeswal</t>
  </si>
  <si>
    <t>93768-54726</t>
  </si>
  <si>
    <t>Plot No. 2320/2/B,</t>
  </si>
  <si>
    <t>Metoda GIDC,</t>
  </si>
  <si>
    <t xml:space="preserve">Rajkot </t>
  </si>
  <si>
    <t>purchase@skasteel.com</t>
  </si>
  <si>
    <t>Steel &amp; Bright Corporation</t>
  </si>
  <si>
    <t>Bhu</t>
  </si>
  <si>
    <t>98258-00693</t>
  </si>
  <si>
    <t>Survey No. 267, N. H. 8B,</t>
  </si>
  <si>
    <t>Jindal</t>
  </si>
  <si>
    <t>Near Capton Polyplast,</t>
  </si>
  <si>
    <t>Shaper</t>
  </si>
  <si>
    <t>23-24</t>
  </si>
  <si>
    <t>LOADING</t>
  </si>
  <si>
    <t>RUNNING</t>
  </si>
  <si>
    <t>READY</t>
  </si>
  <si>
    <t>St Dt</t>
  </si>
  <si>
    <t>Time</t>
  </si>
  <si>
    <t>EndDT</t>
  </si>
  <si>
    <t>End Time</t>
  </si>
  <si>
    <t>D/O Dt, Time</t>
  </si>
  <si>
    <t xml:space="preserve">Lot </t>
  </si>
  <si>
    <t>FC</t>
  </si>
  <si>
    <t xml:space="preserve">No. </t>
  </si>
  <si>
    <t>D/O Dt,       Time</t>
  </si>
  <si>
    <t>258/96</t>
  </si>
  <si>
    <t>257/2</t>
  </si>
  <si>
    <t>26-27</t>
  </si>
  <si>
    <t>MICRO PROCESSORS , RAJKOT</t>
  </si>
  <si>
    <t>MTH</t>
  </si>
  <si>
    <t>Uniq Id</t>
  </si>
  <si>
    <t>Mat</t>
  </si>
  <si>
    <t>Load No.</t>
  </si>
  <si>
    <t>Wgt /Pc</t>
  </si>
  <si>
    <t>Total Wgt</t>
  </si>
  <si>
    <t>LABLE</t>
  </si>
  <si>
    <t>HEAT NO</t>
  </si>
  <si>
    <t>HRB</t>
  </si>
  <si>
    <t>Delivery Date</t>
  </si>
  <si>
    <t>Our Ch No.</t>
  </si>
  <si>
    <t>HR READY</t>
  </si>
  <si>
    <t>E-WAY BILL
OUTWARD</t>
  </si>
  <si>
    <t>Material  Rate</t>
  </si>
  <si>
    <t>Material Amount</t>
  </si>
  <si>
    <t>Lab Test Date</t>
  </si>
  <si>
    <t>Decarb</t>
  </si>
  <si>
    <t>Jobwork Rate</t>
  </si>
  <si>
    <t>Jobwork Amount</t>
  </si>
  <si>
    <t>JUNE</t>
  </si>
  <si>
    <t>KKROL</t>
  </si>
  <si>
    <t>RP/DR</t>
  </si>
  <si>
    <t>EN31</t>
  </si>
  <si>
    <t>IF('2425PR_Stock_Report'!$C$3="ALL", "",'2425PR_Stock_Report'!$C$3)</t>
  </si>
  <si>
    <t>SEPT</t>
  </si>
  <si>
    <t>OJW/90</t>
  </si>
  <si>
    <t>A57929</t>
  </si>
  <si>
    <t>IF('2425PR_Stock_Report'!$I$3="STOCK","&lt;&gt;",IF('2425PR_Stock_Report'!$I$3="RAW","",IF('2425PR_Stock_Report'!$I$3="READY","&gt;1",0)))</t>
  </si>
  <si>
    <t>JAN</t>
  </si>
  <si>
    <t>610102A</t>
  </si>
  <si>
    <t>OJW/51</t>
  </si>
  <si>
    <t>MBBPL</t>
  </si>
  <si>
    <t>BPSL</t>
  </si>
  <si>
    <t>SAE</t>
  </si>
  <si>
    <t>E260172</t>
  </si>
  <si>
    <t>IF('2425PR_Stock_Report'!$L$3="Total","&lt;&gt;",IF('2425PR_Stock_Report'!$L$3="NOT Dlrd","",IF('2425PR_Stock_Report'!$L$3="Dlverd","&lt;1",IF('2425PR_Stock_Report'!$L$3="Date","&gt;1",0))))</t>
  </si>
  <si>
    <t>610102B</t>
  </si>
  <si>
    <t>Filter For Stock Report</t>
  </si>
  <si>
    <t>610104A</t>
  </si>
  <si>
    <t>Start Date</t>
  </si>
  <si>
    <t>End Date</t>
  </si>
  <si>
    <t>610105A</t>
  </si>
  <si>
    <t>610205B</t>
  </si>
  <si>
    <t>OJW/58</t>
  </si>
  <si>
    <t>OVER</t>
  </si>
  <si>
    <t>TATA</t>
  </si>
  <si>
    <t>B81120</t>
  </si>
  <si>
    <t/>
  </si>
  <si>
    <t>610205A</t>
  </si>
  <si>
    <t>April</t>
  </si>
  <si>
    <t>OJW/2</t>
  </si>
  <si>
    <t>B81793</t>
  </si>
  <si>
    <t>Filter  For Delivery Report / DELEVERY PENDING</t>
  </si>
  <si>
    <t>CHOOSECOLS(FILTER('2526PR_Inward'!$A$3:$X$500,('2526PR_Inward'!$J$3:$J$500&lt;&gt;"")*('2526PR_Inward'!$Q$3:$Q$500=""),""),4,10,11,3,8,9,2,12,7,15,16)</t>
  </si>
  <si>
    <t>CO.</t>
  </si>
  <si>
    <t>MADHAV</t>
  </si>
  <si>
    <t>E260750</t>
  </si>
  <si>
    <t>Filter for RAW ITEM</t>
  </si>
  <si>
    <t>CHOOSECOLS(FILTER('2526PR_Inward'!$A$3:$X$503,('2526PR_Inward'!$J$3:$J$503="")*('2526PR_Inward'!$B$3:$B$503&lt;&gt;""),""),2,3,8,9,12)</t>
  </si>
  <si>
    <t>ID</t>
  </si>
  <si>
    <t>Load</t>
  </si>
  <si>
    <t>Prc</t>
  </si>
  <si>
    <t>Item 1</t>
  </si>
  <si>
    <t>Sz 1</t>
  </si>
  <si>
    <t>MAT</t>
  </si>
  <si>
    <t>Wgt 1</t>
  </si>
  <si>
    <t>Item 2</t>
  </si>
  <si>
    <t>Prty 2</t>
  </si>
  <si>
    <t>Sz 2</t>
  </si>
  <si>
    <t>Wgt 2</t>
  </si>
  <si>
    <t>Item 3</t>
  </si>
  <si>
    <t>Prty 3</t>
  </si>
  <si>
    <t>Sz 3</t>
  </si>
  <si>
    <t>Wgt 3</t>
  </si>
  <si>
    <t>TOT Wgt</t>
  </si>
  <si>
    <t>Pot No.</t>
  </si>
  <si>
    <t>GT Wgt</t>
  </si>
  <si>
    <t>LOT</t>
  </si>
  <si>
    <t>ST Dt</t>
  </si>
  <si>
    <t>ST Tm</t>
  </si>
  <si>
    <t>End Dt</t>
  </si>
  <si>
    <t>End Tm</t>
  </si>
  <si>
    <t>Heating Duration HR</t>
  </si>
  <si>
    <t>Door op. Dt</t>
  </si>
  <si>
    <t>Door op. Time</t>
  </si>
  <si>
    <t>Cool HR</t>
  </si>
  <si>
    <t>Total Prc Time</t>
  </si>
  <si>
    <t>AI+AJ</t>
  </si>
  <si>
    <t>HOUR READY</t>
  </si>
  <si>
    <t>O2 Probe</t>
  </si>
  <si>
    <t>SUPER ENGI</t>
  </si>
  <si>
    <t>SUPER</t>
  </si>
  <si>
    <t>SR</t>
  </si>
  <si>
    <t>NOT OK</t>
  </si>
  <si>
    <t>OK</t>
  </si>
  <si>
    <t>Hardness</t>
  </si>
  <si>
    <t>MICRO   PROCESSORS , RAJKOT  DELIVERY REPORT</t>
  </si>
  <si>
    <t>Ch No.</t>
  </si>
  <si>
    <t>Fc No</t>
  </si>
  <si>
    <t>Material Value</t>
  </si>
  <si>
    <t>Jobwork Value</t>
  </si>
  <si>
    <t>Eway Bill Out</t>
  </si>
  <si>
    <t>Anku</t>
  </si>
  <si>
    <t>SAMPLE DATE</t>
  </si>
  <si>
    <t>DECARB</t>
  </si>
  <si>
    <t>Rate</t>
  </si>
  <si>
    <t>AMOUNT</t>
  </si>
  <si>
    <t>Bill No</t>
  </si>
  <si>
    <t>Column1</t>
  </si>
  <si>
    <t>Column2</t>
  </si>
  <si>
    <t>M21</t>
  </si>
  <si>
    <t>280</t>
  </si>
  <si>
    <t>12</t>
  </si>
  <si>
    <t>B78532</t>
  </si>
  <si>
    <t>83</t>
  </si>
  <si>
    <t>DC/2</t>
  </si>
  <si>
    <t>6320 8796 1141</t>
  </si>
  <si>
    <t>284</t>
  </si>
  <si>
    <t>BAHADUR</t>
  </si>
  <si>
    <t>GJ09Y9440</t>
  </si>
  <si>
    <t>SHREE RAM</t>
  </si>
  <si>
    <t>M22</t>
  </si>
  <si>
    <t>285</t>
  </si>
  <si>
    <t>DC/3</t>
  </si>
  <si>
    <t>6420 8851 0789</t>
  </si>
  <si>
    <t>283</t>
  </si>
  <si>
    <t>11</t>
  </si>
  <si>
    <t>81</t>
  </si>
  <si>
    <t>250</t>
  </si>
  <si>
    <t>BSPL</t>
  </si>
  <si>
    <t>DC/4</t>
  </si>
  <si>
    <t>DELUX</t>
  </si>
  <si>
    <t>6220 8974 5876</t>
  </si>
  <si>
    <t>1</t>
  </si>
  <si>
    <t>DC/6</t>
  </si>
  <si>
    <t>AALIDHRA</t>
  </si>
  <si>
    <t>6220 9065 7362</t>
  </si>
  <si>
    <t>GJ03AU7691</t>
  </si>
  <si>
    <t>SHIVSHAKTI</t>
  </si>
  <si>
    <t>258</t>
  </si>
  <si>
    <t>DC/8</t>
  </si>
  <si>
    <t>6920 9304 2467</t>
  </si>
  <si>
    <t>HAJARI</t>
  </si>
  <si>
    <t>gj03bx6748</t>
  </si>
  <si>
    <t>SHREE UMIYA</t>
  </si>
  <si>
    <t>259</t>
  </si>
  <si>
    <t>80</t>
  </si>
  <si>
    <t>DC/9</t>
  </si>
  <si>
    <t>6720 9904 5969</t>
  </si>
  <si>
    <t xml:space="preserve">    </t>
  </si>
  <si>
    <t>Select Box and drage it down CONTAIN FORMULA</t>
  </si>
  <si>
    <t>Delivered on</t>
  </si>
  <si>
    <t>LD No</t>
  </si>
  <si>
    <t>25 - 26</t>
  </si>
  <si>
    <t>Filter</t>
  </si>
  <si>
    <t>&gt;1</t>
  </si>
  <si>
    <t>Dlvrd DT</t>
  </si>
  <si>
    <t>All</t>
  </si>
  <si>
    <t>STOCK</t>
  </si>
  <si>
    <t>Not Dlrd</t>
  </si>
  <si>
    <t>RAW</t>
  </si>
  <si>
    <t>Dlverd</t>
  </si>
  <si>
    <t>ELEC</t>
  </si>
  <si>
    <t>AR</t>
  </si>
  <si>
    <t>JSPL</t>
  </si>
  <si>
    <t>JSI</t>
  </si>
  <si>
    <t>SITA</t>
  </si>
  <si>
    <t>SAMPLE</t>
  </si>
  <si>
    <t xml:space="preserve">LOAD </t>
  </si>
  <si>
    <t xml:space="preserve">REPORT </t>
  </si>
  <si>
    <t>CHECK</t>
  </si>
  <si>
    <t>Report</t>
  </si>
  <si>
    <t xml:space="preserve">send </t>
  </si>
  <si>
    <t>DATE</t>
  </si>
  <si>
    <t>PARTY</t>
  </si>
  <si>
    <t>NO</t>
  </si>
  <si>
    <t>PRLT</t>
  </si>
  <si>
    <t>MP</t>
  </si>
  <si>
    <t>ALLOY</t>
  </si>
  <si>
    <t>M020925</t>
  </si>
  <si>
    <t>SMP1 ACC</t>
  </si>
  <si>
    <t>SMP2 ACC</t>
  </si>
  <si>
    <t>SMP3 ACC</t>
  </si>
  <si>
    <t>A-020925</t>
  </si>
  <si>
    <t>CHK REPORT</t>
  </si>
  <si>
    <t>MP/ALLOY</t>
  </si>
  <si>
    <t>165/210</t>
  </si>
  <si>
    <t>20 RAW</t>
  </si>
  <si>
    <t>20 Raw</t>
  </si>
  <si>
    <t>15 RAW</t>
  </si>
  <si>
    <t>RAW 0</t>
  </si>
  <si>
    <t>SMT-26-30</t>
  </si>
  <si>
    <t>BIG</t>
  </si>
  <si>
    <t>FULL FAN</t>
  </si>
  <si>
    <t>DEEP</t>
  </si>
  <si>
    <t>SKILL ROLL</t>
  </si>
  <si>
    <t>149 (205)</t>
  </si>
  <si>
    <t>No prlt</t>
  </si>
  <si>
    <t>-</t>
  </si>
  <si>
    <t>610503D</t>
  </si>
  <si>
    <t>Air released</t>
  </si>
  <si>
    <t>701202S</t>
  </si>
  <si>
    <t>401217A</t>
  </si>
  <si>
    <t>JAYRAM</t>
  </si>
  <si>
    <t>401212A</t>
  </si>
  <si>
    <t>DWPL</t>
  </si>
  <si>
    <t>850202(2)</t>
  </si>
  <si>
    <t>VALVE</t>
  </si>
  <si>
    <t>850202(3)</t>
  </si>
  <si>
    <t>P</t>
  </si>
  <si>
    <t>W/O</t>
  </si>
  <si>
    <t>BLUE</t>
  </si>
  <si>
    <t>185/135</t>
  </si>
  <si>
    <t>188/150</t>
  </si>
  <si>
    <t>POWER OFF IN BETWEEN CYCLE</t>
  </si>
  <si>
    <t>Fera No.</t>
  </si>
  <si>
    <t>Trasporter</t>
  </si>
  <si>
    <t>Delivered TO</t>
  </si>
  <si>
    <t>Self Wgt</t>
  </si>
  <si>
    <t>Slip Wgt</t>
  </si>
  <si>
    <t>Vehical NO.</t>
  </si>
  <si>
    <t>WGT SLIP AMT</t>
  </si>
  <si>
    <t>Lot</t>
  </si>
  <si>
    <t>Deep</t>
  </si>
  <si>
    <t xml:space="preserve">Started Trial with Prime chemical with  clucouse Bottel and IV set </t>
  </si>
  <si>
    <t>not worked proper</t>
  </si>
  <si>
    <t xml:space="preserve">Prime chemical with  clucouse Bottel and IV set </t>
  </si>
  <si>
    <t>JAR BOTTOL AND RUN WITH IV BUT IV SET STUCKUP</t>
  </si>
  <si>
    <t>3 LTR USED</t>
  </si>
  <si>
    <t>PRIME HARD CARB JAR NU FT</t>
  </si>
  <si>
    <t>WITHOUT CHEMICAL</t>
  </si>
  <si>
    <t>JAR NU FT</t>
  </si>
  <si>
    <t>supertech casting</t>
  </si>
  <si>
    <t>SUPER TECH CASTING</t>
  </si>
  <si>
    <t>4.25 LTR BLUE</t>
  </si>
  <si>
    <t xml:space="preserve">DELUX BLUE CHEMICAL USED AND mV reached to 1070 </t>
  </si>
  <si>
    <t>5.25 LTR BLUE</t>
  </si>
  <si>
    <t>DELUX BLUE CHEMICAL USED AND mV reached to 1099</t>
  </si>
  <si>
    <t>24-25</t>
  </si>
  <si>
    <t xml:space="preserve">&lt;&gt; </t>
  </si>
  <si>
    <t>Sarveswar draw</t>
  </si>
  <si>
    <t>Chalan</t>
  </si>
  <si>
    <t xml:space="preserve">Actual </t>
  </si>
  <si>
    <t>Rod</t>
  </si>
  <si>
    <t xml:space="preserve">Received </t>
  </si>
  <si>
    <t>WGT</t>
  </si>
  <si>
    <t>Weight</t>
  </si>
  <si>
    <t>RIKSHAW FARE LALJI</t>
  </si>
  <si>
    <t>OJW/19</t>
  </si>
  <si>
    <t>TATA EN-31 15.00</t>
  </si>
  <si>
    <t>14.07-15</t>
  </si>
  <si>
    <t>ojw/23</t>
  </si>
  <si>
    <t>TATA EN-31 20.00</t>
  </si>
  <si>
    <t>kg</t>
  </si>
  <si>
    <t>Shorate of material</t>
  </si>
  <si>
    <t>Net Loss</t>
  </si>
  <si>
    <t>OJW/13</t>
  </si>
  <si>
    <t>TATA EN-31 14.00</t>
  </si>
  <si>
    <t>OJW/17</t>
  </si>
  <si>
    <t>BHU EN-31 20.00</t>
  </si>
  <si>
    <t>OJW/26</t>
  </si>
  <si>
    <t>TATA EN-31 22.00</t>
  </si>
  <si>
    <t>OJW/27</t>
  </si>
  <si>
    <t>New</t>
  </si>
  <si>
    <t>FC- 8</t>
  </si>
  <si>
    <t>TOP  "K"</t>
  </si>
  <si>
    <t>New  16/04/2026</t>
  </si>
  <si>
    <t>BOTTOM  "K"</t>
  </si>
  <si>
    <t>FC-11</t>
  </si>
  <si>
    <t>BODY  "J"</t>
  </si>
  <si>
    <t>PRESSURE  "4-20 mA"</t>
  </si>
  <si>
    <t>CP  "4-20 mA"</t>
  </si>
  <si>
    <t>Flang Top  "J"</t>
  </si>
  <si>
    <t>Flang Botm "J"</t>
  </si>
  <si>
    <t>FC-12</t>
  </si>
  <si>
    <t>Flang Botm  "J"</t>
  </si>
  <si>
    <t>fc 12</t>
  </si>
  <si>
    <t>Body</t>
  </si>
  <si>
    <t>Extra</t>
  </si>
  <si>
    <t>FC 11</t>
  </si>
  <si>
    <t>flng top</t>
  </si>
  <si>
    <t>flng botom</t>
  </si>
  <si>
    <t>fc 8</t>
  </si>
  <si>
    <t>fop</t>
  </si>
  <si>
    <t>Botom</t>
  </si>
  <si>
    <t>Pressure</t>
  </si>
  <si>
    <t>top</t>
  </si>
  <si>
    <t>botom</t>
  </si>
  <si>
    <t>cp</t>
  </si>
  <si>
    <t>4</t>
  </si>
  <si>
    <t>DC/10</t>
  </si>
  <si>
    <t>GJ03BY9130</t>
  </si>
  <si>
    <t>NO EWAY BILL</t>
  </si>
  <si>
    <t>SIDDHI</t>
  </si>
  <si>
    <t>SIDHI</t>
  </si>
  <si>
    <t>METAL</t>
  </si>
  <si>
    <t>MAY</t>
  </si>
  <si>
    <t>MUKAND</t>
  </si>
  <si>
    <t>M195392</t>
  </si>
  <si>
    <t>Siddhi Industries</t>
  </si>
  <si>
    <t>Siddhi</t>
  </si>
  <si>
    <t>6</t>
  </si>
  <si>
    <t>85</t>
  </si>
  <si>
    <t>B81956</t>
  </si>
  <si>
    <t>6721 0569 8743</t>
  </si>
  <si>
    <t>PERFECT</t>
  </si>
  <si>
    <t>CURCLE</t>
  </si>
  <si>
    <t>9</t>
  </si>
  <si>
    <t>6721 0797 1697</t>
  </si>
  <si>
    <t>JENISHA AUTOMATION</t>
  </si>
  <si>
    <t>ss26acc</t>
  </si>
  <si>
    <t>7</t>
  </si>
  <si>
    <t>73</t>
  </si>
  <si>
    <t>GJ24X2389</t>
  </si>
  <si>
    <t>DC/11</t>
  </si>
  <si>
    <t>DC/12</t>
  </si>
  <si>
    <t>DC/14</t>
  </si>
  <si>
    <t>6121 1348 4532</t>
  </si>
  <si>
    <t>8</t>
  </si>
  <si>
    <t>79</t>
  </si>
  <si>
    <t>GJ03CU7140</t>
  </si>
  <si>
    <t>6421 1395 7075</t>
  </si>
  <si>
    <t>78</t>
  </si>
  <si>
    <t>DC/15</t>
  </si>
  <si>
    <t>DC/16</t>
  </si>
  <si>
    <t>6721 1486 4687</t>
  </si>
  <si>
    <t>610103B</t>
  </si>
  <si>
    <t>610103A</t>
  </si>
  <si>
    <t>5</t>
  </si>
  <si>
    <t>74</t>
  </si>
  <si>
    <t>SHRI AMBIKA</t>
  </si>
  <si>
    <t>GJ33U1264</t>
  </si>
  <si>
    <t>6421 1906 3136</t>
  </si>
  <si>
    <t>JK</t>
  </si>
  <si>
    <t>M214481</t>
  </si>
  <si>
    <t>super tech</t>
  </si>
  <si>
    <t>B83391</t>
  </si>
  <si>
    <t>SUPER ENG TECH</t>
  </si>
  <si>
    <t>B82211</t>
  </si>
  <si>
    <t xml:space="preserve">SUPER ENG </t>
  </si>
  <si>
    <t>15</t>
  </si>
  <si>
    <t>82</t>
  </si>
  <si>
    <t>13</t>
  </si>
  <si>
    <t>17</t>
  </si>
  <si>
    <t>16</t>
  </si>
  <si>
    <t>GJ03BY8648</t>
  </si>
  <si>
    <t>GJ06ZZ6425</t>
  </si>
  <si>
    <t>DC/19</t>
  </si>
  <si>
    <t>DC/17</t>
  </si>
  <si>
    <t>DC/20</t>
  </si>
  <si>
    <t>6021 2790 2311</t>
  </si>
  <si>
    <t>6621 2788 8064</t>
  </si>
  <si>
    <t>BADUR</t>
  </si>
  <si>
    <t>RDS</t>
  </si>
  <si>
    <t>B83276</t>
  </si>
  <si>
    <t>DATA SHEET</t>
  </si>
  <si>
    <t>21</t>
  </si>
  <si>
    <t>6821 3103 0785</t>
  </si>
  <si>
    <t>UMIYA</t>
  </si>
  <si>
    <t>19</t>
  </si>
  <si>
    <t>23</t>
  </si>
  <si>
    <t>DC/22</t>
  </si>
  <si>
    <t>DC/23</t>
  </si>
  <si>
    <t>6921 3236 7531</t>
  </si>
  <si>
    <t>self</t>
  </si>
  <si>
    <t>26</t>
  </si>
  <si>
    <t>DC/24</t>
  </si>
  <si>
    <t>27</t>
  </si>
  <si>
    <t>E262600</t>
  </si>
  <si>
    <t>6521 3555 9414</t>
  </si>
  <si>
    <t>MP Planing</t>
  </si>
  <si>
    <t>ALLOY  STOCK</t>
  </si>
  <si>
    <t>D1</t>
  </si>
  <si>
    <t>SUPER ENG</t>
  </si>
  <si>
    <t>25</t>
  </si>
  <si>
    <t>75</t>
  </si>
  <si>
    <t>DC/25</t>
  </si>
  <si>
    <t>6721 3652 6145</t>
  </si>
  <si>
    <t>TUKDA</t>
  </si>
  <si>
    <t>28</t>
  </si>
  <si>
    <t>DC/26</t>
  </si>
  <si>
    <t>6021 3844 2301</t>
  </si>
  <si>
    <t>JULY</t>
  </si>
  <si>
    <t>M2</t>
  </si>
  <si>
    <t>LOD DT</t>
  </si>
  <si>
    <t>31</t>
  </si>
  <si>
    <t>DC/29</t>
  </si>
  <si>
    <t>6021 3907 4893</t>
  </si>
  <si>
    <t>32</t>
  </si>
  <si>
    <t>33</t>
  </si>
  <si>
    <t>DC/30</t>
  </si>
  <si>
    <t>400617A</t>
  </si>
  <si>
    <t>400611A</t>
  </si>
  <si>
    <t>400611B</t>
  </si>
  <si>
    <t>6121 4015 0086</t>
  </si>
  <si>
    <t>34</t>
  </si>
  <si>
    <t>35</t>
  </si>
  <si>
    <t>DC/31</t>
  </si>
  <si>
    <t>6921 4101 1520</t>
  </si>
  <si>
    <t>37</t>
  </si>
  <si>
    <t>84</t>
  </si>
  <si>
    <t>DC/32</t>
  </si>
  <si>
    <t>6321 4246 3144</t>
  </si>
  <si>
    <t>REPEAT</t>
  </si>
  <si>
    <t>COIL</t>
  </si>
  <si>
    <t>B83700</t>
  </si>
  <si>
    <t>15B25</t>
  </si>
  <si>
    <t>26D01184</t>
  </si>
  <si>
    <t>26D01183</t>
  </si>
  <si>
    <t>VSP</t>
  </si>
  <si>
    <t>M03</t>
  </si>
  <si>
    <t>R910701</t>
  </si>
  <si>
    <t>R910702B</t>
  </si>
  <si>
    <t>Difectiv</t>
  </si>
  <si>
    <t>Border Perlite</t>
  </si>
  <si>
    <t>Difective</t>
  </si>
  <si>
    <t>3rd PC From Top</t>
  </si>
  <si>
    <t>1st Pc from Top</t>
  </si>
  <si>
    <t>2nd Pc from Bottom</t>
  </si>
  <si>
    <t>Defect</t>
  </si>
  <si>
    <t>39</t>
  </si>
  <si>
    <t>40</t>
  </si>
  <si>
    <t>DC/33</t>
  </si>
  <si>
    <t>6821 4475 0289</t>
  </si>
  <si>
    <t>38</t>
  </si>
  <si>
    <t>36</t>
  </si>
  <si>
    <t>DC/34</t>
  </si>
  <si>
    <t>6221 4603 0417</t>
  </si>
  <si>
    <t>45</t>
  </si>
  <si>
    <t>43</t>
  </si>
  <si>
    <t>DC/35</t>
  </si>
  <si>
    <t>6121 4664 7269</t>
  </si>
  <si>
    <t>B82458</t>
  </si>
  <si>
    <t>700/5</t>
  </si>
  <si>
    <t>Sofness Complain</t>
  </si>
  <si>
    <t>44</t>
  </si>
  <si>
    <t>DC/36</t>
  </si>
  <si>
    <t xml:space="preserve">GJ03BY5442  </t>
  </si>
  <si>
    <t>DC/37</t>
  </si>
  <si>
    <t>6521 4883 0335</t>
  </si>
  <si>
    <t>SARWESHVAR</t>
  </si>
  <si>
    <t>780/4</t>
  </si>
  <si>
    <t>UTS</t>
  </si>
  <si>
    <t>OUTSIDE</t>
  </si>
  <si>
    <t>Diameter</t>
  </si>
  <si>
    <t>Area</t>
  </si>
  <si>
    <t>Gauge Length</t>
  </si>
  <si>
    <t>Final Gauge Length</t>
  </si>
  <si>
    <t>Ultimate Load</t>
  </si>
  <si>
    <t>Yield Load</t>
  </si>
  <si>
    <t>Yield Strenth</t>
  </si>
  <si>
    <t>% Elongation</t>
  </si>
  <si>
    <t>mm</t>
  </si>
  <si>
    <t>mm2</t>
  </si>
  <si>
    <t>N</t>
  </si>
  <si>
    <t>N/mm2</t>
  </si>
  <si>
    <t>%</t>
  </si>
  <si>
    <t>51</t>
  </si>
  <si>
    <t>6121 5044 8182</t>
  </si>
  <si>
    <t>24</t>
  </si>
  <si>
    <t>22</t>
  </si>
  <si>
    <t>DC/38</t>
  </si>
  <si>
    <t>6421 5045 3958</t>
  </si>
  <si>
    <t>6221 5045 4955</t>
  </si>
  <si>
    <t>good</t>
  </si>
  <si>
    <t>SEND TO ALLOY  WITHOUT PROCESS</t>
  </si>
  <si>
    <t>400601/O</t>
  </si>
  <si>
    <t>400603/O</t>
  </si>
  <si>
    <t>340701/O</t>
  </si>
  <si>
    <t>400703/O</t>
  </si>
  <si>
    <t>50</t>
  </si>
  <si>
    <t>42</t>
  </si>
  <si>
    <t>46</t>
  </si>
  <si>
    <t>DC/39</t>
  </si>
  <si>
    <t>400604/DFT</t>
  </si>
  <si>
    <t>400614N</t>
  </si>
  <si>
    <t>6321 5096 2154</t>
  </si>
  <si>
    <t>SUPER EG</t>
  </si>
  <si>
    <t>49</t>
  </si>
  <si>
    <t>48</t>
  </si>
  <si>
    <t>DC/40</t>
  </si>
  <si>
    <t>6321 5179 0228</t>
  </si>
  <si>
    <t>19 N</t>
  </si>
  <si>
    <t>20 N</t>
  </si>
  <si>
    <t>21 N</t>
  </si>
  <si>
    <t xml:space="preserve"> AA24</t>
  </si>
  <si>
    <t>22 N</t>
  </si>
  <si>
    <t>23 N</t>
  </si>
  <si>
    <t>24 N</t>
  </si>
  <si>
    <t>26 N</t>
  </si>
  <si>
    <t>27N</t>
  </si>
  <si>
    <t>28N</t>
  </si>
  <si>
    <t>30N</t>
  </si>
  <si>
    <t>31N</t>
  </si>
  <si>
    <t>32N</t>
  </si>
  <si>
    <t>33N</t>
  </si>
  <si>
    <t>34N</t>
  </si>
  <si>
    <t>35N</t>
  </si>
  <si>
    <t>36N</t>
  </si>
  <si>
    <t>37N</t>
  </si>
  <si>
    <t>38N</t>
  </si>
  <si>
    <t>39N</t>
  </si>
  <si>
    <t>40N</t>
  </si>
  <si>
    <t>41N</t>
  </si>
  <si>
    <t>42N</t>
  </si>
  <si>
    <t>43N</t>
  </si>
  <si>
    <t>44N</t>
  </si>
  <si>
    <t>45N</t>
  </si>
  <si>
    <t>46N</t>
  </si>
  <si>
    <t>47N</t>
  </si>
  <si>
    <t>GAS</t>
  </si>
  <si>
    <t>NITROGEN</t>
  </si>
  <si>
    <t>B83144</t>
  </si>
  <si>
    <t>CYLINDER</t>
  </si>
  <si>
    <t>Perlite</t>
  </si>
  <si>
    <t>MICRO PROCESSORS</t>
  </si>
  <si>
    <t>ALLOY HEAT</t>
  </si>
  <si>
    <t>0</t>
  </si>
  <si>
    <t>AUG</t>
  </si>
  <si>
    <t xml:space="preserve"> WITHOUT PROCESS</t>
  </si>
  <si>
    <t>ACCURATE</t>
  </si>
  <si>
    <t>DC/42</t>
  </si>
  <si>
    <t>6721 5678 0549</t>
  </si>
  <si>
    <t>400614N/R</t>
  </si>
  <si>
    <t>53</t>
  </si>
  <si>
    <t>DC/43</t>
  </si>
  <si>
    <t>DC/44</t>
  </si>
  <si>
    <t>6021 5808 9245</t>
  </si>
  <si>
    <t>6021 5809 1985</t>
  </si>
  <si>
    <t>56</t>
  </si>
  <si>
    <t>55</t>
  </si>
  <si>
    <t>Without Process</t>
  </si>
  <si>
    <t>DC/45</t>
  </si>
  <si>
    <t>w/p</t>
  </si>
  <si>
    <t>6921 5942 5263</t>
  </si>
  <si>
    <t>400617B/O</t>
  </si>
  <si>
    <t>54</t>
  </si>
  <si>
    <t>DC/46</t>
  </si>
  <si>
    <t>DC/47</t>
  </si>
  <si>
    <t>6421 6003 9847</t>
  </si>
  <si>
    <t>Repit</t>
  </si>
  <si>
    <t>6221 6905 8540</t>
  </si>
  <si>
    <t>DC/48</t>
  </si>
  <si>
    <t>BRIGHT</t>
  </si>
  <si>
    <t>41</t>
  </si>
  <si>
    <t>DC/49</t>
  </si>
  <si>
    <t>OM INDUSTRIES</t>
  </si>
  <si>
    <t>GJ03CU7691</t>
  </si>
  <si>
    <t>6321 7357 9986</t>
  </si>
  <si>
    <t>SEP</t>
  </si>
  <si>
    <t>B83651</t>
  </si>
  <si>
    <t>AS</t>
  </si>
  <si>
    <t>H.SHAH</t>
  </si>
  <si>
    <t>A74567</t>
  </si>
  <si>
    <t>26F01584</t>
  </si>
  <si>
    <t>57</t>
  </si>
  <si>
    <t>65</t>
  </si>
  <si>
    <t>DC/50</t>
  </si>
  <si>
    <t>6321 8461 9466</t>
  </si>
  <si>
    <t>58</t>
  </si>
  <si>
    <t>67</t>
  </si>
  <si>
    <t>DC/51</t>
  </si>
  <si>
    <t>6221 8563 7899</t>
  </si>
  <si>
    <t>DC/53</t>
  </si>
  <si>
    <t>60</t>
  </si>
  <si>
    <t>6321 8787 5630</t>
  </si>
  <si>
    <t>61</t>
  </si>
  <si>
    <t>DC/54</t>
  </si>
  <si>
    <t>6221 9097 9687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</si>
</sst>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/mm"/>
    <numFmt numFmtId="165" formatCode="dd\/mm\/yy"/>
    <numFmt numFmtId="166" formatCode="[h]:mm"/>
    <numFmt numFmtId="167" formatCode="0.0"/>
    <numFmt numFmtId="168" formatCode="[$-14009]dd/mm/yyyy;@"/>
    <numFmt numFmtId="169" formatCode="0.000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1C11AF"/>
      <name val="Calibri"/>
      <family val="2"/>
      <scheme val="minor"/>
    </font>
    <font>
      <b/>
      <sz val="20"/>
      <color rgb="FF1C11AF"/>
      <name val="Calibri"/>
      <family val="2"/>
      <scheme val="minor"/>
    </font>
    <font>
      <b/>
      <sz val="16"/>
      <color rgb="FF1C11AF"/>
      <name val="Calibri"/>
      <family val="2"/>
      <scheme val="minor"/>
    </font>
    <font>
      <b/>
      <sz val="22"/>
      <color rgb="FF1C11AF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1"/>
      <scheme val="minor"/>
    </font>
    <font>
      <b/>
      <sz val="36"/>
      <color theme="1"/>
      <name val="Calibri"/>
      <family val="2"/>
      <scheme val="minor"/>
    </font>
    <font>
      <b/>
      <sz val="36"/>
      <color theme="1"/>
      <name val="Amasis MT Pro Black"/>
      <family val="1"/>
    </font>
    <font>
      <b/>
      <sz val="72"/>
      <color theme="1"/>
      <name val="Amasis MT Pro Black"/>
      <family val="1"/>
    </font>
    <font>
      <sz val="12"/>
      <color theme="1"/>
      <name val="Calibri Light"/>
      <family val="1"/>
      <scheme val="major"/>
    </font>
    <font>
      <b/>
      <sz val="12"/>
      <name val="Calibri"/>
      <family val="2"/>
      <scheme val="minor"/>
    </font>
    <font>
      <sz val="12"/>
      <color rgb="FFFF0000"/>
      <name val="Calibri Light"/>
      <family val="1"/>
      <scheme val="major"/>
    </font>
    <font>
      <b/>
      <sz val="12"/>
      <color rgb="FF1C11AF"/>
      <name val="Calibri"/>
      <family val="2"/>
      <scheme val="minor"/>
    </font>
    <font>
      <b/>
      <sz val="12"/>
      <color theme="1"/>
      <name val="Arial"/>
      <family val="2"/>
    </font>
    <font>
      <sz val="12"/>
      <name val="Calibri"/>
      <family val="2"/>
      <scheme val="minor"/>
    </font>
    <font>
      <b/>
      <sz val="12"/>
      <color rgb="FF212529"/>
      <name val="Open Sans"/>
      <family val="2"/>
    </font>
    <font>
      <sz val="12"/>
      <color theme="1"/>
      <name val="Calibri"/>
      <family val="2"/>
    </font>
    <font>
      <b/>
      <sz val="14"/>
      <color rgb="FF212529"/>
      <name val="Open Sans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</font>
    <font>
      <b/>
      <sz val="12"/>
      <color rgb="FF212529"/>
      <name val="Open Sans"/>
      <family val="2"/>
    </font>
    <font>
      <b/>
      <sz val="16"/>
      <name val="Calibri"/>
      <family val="2"/>
      <scheme val="minor"/>
    </font>
    <font>
      <b/>
      <sz val="14"/>
      <color rgb="FF212529"/>
      <name val="Open Sans"/>
      <family val="2"/>
    </font>
    <font>
      <b/>
      <sz val="14"/>
      <color rgb="FF212529"/>
      <name val="Open Sans"/>
      <family val="2"/>
    </font>
    <font>
      <sz val="12"/>
      <color theme="1"/>
      <name val="Calibri"/>
      <family val="2"/>
    </font>
    <font>
      <b/>
      <sz val="14"/>
      <color rgb="FF212529"/>
      <name val="Open Sans"/>
      <family val="2"/>
    </font>
    <font>
      <sz val="12"/>
      <color theme="1"/>
      <name val="Calibri"/>
      <family val="2"/>
    </font>
    <font>
      <b/>
      <sz val="14"/>
      <color rgb="FF212529"/>
      <name val="Open Sans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</font>
    <font>
      <b/>
      <sz val="14"/>
      <color rgb="FF212529"/>
      <name val="Ope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6FAA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5FC9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87F987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69F769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A6A0F6"/>
        <bgColor indexed="64"/>
      </patternFill>
    </fill>
    <fill>
      <patternFill patternType="solid">
        <fgColor rgb="FFE3DE00"/>
        <bgColor indexed="64"/>
      </patternFill>
    </fill>
    <fill>
      <patternFill patternType="solid">
        <fgColor rgb="FF837AF2"/>
        <bgColor indexed="64"/>
      </patternFill>
    </fill>
    <fill>
      <patternFill patternType="solid">
        <fgColor rgb="FF08E833"/>
        <bgColor indexed="64"/>
      </patternFill>
    </fill>
    <fill>
      <patternFill patternType="solid">
        <fgColor rgb="FFBBFA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9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CCFFCC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8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2" xfId="0" applyFont="1" applyBorder="1"/>
    <xf numFmtId="0" fontId="0" fillId="0" borderId="2" xfId="0" applyBorder="1" applyAlignment="1">
      <alignment horizontal="center"/>
    </xf>
    <xf numFmtId="0" fontId="1" fillId="0" borderId="0" xfId="0" applyFont="1"/>
    <xf numFmtId="0" fontId="0" fillId="0" borderId="3" xfId="0" applyBorder="1"/>
    <xf numFmtId="0" fontId="0" fillId="0" borderId="0" xfId="0" applyProtection="1">
      <protection locked="0"/>
    </xf>
    <xf numFmtId="0" fontId="0" fillId="9" borderId="0" xfId="0" applyFill="1" applyAlignment="1">
      <alignment horizontal="center"/>
    </xf>
    <xf numFmtId="0" fontId="0" fillId="9" borderId="0" xfId="0" applyFill="1"/>
    <xf numFmtId="0" fontId="0" fillId="10" borderId="0" xfId="0" applyFill="1"/>
    <xf numFmtId="0" fontId="0" fillId="4" borderId="0" xfId="0" applyFill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20" fontId="0" fillId="8" borderId="0" xfId="0" applyNumberFormat="1" applyFill="1" applyAlignment="1">
      <alignment horizontal="center"/>
    </xf>
    <xf numFmtId="0" fontId="0" fillId="2" borderId="0" xfId="0" applyFill="1"/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164" fontId="0" fillId="12" borderId="0" xfId="0" applyNumberFormat="1" applyFill="1" applyAlignment="1">
      <alignment horizontal="center"/>
    </xf>
    <xf numFmtId="20" fontId="0" fillId="12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8" xfId="0" applyFill="1" applyBorder="1" applyAlignment="1">
      <alignment horizontal="center" wrapText="1"/>
    </xf>
    <xf numFmtId="0" fontId="0" fillId="2" borderId="8" xfId="0" applyFill="1" applyBorder="1" applyAlignment="1">
      <alignment horizontal="right"/>
    </xf>
    <xf numFmtId="0" fontId="0" fillId="11" borderId="8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0" xfId="0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0" xfId="0" applyFill="1" applyBorder="1"/>
    <xf numFmtId="0" fontId="1" fillId="11" borderId="10" xfId="0" applyFont="1" applyFill="1" applyBorder="1"/>
    <xf numFmtId="0" fontId="1" fillId="11" borderId="11" xfId="0" applyFont="1" applyFill="1" applyBorder="1"/>
    <xf numFmtId="0" fontId="0" fillId="13" borderId="9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0" xfId="0" applyFill="1" applyBorder="1"/>
    <xf numFmtId="0" fontId="1" fillId="13" borderId="10" xfId="0" applyFont="1" applyFill="1" applyBorder="1"/>
    <xf numFmtId="0" fontId="1" fillId="13" borderId="11" xfId="0" applyFont="1" applyFill="1" applyBorder="1"/>
    <xf numFmtId="164" fontId="0" fillId="6" borderId="12" xfId="0" applyNumberFormat="1" applyFill="1" applyBorder="1" applyAlignment="1">
      <alignment horizontal="center"/>
    </xf>
    <xf numFmtId="20" fontId="0" fillId="6" borderId="13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4" xfId="0" applyFill="1" applyBorder="1"/>
    <xf numFmtId="0" fontId="1" fillId="2" borderId="4" xfId="0" applyFont="1" applyFill="1" applyBorder="1"/>
    <xf numFmtId="0" fontId="1" fillId="2" borderId="13" xfId="0" applyFont="1" applyFill="1" applyBorder="1"/>
    <xf numFmtId="0" fontId="0" fillId="11" borderId="14" xfId="0" applyFill="1" applyBorder="1" applyAlignment="1">
      <alignment horizontal="center"/>
    </xf>
    <xf numFmtId="0" fontId="0" fillId="11" borderId="14" xfId="0" applyFill="1" applyBorder="1"/>
    <xf numFmtId="0" fontId="1" fillId="11" borderId="4" xfId="0" applyFont="1" applyFill="1" applyBorder="1"/>
    <xf numFmtId="0" fontId="1" fillId="11" borderId="13" xfId="0" applyFont="1" applyFill="1" applyBorder="1"/>
    <xf numFmtId="0" fontId="0" fillId="13" borderId="14" xfId="0" applyFill="1" applyBorder="1" applyAlignment="1">
      <alignment horizontal="center"/>
    </xf>
    <xf numFmtId="0" fontId="0" fillId="13" borderId="14" xfId="0" applyFill="1" applyBorder="1"/>
    <xf numFmtId="0" fontId="1" fillId="13" borderId="4" xfId="0" applyFont="1" applyFill="1" applyBorder="1"/>
    <xf numFmtId="0" fontId="1" fillId="13" borderId="13" xfId="0" applyFont="1" applyFill="1" applyBorder="1"/>
    <xf numFmtId="0" fontId="0" fillId="2" borderId="8" xfId="0" applyFill="1" applyBorder="1"/>
    <xf numFmtId="0" fontId="0" fillId="11" borderId="8" xfId="0" applyFill="1" applyBorder="1"/>
    <xf numFmtId="0" fontId="0" fillId="13" borderId="8" xfId="0" applyFill="1" applyBorder="1"/>
    <xf numFmtId="0" fontId="0" fillId="6" borderId="0" xfId="0" applyFill="1"/>
    <xf numFmtId="0" fontId="0" fillId="0" borderId="0" xfId="0" applyAlignment="1">
      <alignment horizontal="center" vertical="center"/>
    </xf>
    <xf numFmtId="0" fontId="0" fillId="16" borderId="8" xfId="0" applyFill="1" applyBorder="1" applyAlignment="1">
      <alignment horizontal="center"/>
    </xf>
    <xf numFmtId="0" fontId="0" fillId="16" borderId="8" xfId="0" applyFill="1" applyBorder="1" applyAlignment="1">
      <alignment horizontal="center" wrapText="1"/>
    </xf>
    <xf numFmtId="0" fontId="0" fillId="16" borderId="8" xfId="0" applyFill="1" applyBorder="1" applyAlignment="1">
      <alignment horizontal="right"/>
    </xf>
    <xf numFmtId="0" fontId="0" fillId="17" borderId="0" xfId="0" applyFill="1" applyAlignment="1">
      <alignment horizontal="center"/>
    </xf>
    <xf numFmtId="0" fontId="0" fillId="17" borderId="0" xfId="0" applyFill="1"/>
    <xf numFmtId="0" fontId="0" fillId="18" borderId="8" xfId="0" applyFill="1" applyBorder="1" applyAlignment="1">
      <alignment horizontal="center"/>
    </xf>
    <xf numFmtId="0" fontId="3" fillId="0" borderId="0" xfId="0" applyFont="1"/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0" fillId="21" borderId="0" xfId="0" applyFill="1"/>
    <xf numFmtId="0" fontId="1" fillId="7" borderId="16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1" fillId="7" borderId="17" xfId="0" applyFont="1" applyFill="1" applyBorder="1" applyAlignment="1">
      <alignment horizontal="center" vertic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164" fontId="2" fillId="0" borderId="0" xfId="0" applyNumberFormat="1" applyFont="1" applyAlignment="1">
      <alignment horizontal="center"/>
    </xf>
    <xf numFmtId="0" fontId="0" fillId="24" borderId="0" xfId="0" applyFill="1" applyProtection="1">
      <protection locked="0"/>
    </xf>
    <xf numFmtId="0" fontId="0" fillId="24" borderId="0" xfId="0" applyFill="1"/>
    <xf numFmtId="164" fontId="3" fillId="0" borderId="0" xfId="0" applyNumberFormat="1" applyFont="1" applyAlignment="1" applyProtection="1">
      <alignment horizontal="center"/>
      <protection locked="0"/>
    </xf>
    <xf numFmtId="0" fontId="0" fillId="23" borderId="0" xfId="0" applyFill="1"/>
    <xf numFmtId="0" fontId="1" fillId="7" borderId="8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64" fontId="4" fillId="0" borderId="0" xfId="0" applyNumberFormat="1" applyFont="1" applyAlignment="1">
      <alignment horizontal="center"/>
    </xf>
    <xf numFmtId="0" fontId="1" fillId="25" borderId="8" xfId="0" applyFont="1" applyFill="1" applyBorder="1" applyAlignment="1">
      <alignment horizontal="center" vertical="center" wrapText="1"/>
    </xf>
    <xf numFmtId="164" fontId="0" fillId="6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1" fillId="12" borderId="19" xfId="0" applyFont="1" applyFill="1" applyBorder="1" applyAlignment="1">
      <alignment horizontal="center" vertical="center"/>
    </xf>
    <xf numFmtId="0" fontId="0" fillId="0" borderId="21" xfId="0" applyBorder="1"/>
    <xf numFmtId="0" fontId="0" fillId="18" borderId="22" xfId="0" applyFill="1" applyBorder="1" applyAlignment="1">
      <alignment horizontal="center" vertical="center"/>
    </xf>
    <xf numFmtId="0" fontId="0" fillId="0" borderId="23" xfId="0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" fillId="25" borderId="6" xfId="0" applyFont="1" applyFill="1" applyBorder="1" applyAlignment="1">
      <alignment horizontal="center" vertical="center" wrapText="1"/>
    </xf>
    <xf numFmtId="0" fontId="0" fillId="18" borderId="3" xfId="0" applyFill="1" applyBorder="1" applyAlignment="1">
      <alignment horizontal="center" vertical="center"/>
    </xf>
    <xf numFmtId="0" fontId="1" fillId="12" borderId="26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" fillId="7" borderId="16" xfId="0" applyFont="1" applyFill="1" applyBorder="1" applyAlignment="1">
      <alignment horizontal="center" vertical="center" wrapText="1"/>
    </xf>
    <xf numFmtId="164" fontId="5" fillId="7" borderId="16" xfId="0" applyNumberFormat="1" applyFont="1" applyFill="1" applyBorder="1" applyAlignment="1">
      <alignment horizontal="center" vertical="center" wrapText="1"/>
    </xf>
    <xf numFmtId="20" fontId="1" fillId="7" borderId="16" xfId="0" applyNumberFormat="1" applyFont="1" applyFill="1" applyBorder="1" applyAlignment="1">
      <alignment horizontal="center" vertical="center" wrapText="1"/>
    </xf>
    <xf numFmtId="164" fontId="1" fillId="7" borderId="16" xfId="0" applyNumberFormat="1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20" fontId="0" fillId="5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164" fontId="0" fillId="11" borderId="0" xfId="0" applyNumberFormat="1" applyFill="1" applyAlignment="1">
      <alignment horizontal="center"/>
    </xf>
    <xf numFmtId="20" fontId="0" fillId="11" borderId="0" xfId="0" applyNumberFormat="1" applyFill="1" applyAlignment="1">
      <alignment horizontal="center"/>
    </xf>
    <xf numFmtId="164" fontId="0" fillId="22" borderId="0" xfId="0" applyNumberFormat="1" applyFill="1" applyAlignment="1">
      <alignment horizontal="center"/>
    </xf>
    <xf numFmtId="20" fontId="0" fillId="22" borderId="0" xfId="0" applyNumberFormat="1" applyFill="1" applyAlignment="1">
      <alignment horizontal="center"/>
    </xf>
    <xf numFmtId="0" fontId="0" fillId="25" borderId="8" xfId="0" applyFill="1" applyBorder="1" applyAlignment="1">
      <alignment horizontal="center" vertical="center" wrapText="1"/>
    </xf>
    <xf numFmtId="0" fontId="0" fillId="25" borderId="8" xfId="0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 wrapText="1"/>
    </xf>
    <xf numFmtId="0" fontId="1" fillId="25" borderId="9" xfId="0" applyFont="1" applyFill="1" applyBorder="1" applyAlignment="1">
      <alignment horizontal="center" vertical="center" wrapText="1"/>
    </xf>
    <xf numFmtId="164" fontId="0" fillId="12" borderId="12" xfId="0" applyNumberFormat="1" applyFill="1" applyBorder="1" applyAlignment="1">
      <alignment horizontal="center"/>
    </xf>
    <xf numFmtId="20" fontId="0" fillId="12" borderId="13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0" fillId="23" borderId="0" xfId="0" applyFont="1" applyFill="1"/>
    <xf numFmtId="0" fontId="11" fillId="0" borderId="0" xfId="0" applyFont="1"/>
    <xf numFmtId="0" fontId="4" fillId="25" borderId="8" xfId="0" applyFont="1" applyFill="1" applyBorder="1" applyAlignment="1">
      <alignment horizontal="center" vertical="center" wrapText="1"/>
    </xf>
    <xf numFmtId="0" fontId="0" fillId="27" borderId="8" xfId="0" applyFill="1" applyBorder="1"/>
    <xf numFmtId="0" fontId="0" fillId="27" borderId="8" xfId="0" applyFill="1" applyBorder="1" applyAlignment="1">
      <alignment horizontal="center"/>
    </xf>
    <xf numFmtId="2" fontId="0" fillId="27" borderId="8" xfId="0" applyNumberFormat="1" applyFill="1" applyBorder="1"/>
    <xf numFmtId="9" fontId="0" fillId="27" borderId="8" xfId="0" applyNumberFormat="1" applyFill="1" applyBorder="1" applyAlignment="1">
      <alignment horizontal="center"/>
    </xf>
    <xf numFmtId="0" fontId="11" fillId="27" borderId="8" xfId="0" applyFont="1" applyFill="1" applyBorder="1"/>
    <xf numFmtId="0" fontId="10" fillId="27" borderId="8" xfId="0" applyFont="1" applyFill="1" applyBorder="1"/>
    <xf numFmtId="0" fontId="0" fillId="0" borderId="0" xfId="0" quotePrefix="1" applyAlignment="1">
      <alignment horizontal="center" vertical="center"/>
    </xf>
    <xf numFmtId="0" fontId="0" fillId="18" borderId="29" xfId="0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25" borderId="28" xfId="0" applyFill="1" applyBorder="1" applyAlignment="1">
      <alignment horizontal="center" vertical="center" wrapText="1"/>
    </xf>
    <xf numFmtId="0" fontId="0" fillId="18" borderId="26" xfId="0" applyFill="1" applyBorder="1" applyAlignment="1">
      <alignment horizontal="center" vertical="center"/>
    </xf>
    <xf numFmtId="0" fontId="0" fillId="0" borderId="20" xfId="0" applyBorder="1"/>
    <xf numFmtId="0" fontId="0" fillId="25" borderId="16" xfId="0" applyFill="1" applyBorder="1" applyAlignment="1">
      <alignment horizontal="center" vertical="center" wrapText="1"/>
    </xf>
    <xf numFmtId="0" fontId="1" fillId="25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" fontId="0" fillId="0" borderId="0" xfId="0" quotePrefix="1" applyNumberFormat="1" applyAlignment="1">
      <alignment horizontal="left"/>
    </xf>
    <xf numFmtId="0" fontId="13" fillId="0" borderId="0" xfId="1" applyFill="1" applyBorder="1"/>
    <xf numFmtId="0" fontId="1" fillId="28" borderId="0" xfId="0" applyFont="1" applyFill="1"/>
    <xf numFmtId="0" fontId="14" fillId="8" borderId="0" xfId="1" applyFont="1" applyFill="1" applyAlignment="1">
      <alignment horizontal="left" vertical="center"/>
    </xf>
    <xf numFmtId="0" fontId="14" fillId="8" borderId="0" xfId="1" applyFont="1" applyFill="1"/>
    <xf numFmtId="0" fontId="1" fillId="8" borderId="0" xfId="0" applyFont="1" applyFill="1"/>
    <xf numFmtId="0" fontId="3" fillId="8" borderId="2" xfId="0" applyFont="1" applyFill="1" applyBorder="1"/>
    <xf numFmtId="0" fontId="14" fillId="4" borderId="0" xfId="1" applyFont="1" applyFill="1"/>
    <xf numFmtId="0" fontId="3" fillId="4" borderId="0" xfId="0" applyFont="1" applyFill="1"/>
    <xf numFmtId="0" fontId="3" fillId="8" borderId="0" xfId="0" applyFont="1" applyFill="1"/>
    <xf numFmtId="0" fontId="3" fillId="8" borderId="0" xfId="0" applyFont="1" applyFill="1" applyAlignment="1">
      <alignment horizontal="left"/>
    </xf>
    <xf numFmtId="0" fontId="1" fillId="20" borderId="16" xfId="0" applyFont="1" applyFill="1" applyBorder="1" applyAlignment="1">
      <alignment horizontal="center" vertical="center" wrapText="1"/>
    </xf>
    <xf numFmtId="0" fontId="0" fillId="20" borderId="0" xfId="0" applyFill="1" applyAlignment="1">
      <alignment horizontal="center"/>
    </xf>
    <xf numFmtId="0" fontId="0" fillId="12" borderId="0" xfId="0" applyFill="1"/>
    <xf numFmtId="20" fontId="0" fillId="6" borderId="12" xfId="0" applyNumberFormat="1" applyFill="1" applyBorder="1" applyAlignment="1">
      <alignment horizontal="center"/>
    </xf>
    <xf numFmtId="0" fontId="6" fillId="19" borderId="6" xfId="0" applyFont="1" applyFill="1" applyBorder="1" applyAlignment="1">
      <alignment horizontal="left"/>
    </xf>
    <xf numFmtId="0" fontId="6" fillId="19" borderId="7" xfId="0" applyFont="1" applyFill="1" applyBorder="1" applyAlignment="1">
      <alignment horizontal="left"/>
    </xf>
    <xf numFmtId="0" fontId="0" fillId="0" borderId="0" xfId="0" quotePrefix="1" applyAlignment="1">
      <alignment horizontal="left"/>
    </xf>
    <xf numFmtId="0" fontId="0" fillId="0" borderId="32" xfId="0" applyBorder="1" applyAlignment="1">
      <alignment horizontal="center"/>
    </xf>
    <xf numFmtId="0" fontId="0" fillId="0" borderId="0" xfId="0" applyAlignment="1">
      <alignment horizontal="center" wrapText="1"/>
    </xf>
    <xf numFmtId="14" fontId="0" fillId="0" borderId="0" xfId="0" applyNumberFormat="1"/>
    <xf numFmtId="0" fontId="0" fillId="0" borderId="0" xfId="0" quotePrefix="1" applyAlignment="1">
      <alignment horizontal="center"/>
    </xf>
    <xf numFmtId="0" fontId="4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6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" fillId="7" borderId="8" xfId="0" applyFont="1" applyFill="1" applyBorder="1" applyAlignment="1">
      <alignment horizontal="left" vertical="center" wrapText="1"/>
    </xf>
    <xf numFmtId="0" fontId="10" fillId="27" borderId="8" xfId="0" applyFont="1" applyFill="1" applyBorder="1" applyAlignment="1">
      <alignment horizontal="left"/>
    </xf>
    <xf numFmtId="0" fontId="1" fillId="7" borderId="8" xfId="0" applyFont="1" applyFill="1" applyBorder="1" applyAlignment="1">
      <alignment horizontal="left" vertical="center"/>
    </xf>
    <xf numFmtId="0" fontId="1" fillId="27" borderId="9" xfId="0" applyFont="1" applyFill="1" applyBorder="1" applyAlignment="1">
      <alignment horizontal="left"/>
    </xf>
    <xf numFmtId="0" fontId="0" fillId="27" borderId="9" xfId="0" applyFill="1" applyBorder="1" applyAlignment="1">
      <alignment horizontal="left"/>
    </xf>
    <xf numFmtId="164" fontId="8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left"/>
    </xf>
    <xf numFmtId="164" fontId="1" fillId="7" borderId="8" xfId="0" applyNumberFormat="1" applyFont="1" applyFill="1" applyBorder="1" applyAlignment="1">
      <alignment horizontal="center" vertical="center" wrapText="1"/>
    </xf>
    <xf numFmtId="0" fontId="0" fillId="0" borderId="18" xfId="0" applyBorder="1"/>
    <xf numFmtId="164" fontId="0" fillId="0" borderId="32" xfId="0" applyNumberFormat="1" applyBorder="1" applyAlignment="1">
      <alignment horizontal="center"/>
    </xf>
    <xf numFmtId="0" fontId="11" fillId="27" borderId="30" xfId="0" applyFont="1" applyFill="1" applyBorder="1" applyAlignment="1">
      <alignment horizontal="left"/>
    </xf>
    <xf numFmtId="0" fontId="10" fillId="27" borderId="30" xfId="0" applyFont="1" applyFill="1" applyBorder="1"/>
    <xf numFmtId="0" fontId="11" fillId="27" borderId="30" xfId="0" applyFont="1" applyFill="1" applyBorder="1"/>
    <xf numFmtId="0" fontId="10" fillId="0" borderId="32" xfId="0" applyFont="1" applyBorder="1"/>
    <xf numFmtId="0" fontId="10" fillId="23" borderId="32" xfId="0" applyFont="1" applyFill="1" applyBorder="1"/>
    <xf numFmtId="0" fontId="10" fillId="0" borderId="32" xfId="0" applyFont="1" applyBorder="1" applyAlignment="1">
      <alignment horizontal="center"/>
    </xf>
    <xf numFmtId="0" fontId="0" fillId="27" borderId="36" xfId="0" applyFill="1" applyBorder="1" applyAlignment="1">
      <alignment horizontal="left"/>
    </xf>
    <xf numFmtId="0" fontId="1" fillId="27" borderId="32" xfId="0" applyFont="1" applyFill="1" applyBorder="1"/>
    <xf numFmtId="0" fontId="0" fillId="27" borderId="32" xfId="0" applyFill="1" applyBorder="1" applyAlignment="1">
      <alignment horizontal="center"/>
    </xf>
    <xf numFmtId="2" fontId="1" fillId="27" borderId="30" xfId="0" applyNumberFormat="1" applyFont="1" applyFill="1" applyBorder="1"/>
    <xf numFmtId="0" fontId="0" fillId="27" borderId="30" xfId="0" applyFill="1" applyBorder="1"/>
    <xf numFmtId="0" fontId="0" fillId="27" borderId="37" xfId="0" applyFill="1" applyBorder="1"/>
    <xf numFmtId="0" fontId="0" fillId="30" borderId="0" xfId="0" applyFill="1" applyAlignment="1">
      <alignment horizontal="center"/>
    </xf>
    <xf numFmtId="164" fontId="8" fillId="0" borderId="0" xfId="0" quotePrefix="1" applyNumberFormat="1" applyFont="1" applyAlignment="1">
      <alignment horizontal="center"/>
    </xf>
    <xf numFmtId="0" fontId="0" fillId="30" borderId="3" xfId="0" applyFill="1" applyBorder="1" applyAlignment="1">
      <alignment horizontal="center"/>
    </xf>
    <xf numFmtId="0" fontId="0" fillId="29" borderId="3" xfId="0" applyFill="1" applyBorder="1"/>
    <xf numFmtId="0" fontId="0" fillId="31" borderId="3" xfId="0" applyFill="1" applyBorder="1"/>
    <xf numFmtId="0" fontId="0" fillId="31" borderId="2" xfId="0" applyFill="1" applyBorder="1" applyAlignment="1">
      <alignment horizontal="center"/>
    </xf>
    <xf numFmtId="0" fontId="0" fillId="31" borderId="28" xfId="0" applyFill="1" applyBorder="1" applyAlignment="1">
      <alignment horizontal="center"/>
    </xf>
    <xf numFmtId="0" fontId="0" fillId="31" borderId="32" xfId="0" applyFill="1" applyBorder="1" applyAlignment="1">
      <alignment horizontal="center"/>
    </xf>
    <xf numFmtId="0" fontId="0" fillId="31" borderId="33" xfId="0" applyFill="1" applyBorder="1" applyAlignment="1">
      <alignment horizontal="center"/>
    </xf>
    <xf numFmtId="0" fontId="0" fillId="31" borderId="2" xfId="0" applyFill="1" applyBorder="1" applyAlignment="1">
      <alignment horizontal="left"/>
    </xf>
    <xf numFmtId="0" fontId="0" fillId="0" borderId="31" xfId="0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2" fillId="7" borderId="15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20" borderId="16" xfId="0" applyFont="1" applyFill="1" applyBorder="1" applyAlignment="1">
      <alignment horizontal="center" vertical="center" wrapText="1"/>
    </xf>
    <xf numFmtId="164" fontId="2" fillId="7" borderId="16" xfId="0" applyNumberFormat="1" applyFont="1" applyFill="1" applyBorder="1" applyAlignment="1">
      <alignment horizontal="center" vertical="center" wrapText="1"/>
    </xf>
    <xf numFmtId="20" fontId="2" fillId="7" borderId="16" xfId="0" applyNumberFormat="1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1" fillId="25" borderId="0" xfId="0" applyFont="1" applyFill="1" applyAlignment="1">
      <alignment horizontal="center" vertical="center" wrapText="1"/>
    </xf>
    <xf numFmtId="0" fontId="1" fillId="25" borderId="8" xfId="0" applyFont="1" applyFill="1" applyBorder="1" applyAlignment="1">
      <alignment horizontal="center" wrapText="1"/>
    </xf>
    <xf numFmtId="0" fontId="0" fillId="0" borderId="3" xfId="0" applyBorder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2" fontId="0" fillId="12" borderId="0" xfId="0" applyNumberFormat="1" applyFill="1" applyAlignment="1">
      <alignment horizontal="center" vertical="center"/>
    </xf>
    <xf numFmtId="165" fontId="8" fillId="12" borderId="0" xfId="0" applyNumberFormat="1" applyFont="1" applyFill="1" applyAlignment="1">
      <alignment horizontal="center" vertical="center"/>
    </xf>
    <xf numFmtId="2" fontId="8" fillId="12" borderId="0" xfId="0" applyNumberFormat="1" applyFont="1" applyFill="1" applyAlignment="1">
      <alignment horizontal="center" vertical="center"/>
    </xf>
    <xf numFmtId="2" fontId="0" fillId="33" borderId="0" xfId="0" applyNumberFormat="1" applyFill="1" applyAlignment="1">
      <alignment horizontal="center" vertical="center"/>
    </xf>
    <xf numFmtId="165" fontId="8" fillId="33" borderId="0" xfId="0" applyNumberFormat="1" applyFont="1" applyFill="1" applyAlignment="1">
      <alignment horizontal="center" vertical="center"/>
    </xf>
    <xf numFmtId="2" fontId="8" fillId="33" borderId="0" xfId="0" applyNumberFormat="1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2" fontId="4" fillId="12" borderId="0" xfId="0" applyNumberFormat="1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2" fontId="4" fillId="12" borderId="0" xfId="0" applyNumberFormat="1" applyFont="1" applyFill="1" applyAlignment="1">
      <alignment horizontal="center" vertical="center" wrapText="1"/>
    </xf>
    <xf numFmtId="14" fontId="7" fillId="12" borderId="0" xfId="0" applyNumberFormat="1" applyFont="1" applyFill="1" applyAlignment="1">
      <alignment horizontal="center" vertical="center"/>
    </xf>
    <xf numFmtId="2" fontId="0" fillId="33" borderId="0" xfId="0" applyNumberFormat="1" applyFill="1" applyAlignment="1">
      <alignment horizontal="center"/>
    </xf>
    <xf numFmtId="165" fontId="8" fillId="33" borderId="0" xfId="0" applyNumberFormat="1" applyFont="1" applyFill="1" applyAlignment="1">
      <alignment horizontal="center"/>
    </xf>
    <xf numFmtId="2" fontId="0" fillId="33" borderId="2" xfId="0" applyNumberFormat="1" applyFill="1" applyBorder="1" applyAlignment="1">
      <alignment horizontal="center"/>
    </xf>
    <xf numFmtId="165" fontId="8" fillId="33" borderId="2" xfId="0" applyNumberFormat="1" applyFont="1" applyFill="1" applyBorder="1" applyAlignment="1">
      <alignment horizontal="center"/>
    </xf>
    <xf numFmtId="2" fontId="1" fillId="33" borderId="0" xfId="0" applyNumberFormat="1" applyFont="1" applyFill="1" applyAlignment="1">
      <alignment horizontal="center" vertical="center"/>
    </xf>
    <xf numFmtId="165" fontId="9" fillId="33" borderId="0" xfId="0" applyNumberFormat="1" applyFont="1" applyFill="1" applyAlignment="1">
      <alignment horizontal="center" vertical="center"/>
    </xf>
    <xf numFmtId="2" fontId="8" fillId="33" borderId="0" xfId="0" quotePrefix="1" applyNumberFormat="1" applyFont="1" applyFill="1" applyAlignment="1">
      <alignment horizontal="center" vertical="center"/>
    </xf>
    <xf numFmtId="2" fontId="0" fillId="33" borderId="0" xfId="0" applyNumberFormat="1" applyFill="1" applyAlignment="1">
      <alignment horizontal="center" vertical="center" wrapText="1"/>
    </xf>
    <xf numFmtId="0" fontId="0" fillId="33" borderId="0" xfId="0" applyFill="1" applyAlignment="1">
      <alignment vertical="center"/>
    </xf>
    <xf numFmtId="2" fontId="0" fillId="33" borderId="0" xfId="0" applyNumberFormat="1" applyFill="1"/>
    <xf numFmtId="165" fontId="8" fillId="33" borderId="0" xfId="0" applyNumberFormat="1" applyFont="1" applyFill="1"/>
    <xf numFmtId="0" fontId="0" fillId="34" borderId="0" xfId="0" applyFill="1" applyAlignment="1">
      <alignment horizontal="center"/>
    </xf>
    <xf numFmtId="0" fontId="0" fillId="35" borderId="31" xfId="0" applyFill="1" applyBorder="1" applyAlignment="1">
      <alignment horizontal="center"/>
    </xf>
    <xf numFmtId="0" fontId="12" fillId="20" borderId="31" xfId="0" applyFont="1" applyFill="1" applyBorder="1" applyAlignment="1">
      <alignment horizontal="center" vertical="center"/>
    </xf>
    <xf numFmtId="0" fontId="12" fillId="20" borderId="31" xfId="0" applyFont="1" applyFill="1" applyBorder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0" borderId="38" xfId="0" applyFont="1" applyFill="1" applyBorder="1" applyAlignment="1">
      <alignment horizontal="center" vertical="center"/>
    </xf>
    <xf numFmtId="0" fontId="12" fillId="20" borderId="39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7" borderId="0" xfId="0" applyFill="1" applyAlignment="1">
      <alignment horizontal="center" vertical="center" wrapText="1"/>
    </xf>
    <xf numFmtId="0" fontId="2" fillId="20" borderId="0" xfId="0" applyFont="1" applyFill="1" applyAlignment="1">
      <alignment horizontal="center" vertical="center" wrapText="1"/>
    </xf>
    <xf numFmtId="165" fontId="8" fillId="1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right"/>
    </xf>
    <xf numFmtId="0" fontId="20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0" fillId="7" borderId="0" xfId="0" applyNumberFormat="1" applyFill="1" applyAlignment="1">
      <alignment horizontal="center" vertical="center" wrapText="1"/>
    </xf>
    <xf numFmtId="0" fontId="0" fillId="7" borderId="0" xfId="0" applyFill="1"/>
    <xf numFmtId="16" fontId="0" fillId="0" borderId="0" xfId="0" applyNumberFormat="1"/>
    <xf numFmtId="0" fontId="0" fillId="20" borderId="0" xfId="0" applyFill="1"/>
    <xf numFmtId="0" fontId="1" fillId="36" borderId="0" xfId="0" applyFont="1" applyFill="1" applyAlignment="1">
      <alignment horizontal="center" vertical="center" wrapText="1"/>
    </xf>
    <xf numFmtId="0" fontId="1" fillId="36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wrapText="1"/>
    </xf>
    <xf numFmtId="164" fontId="0" fillId="20" borderId="0" xfId="0" applyNumberFormat="1" applyFill="1" applyAlignment="1">
      <alignment horizontal="center"/>
    </xf>
    <xf numFmtId="0" fontId="0" fillId="0" borderId="0" xfId="0" applyAlignment="1">
      <alignment horizontal="left" vertical="center"/>
    </xf>
    <xf numFmtId="14" fontId="1" fillId="0" borderId="0" xfId="0" applyNumberFormat="1" applyFont="1"/>
    <xf numFmtId="0" fontId="1" fillId="25" borderId="11" xfId="0" applyFont="1" applyFill="1" applyBorder="1" applyAlignment="1">
      <alignment horizontal="right" vertical="center" wrapText="1"/>
    </xf>
    <xf numFmtId="164" fontId="9" fillId="25" borderId="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0" fillId="7" borderId="0" xfId="0" applyFill="1" applyAlignment="1">
      <alignment horizontal="right"/>
    </xf>
    <xf numFmtId="0" fontId="21" fillId="12" borderId="8" xfId="0" applyFont="1" applyFill="1" applyBorder="1" applyAlignment="1">
      <alignment horizontal="center" vertical="center"/>
    </xf>
    <xf numFmtId="0" fontId="1" fillId="18" borderId="8" xfId="0" applyFont="1" applyFill="1" applyBorder="1" applyAlignment="1">
      <alignment horizontal="center" vertical="center"/>
    </xf>
    <xf numFmtId="0" fontId="1" fillId="18" borderId="4" xfId="0" applyFont="1" applyFill="1" applyBorder="1" applyAlignment="1">
      <alignment horizontal="center" vertical="center"/>
    </xf>
    <xf numFmtId="0" fontId="12" fillId="18" borderId="40" xfId="0" applyFont="1" applyFill="1" applyBorder="1" applyAlignment="1">
      <alignment horizontal="center" vertical="center"/>
    </xf>
    <xf numFmtId="0" fontId="12" fillId="18" borderId="9" xfId="0" applyFont="1" applyFill="1" applyBorder="1" applyAlignment="1">
      <alignment horizontal="center" vertical="center"/>
    </xf>
    <xf numFmtId="164" fontId="22" fillId="0" borderId="30" xfId="0" applyNumberFormat="1" applyFont="1" applyBorder="1" applyAlignment="1">
      <alignment horizontal="center" vertical="center"/>
    </xf>
    <xf numFmtId="0" fontId="0" fillId="25" borderId="0" xfId="0" applyFill="1" applyAlignment="1">
      <alignment horizontal="center" vertical="center" wrapText="1"/>
    </xf>
    <xf numFmtId="2" fontId="0" fillId="12" borderId="0" xfId="0" applyNumberFormat="1" applyFill="1" applyAlignment="1">
      <alignment horizontal="center"/>
    </xf>
    <xf numFmtId="16" fontId="0" fillId="0" borderId="0" xfId="0" applyNumberFormat="1" applyAlignment="1">
      <alignment horizontal="center"/>
    </xf>
    <xf numFmtId="0" fontId="1" fillId="25" borderId="8" xfId="0" applyFont="1" applyFill="1" applyBorder="1" applyAlignment="1">
      <alignment horizontal="right" vertical="center" wrapText="1"/>
    </xf>
    <xf numFmtId="0" fontId="24" fillId="25" borderId="8" xfId="0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9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0" fillId="20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2" fillId="0" borderId="0" xfId="0" applyFont="1"/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164" fontId="2" fillId="0" borderId="0" xfId="0" applyNumberFormat="1" applyFont="1" applyAlignment="1">
      <alignment horizontal="left"/>
    </xf>
    <xf numFmtId="0" fontId="12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4" borderId="0" xfId="0" applyFill="1"/>
    <xf numFmtId="0" fontId="0" fillId="8" borderId="0" xfId="0" applyFill="1" applyAlignment="1">
      <alignment horizontal="center" vertical="center" wrapText="1"/>
    </xf>
    <xf numFmtId="14" fontId="4" fillId="12" borderId="0" xfId="0" applyNumberFormat="1" applyFont="1" applyFill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168" fontId="1" fillId="4" borderId="0" xfId="0" applyNumberFormat="1" applyFont="1" applyFill="1" applyAlignment="1">
      <alignment horizontal="center" vertical="center"/>
    </xf>
    <xf numFmtId="1" fontId="1" fillId="39" borderId="0" xfId="0" applyNumberFormat="1" applyFont="1" applyFill="1" applyAlignment="1">
      <alignment horizontal="right" vertical="center"/>
    </xf>
    <xf numFmtId="2" fontId="1" fillId="4" borderId="0" xfId="0" applyNumberFormat="1" applyFont="1" applyFill="1" applyAlignment="1">
      <alignment horizontal="right" vertical="center"/>
    </xf>
    <xf numFmtId="2" fontId="3" fillId="4" borderId="0" xfId="0" applyNumberFormat="1" applyFont="1" applyFill="1" applyAlignment="1">
      <alignment horizontal="right" vertical="center"/>
    </xf>
    <xf numFmtId="0" fontId="0" fillId="19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26" fillId="20" borderId="0" xfId="0" applyFont="1" applyFill="1" applyAlignment="1">
      <alignment horizontal="center" vertical="center" wrapText="1"/>
    </xf>
    <xf numFmtId="0" fontId="25" fillId="20" borderId="0" xfId="0" applyFont="1" applyFill="1" applyAlignment="1">
      <alignment horizontal="center" vertical="center" wrapText="1"/>
    </xf>
    <xf numFmtId="0" fontId="27" fillId="20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right"/>
    </xf>
    <xf numFmtId="1" fontId="0" fillId="0" borderId="0" xfId="0" applyNumberFormat="1" applyAlignment="1">
      <alignment horizontal="center" vertical="center"/>
    </xf>
    <xf numFmtId="1" fontId="2" fillId="7" borderId="16" xfId="0" applyNumberFormat="1" applyFont="1" applyFill="1" applyBorder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41" borderId="0" xfId="0" applyFill="1"/>
    <xf numFmtId="22" fontId="0" fillId="0" borderId="0" xfId="0" applyNumberFormat="1" applyAlignment="1">
      <alignment horizontal="left"/>
    </xf>
    <xf numFmtId="16" fontId="0" fillId="0" borderId="0" xfId="0" quotePrefix="1" applyNumberFormat="1" applyAlignment="1">
      <alignment horizontal="center"/>
    </xf>
    <xf numFmtId="20" fontId="0" fillId="0" borderId="0" xfId="0" applyNumberFormat="1"/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0" fontId="28" fillId="1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/>
    </xf>
    <xf numFmtId="0" fontId="28" fillId="43" borderId="0" xfId="0" applyFont="1" applyFill="1" applyAlignment="1">
      <alignment horizontal="center" vertical="center"/>
    </xf>
    <xf numFmtId="14" fontId="0" fillId="4" borderId="0" xfId="0" applyNumberFormat="1" applyFill="1" applyAlignment="1">
      <alignment horizontal="center"/>
    </xf>
    <xf numFmtId="14" fontId="0" fillId="12" borderId="0" xfId="0" applyNumberFormat="1" applyFill="1" applyAlignment="1">
      <alignment horizontal="center"/>
    </xf>
    <xf numFmtId="14" fontId="0" fillId="4" borderId="0" xfId="0" applyNumberFormat="1" applyFill="1"/>
    <xf numFmtId="14" fontId="0" fillId="8" borderId="0" xfId="0" applyNumberFormat="1" applyFill="1" applyAlignment="1">
      <alignment horizontal="center"/>
    </xf>
    <xf numFmtId="14" fontId="0" fillId="20" borderId="0" xfId="0" applyNumberFormat="1" applyFill="1" applyAlignment="1">
      <alignment horizontal="center"/>
    </xf>
    <xf numFmtId="0" fontId="0" fillId="42" borderId="0" xfId="0" applyFill="1" applyAlignment="1">
      <alignment horizontal="center"/>
    </xf>
    <xf numFmtId="0" fontId="0" fillId="42" borderId="0" xfId="0" applyFill="1" applyAlignment="1">
      <alignment horizontal="center" vertical="center"/>
    </xf>
    <xf numFmtId="0" fontId="0" fillId="20" borderId="0" xfId="0" applyFill="1" applyAlignment="1">
      <alignment horizontal="left"/>
    </xf>
    <xf numFmtId="166" fontId="0" fillId="0" borderId="0" xfId="0" applyNumberFormat="1" applyAlignment="1">
      <alignment horizontal="left"/>
    </xf>
    <xf numFmtId="0" fontId="0" fillId="0" borderId="8" xfId="0" applyBorder="1"/>
    <xf numFmtId="0" fontId="2" fillId="0" borderId="8" xfId="0" applyFont="1" applyBorder="1"/>
    <xf numFmtId="0" fontId="2" fillId="0" borderId="8" xfId="0" applyFont="1" applyBorder="1" applyAlignment="1">
      <alignment horizontal="center"/>
    </xf>
    <xf numFmtId="0" fontId="29" fillId="4" borderId="8" xfId="0" applyFont="1" applyFill="1" applyBorder="1"/>
    <xf numFmtId="0" fontId="2" fillId="4" borderId="8" xfId="0" applyFont="1" applyFill="1" applyBorder="1"/>
    <xf numFmtId="0" fontId="0" fillId="44" borderId="0" xfId="0" applyFill="1" applyAlignment="1">
      <alignment horizontal="center"/>
    </xf>
    <xf numFmtId="2" fontId="0" fillId="44" borderId="0" xfId="0" applyNumberFormat="1" applyFill="1"/>
    <xf numFmtId="0" fontId="28" fillId="4" borderId="0" xfId="0" applyFont="1" applyFill="1" applyAlignment="1">
      <alignment horizontal="right" vertical="center"/>
    </xf>
    <xf numFmtId="0" fontId="28" fillId="4" borderId="0" xfId="0" applyFont="1" applyFill="1" applyAlignment="1">
      <alignment horizontal="center" vertical="center"/>
    </xf>
    <xf numFmtId="0" fontId="29" fillId="14" borderId="0" xfId="0" applyFont="1" applyFill="1" applyAlignment="1">
      <alignment horizontal="center" vertical="center" wrapText="1"/>
    </xf>
    <xf numFmtId="14" fontId="29" fillId="14" borderId="8" xfId="0" applyNumberFormat="1" applyFont="1" applyFill="1" applyBorder="1" applyAlignment="1">
      <alignment horizontal="center" vertical="center" wrapText="1"/>
    </xf>
    <xf numFmtId="0" fontId="29" fillId="14" borderId="8" xfId="0" applyFont="1" applyFill="1" applyBorder="1" applyAlignment="1">
      <alignment horizontal="center" vertical="center" wrapText="1"/>
    </xf>
    <xf numFmtId="0" fontId="29" fillId="25" borderId="8" xfId="0" applyFont="1" applyFill="1" applyBorder="1" applyAlignment="1">
      <alignment horizontal="center" vertical="center" wrapText="1"/>
    </xf>
    <xf numFmtId="0" fontId="29" fillId="25" borderId="9" xfId="0" applyFont="1" applyFill="1" applyBorder="1" applyAlignment="1">
      <alignment horizontal="right" vertical="center" wrapText="1"/>
    </xf>
    <xf numFmtId="0" fontId="29" fillId="25" borderId="17" xfId="0" applyFont="1" applyFill="1" applyBorder="1" applyAlignment="1">
      <alignment horizontal="center" vertical="center" wrapText="1"/>
    </xf>
    <xf numFmtId="0" fontId="33" fillId="25" borderId="8" xfId="0" applyFont="1" applyFill="1" applyBorder="1" applyAlignment="1">
      <alignment horizontal="center" vertical="center" wrapText="1"/>
    </xf>
    <xf numFmtId="0" fontId="22" fillId="40" borderId="41" xfId="0" applyFont="1" applyFill="1" applyBorder="1" applyAlignment="1">
      <alignment horizontal="center" vertical="center"/>
    </xf>
    <xf numFmtId="0" fontId="22" fillId="12" borderId="41" xfId="0" applyFont="1" applyFill="1" applyBorder="1" applyAlignment="1">
      <alignment horizontal="center" vertical="center"/>
    </xf>
    <xf numFmtId="0" fontId="35" fillId="0" borderId="41" xfId="0" applyFont="1" applyBorder="1" applyAlignment="1">
      <alignment vertical="center"/>
    </xf>
    <xf numFmtId="0" fontId="2" fillId="25" borderId="24" xfId="0" applyFont="1" applyFill="1" applyBorder="1" applyAlignment="1">
      <alignment horizontal="left" vertical="center"/>
    </xf>
    <xf numFmtId="0" fontId="2" fillId="25" borderId="8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 wrapText="1"/>
    </xf>
    <xf numFmtId="0" fontId="2" fillId="25" borderId="17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0" fontId="0" fillId="40" borderId="41" xfId="0" applyFill="1" applyBorder="1" applyAlignment="1">
      <alignment horizontal="center" vertical="center"/>
    </xf>
    <xf numFmtId="0" fontId="22" fillId="40" borderId="41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22" fillId="12" borderId="31" xfId="0" applyFont="1" applyFill="1" applyBorder="1" applyAlignment="1">
      <alignment horizontal="center" vertical="center"/>
    </xf>
    <xf numFmtId="0" fontId="22" fillId="37" borderId="41" xfId="0" applyFont="1" applyFill="1" applyBorder="1" applyAlignment="1">
      <alignment horizontal="center" vertical="center"/>
    </xf>
    <xf numFmtId="14" fontId="22" fillId="11" borderId="0" xfId="0" applyNumberFormat="1" applyFont="1" applyFill="1" applyAlignment="1">
      <alignment horizontal="center" vertical="center"/>
    </xf>
    <xf numFmtId="0" fontId="22" fillId="4" borderId="41" xfId="0" applyFont="1" applyFill="1" applyBorder="1" applyAlignment="1">
      <alignment horizontal="center" vertical="center"/>
    </xf>
    <xf numFmtId="2" fontId="22" fillId="38" borderId="41" xfId="0" applyNumberFormat="1" applyFont="1" applyFill="1" applyBorder="1" applyAlignment="1">
      <alignment horizontal="center" vertical="center"/>
    </xf>
    <xf numFmtId="2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40" borderId="41" xfId="0" applyFont="1" applyFill="1" applyBorder="1" applyAlignment="1">
      <alignment horizontal="right" vertical="center"/>
    </xf>
    <xf numFmtId="0" fontId="22" fillId="0" borderId="0" xfId="0" applyFont="1" applyAlignment="1">
      <alignment horizontal="right" vertical="center"/>
    </xf>
    <xf numFmtId="0" fontId="32" fillId="0" borderId="0" xfId="0" applyFont="1" applyAlignment="1">
      <alignment vertical="center"/>
    </xf>
    <xf numFmtId="2" fontId="22" fillId="0" borderId="0" xfId="0" applyNumberFormat="1" applyFont="1" applyAlignment="1">
      <alignment vertical="center"/>
    </xf>
    <xf numFmtId="14" fontId="22" fillId="0" borderId="0" xfId="0" applyNumberFormat="1" applyFont="1" applyAlignment="1">
      <alignment vertical="center"/>
    </xf>
    <xf numFmtId="0" fontId="22" fillId="37" borderId="41" xfId="0" applyFont="1" applyFill="1" applyBorder="1" applyAlignment="1">
      <alignment vertical="center"/>
    </xf>
    <xf numFmtId="14" fontId="22" fillId="0" borderId="0" xfId="0" applyNumberFormat="1" applyFont="1" applyAlignment="1">
      <alignment horizontal="right" vertical="center"/>
    </xf>
    <xf numFmtId="2" fontId="22" fillId="0" borderId="0" xfId="0" applyNumberFormat="1" applyFont="1" applyAlignment="1">
      <alignment horizontal="right" vertical="center"/>
    </xf>
    <xf numFmtId="0" fontId="2" fillId="35" borderId="8" xfId="0" applyFont="1" applyFill="1" applyBorder="1"/>
    <xf numFmtId="0" fontId="2" fillId="22" borderId="8" xfId="0" applyFont="1" applyFill="1" applyBorder="1"/>
    <xf numFmtId="0" fontId="37" fillId="0" borderId="0" xfId="0" applyFont="1" applyAlignment="1">
      <alignment vertical="center"/>
    </xf>
    <xf numFmtId="0" fontId="38" fillId="0" borderId="41" xfId="0" applyFont="1" applyBorder="1" applyAlignment="1">
      <alignment vertical="center"/>
    </xf>
    <xf numFmtId="0" fontId="37" fillId="0" borderId="0" xfId="0" applyFont="1" applyAlignment="1">
      <alignment horizontal="right" vertical="center"/>
    </xf>
    <xf numFmtId="2" fontId="22" fillId="35" borderId="0" xfId="0" applyNumberFormat="1" applyFont="1" applyFill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16" fontId="22" fillId="0" borderId="0" xfId="0" quotePrefix="1" applyNumberFormat="1" applyFont="1" applyAlignment="1">
      <alignment horizontal="center" vertical="center"/>
    </xf>
    <xf numFmtId="167" fontId="22" fillId="0" borderId="31" xfId="0" quotePrefix="1" applyNumberFormat="1" applyFont="1" applyBorder="1" applyAlignment="1">
      <alignment horizontal="center" vertical="center"/>
    </xf>
    <xf numFmtId="167" fontId="22" fillId="0" borderId="31" xfId="0" applyNumberFormat="1" applyFont="1" applyBorder="1" applyAlignment="1">
      <alignment horizontal="center" vertical="center"/>
    </xf>
    <xf numFmtId="0" fontId="22" fillId="35" borderId="31" xfId="0" applyFont="1" applyFill="1" applyBorder="1" applyAlignment="1">
      <alignment horizontal="center" vertical="center"/>
    </xf>
    <xf numFmtId="0" fontId="38" fillId="0" borderId="4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2" fillId="3" borderId="31" xfId="0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2" fillId="25" borderId="25" xfId="0" applyFont="1" applyFill="1" applyBorder="1" applyAlignment="1">
      <alignment horizontal="center" vertical="center"/>
    </xf>
    <xf numFmtId="0" fontId="2" fillId="25" borderId="25" xfId="0" applyFont="1" applyFill="1" applyBorder="1" applyAlignment="1">
      <alignment horizontal="center" vertical="center"/>
    </xf>
    <xf numFmtId="0" fontId="22" fillId="9" borderId="27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right" vertical="center"/>
    </xf>
    <xf numFmtId="0" fontId="32" fillId="20" borderId="33" xfId="0" applyFont="1" applyFill="1" applyBorder="1" applyAlignment="1">
      <alignment vertical="center"/>
    </xf>
    <xf numFmtId="0" fontId="2" fillId="26" borderId="23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32" fillId="13" borderId="0" xfId="0" applyFont="1" applyFill="1" applyAlignment="1">
      <alignment horizontal="center" vertical="center" wrapText="1"/>
    </xf>
    <xf numFmtId="0" fontId="22" fillId="12" borderId="0" xfId="0" applyFont="1" applyFill="1" applyAlignment="1">
      <alignment horizontal="center" vertical="center"/>
    </xf>
    <xf numFmtId="164" fontId="22" fillId="12" borderId="0" xfId="0" applyNumberFormat="1" applyFont="1" applyFill="1" applyAlignment="1">
      <alignment horizontal="center" vertical="center"/>
    </xf>
    <xf numFmtId="20" fontId="22" fillId="12" borderId="0" xfId="0" applyNumberFormat="1" applyFont="1" applyFill="1" applyAlignment="1">
      <alignment horizontal="center" vertical="center"/>
    </xf>
    <xf numFmtId="20" fontId="22" fillId="6" borderId="0" xfId="0" applyNumberFormat="1" applyFont="1" applyFill="1" applyAlignment="1">
      <alignment horizontal="center" vertical="center"/>
    </xf>
    <xf numFmtId="0" fontId="32" fillId="18" borderId="11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 wrapText="1"/>
    </xf>
    <xf numFmtId="0" fontId="22" fillId="2" borderId="9" xfId="0" applyFont="1" applyFill="1" applyBorder="1" applyAlignment="1">
      <alignment horizontal="right" vertical="center"/>
    </xf>
    <xf numFmtId="164" fontId="22" fillId="0" borderId="6" xfId="0" applyNumberFormat="1" applyFont="1" applyBorder="1" applyAlignment="1">
      <alignment horizontal="center" vertical="center"/>
    </xf>
    <xf numFmtId="0" fontId="22" fillId="9" borderId="20" xfId="0" applyFont="1" applyFill="1" applyBorder="1" applyAlignment="1">
      <alignment vertical="center"/>
    </xf>
    <xf numFmtId="0" fontId="32" fillId="13" borderId="11" xfId="0" applyFont="1" applyFill="1" applyBorder="1" applyAlignment="1">
      <alignment horizontal="center" vertical="center"/>
    </xf>
    <xf numFmtId="0" fontId="32" fillId="13" borderId="10" xfId="0" applyFont="1" applyFill="1" applyBorder="1" applyAlignment="1">
      <alignment horizontal="center" vertical="center"/>
    </xf>
    <xf numFmtId="0" fontId="22" fillId="13" borderId="5" xfId="0" applyFont="1" applyFill="1" applyBorder="1" applyAlignment="1">
      <alignment horizontal="center" vertical="center"/>
    </xf>
    <xf numFmtId="0" fontId="22" fillId="13" borderId="5" xfId="0" applyFont="1" applyFill="1" applyBorder="1" applyAlignment="1">
      <alignment vertical="center"/>
    </xf>
    <xf numFmtId="0" fontId="2" fillId="13" borderId="10" xfId="0" applyFont="1" applyFill="1" applyBorder="1" applyAlignment="1">
      <alignment vertical="center"/>
    </xf>
    <xf numFmtId="0" fontId="32" fillId="13" borderId="0" xfId="0" applyFont="1" applyFill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164" fontId="22" fillId="6" borderId="0" xfId="0" applyNumberFormat="1" applyFont="1" applyFill="1" applyAlignment="1">
      <alignment horizontal="center" vertical="center"/>
    </xf>
    <xf numFmtId="0" fontId="22" fillId="2" borderId="14" xfId="0" applyFont="1" applyFill="1" applyBorder="1" applyAlignment="1">
      <alignment horizontal="center" vertical="center"/>
    </xf>
    <xf numFmtId="0" fontId="22" fillId="13" borderId="14" xfId="0" applyFont="1" applyFill="1" applyBorder="1" applyAlignment="1">
      <alignment horizontal="center" vertical="center"/>
    </xf>
    <xf numFmtId="0" fontId="22" fillId="13" borderId="14" xfId="0" applyFont="1" applyFill="1" applyBorder="1" applyAlignment="1">
      <alignment vertical="center"/>
    </xf>
    <xf numFmtId="0" fontId="2" fillId="13" borderId="4" xfId="0" applyFont="1" applyFill="1" applyBorder="1" applyAlignment="1">
      <alignment vertical="center"/>
    </xf>
    <xf numFmtId="0" fontId="22" fillId="13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vertical="center"/>
    </xf>
    <xf numFmtId="0" fontId="22" fillId="9" borderId="21" xfId="0" applyFont="1" applyFill="1" applyBorder="1" applyAlignment="1">
      <alignment horizontal="right" vertical="center"/>
    </xf>
    <xf numFmtId="0" fontId="32" fillId="13" borderId="7" xfId="0" applyFont="1" applyFill="1" applyBorder="1" applyAlignment="1">
      <alignment horizontal="center" vertical="center"/>
    </xf>
    <xf numFmtId="0" fontId="22" fillId="13" borderId="19" xfId="0" applyFont="1" applyFill="1" applyBorder="1" applyAlignment="1">
      <alignment horizontal="center" vertical="center"/>
    </xf>
    <xf numFmtId="0" fontId="22" fillId="13" borderId="19" xfId="0" applyFont="1" applyFill="1" applyBorder="1" applyAlignment="1">
      <alignment vertical="center"/>
    </xf>
    <xf numFmtId="0" fontId="2" fillId="13" borderId="5" xfId="0" applyFont="1" applyFill="1" applyBorder="1" applyAlignment="1">
      <alignment vertical="center"/>
    </xf>
    <xf numFmtId="0" fontId="22" fillId="13" borderId="6" xfId="0" applyFont="1" applyFill="1" applyBorder="1" applyAlignment="1">
      <alignment vertical="center"/>
    </xf>
    <xf numFmtId="0" fontId="22" fillId="9" borderId="27" xfId="0" applyFont="1" applyFill="1" applyBorder="1" applyAlignment="1">
      <alignment horizontal="right" vertical="center"/>
    </xf>
    <xf numFmtId="0" fontId="32" fillId="9" borderId="25" xfId="0" applyFont="1" applyFill="1" applyBorder="1" applyAlignment="1">
      <alignment vertical="center"/>
    </xf>
    <xf numFmtId="0" fontId="22" fillId="9" borderId="25" xfId="0" applyFont="1" applyFill="1" applyBorder="1" applyAlignment="1">
      <alignment vertical="center"/>
    </xf>
    <xf numFmtId="0" fontId="22" fillId="9" borderId="21" xfId="0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34" fillId="0" borderId="0" xfId="0" applyFont="1" applyAlignment="1">
      <alignment vertical="center"/>
    </xf>
    <xf numFmtId="0" fontId="22" fillId="0" borderId="31" xfId="0" applyFont="1" applyBorder="1" applyAlignment="1">
      <alignment horizontal="center" vertical="center"/>
    </xf>
    <xf numFmtId="0" fontId="15" fillId="0" borderId="8" xfId="0" applyFont="1" applyBorder="1"/>
    <xf numFmtId="0" fontId="3" fillId="0" borderId="8" xfId="0" applyFont="1" applyBorder="1"/>
    <xf numFmtId="0" fontId="3" fillId="0" borderId="8" xfId="0" applyFont="1" applyBorder="1" applyAlignment="1">
      <alignment horizontal="center"/>
    </xf>
    <xf numFmtId="0" fontId="40" fillId="4" borderId="8" xfId="0" applyFont="1" applyFill="1" applyBorder="1"/>
    <xf numFmtId="0" fontId="3" fillId="4" borderId="8" xfId="0" applyFont="1" applyFill="1" applyBorder="1"/>
    <xf numFmtId="0" fontId="3" fillId="35" borderId="8" xfId="0" applyFont="1" applyFill="1" applyBorder="1"/>
    <xf numFmtId="0" fontId="3" fillId="22" borderId="8" xfId="0" applyFont="1" applyFill="1" applyBorder="1"/>
    <xf numFmtId="0" fontId="1" fillId="25" borderId="11" xfId="0" applyFont="1" applyFill="1" applyBorder="1" applyAlignment="1">
      <alignment vertical="center" wrapText="1"/>
    </xf>
    <xf numFmtId="0" fontId="28" fillId="7" borderId="0" xfId="0" applyFont="1" applyFill="1" applyAlignment="1">
      <alignment vertical="center"/>
    </xf>
    <xf numFmtId="0" fontId="30" fillId="0" borderId="0" xfId="0" applyFont="1" applyAlignment="1">
      <alignment vertical="center"/>
    </xf>
    <xf numFmtId="164" fontId="0" fillId="9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2" fontId="0" fillId="9" borderId="0" xfId="0" applyNumberFormat="1" applyFill="1"/>
    <xf numFmtId="14" fontId="22" fillId="9" borderId="0" xfId="0" applyNumberFormat="1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9" borderId="3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right" vertical="center"/>
    </xf>
    <xf numFmtId="0" fontId="32" fillId="9" borderId="0" xfId="0" applyFont="1" applyFill="1" applyAlignment="1">
      <alignment vertical="center"/>
    </xf>
    <xf numFmtId="2" fontId="22" fillId="9" borderId="0" xfId="0" applyNumberFormat="1" applyFont="1" applyFill="1" applyAlignment="1">
      <alignment vertical="center"/>
    </xf>
    <xf numFmtId="14" fontId="22" fillId="9" borderId="0" xfId="0" applyNumberFormat="1" applyFont="1" applyFill="1" applyAlignment="1">
      <alignment vertical="center"/>
    </xf>
    <xf numFmtId="0" fontId="41" fillId="0" borderId="0" xfId="0" applyFont="1"/>
    <xf numFmtId="0" fontId="28" fillId="37" borderId="0" xfId="0" applyFont="1" applyFill="1" applyAlignment="1">
      <alignment horizontal="center" vertical="center"/>
    </xf>
    <xf numFmtId="0" fontId="36" fillId="0" borderId="0" xfId="0" applyFont="1"/>
    <xf numFmtId="0" fontId="0" fillId="9" borderId="0" xfId="0" applyFill="1" applyAlignment="1">
      <alignment horizontal="center" vertical="center"/>
    </xf>
    <xf numFmtId="2" fontId="22" fillId="9" borderId="0" xfId="0" applyNumberFormat="1" applyFont="1" applyFill="1" applyAlignment="1">
      <alignment horizontal="center" vertical="center"/>
    </xf>
    <xf numFmtId="0" fontId="22" fillId="40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6" fillId="45" borderId="42" xfId="0" applyFont="1" applyFill="1" applyBorder="1" applyAlignment="1">
      <alignment vertical="center" wrapText="1"/>
    </xf>
    <xf numFmtId="0" fontId="42" fillId="0" borderId="0" xfId="0" applyFont="1"/>
    <xf numFmtId="14" fontId="0" fillId="16" borderId="8" xfId="0" applyNumberFormat="1" applyFill="1" applyBorder="1" applyAlignment="1">
      <alignment horizontal="center"/>
    </xf>
    <xf numFmtId="16" fontId="0" fillId="16" borderId="8" xfId="0" applyNumberFormat="1" applyFill="1" applyBorder="1" applyAlignment="1">
      <alignment horizontal="center"/>
    </xf>
    <xf numFmtId="16" fontId="0" fillId="16" borderId="8" xfId="0" quotePrefix="1" applyNumberFormat="1" applyFill="1" applyBorder="1" applyAlignment="1">
      <alignment horizontal="center"/>
    </xf>
    <xf numFmtId="0" fontId="0" fillId="16" borderId="8" xfId="0" applyFill="1" applyBorder="1"/>
    <xf numFmtId="14" fontId="0" fillId="16" borderId="8" xfId="0" quotePrefix="1" applyNumberFormat="1" applyFill="1" applyBorder="1" applyAlignment="1">
      <alignment horizontal="center"/>
    </xf>
    <xf numFmtId="0" fontId="0" fillId="16" borderId="8" xfId="0" quotePrefix="1" applyFill="1" applyBorder="1" applyAlignment="1">
      <alignment horizontal="center"/>
    </xf>
    <xf numFmtId="0" fontId="0" fillId="6" borderId="8" xfId="0" applyFill="1" applyBorder="1"/>
    <xf numFmtId="164" fontId="0" fillId="6" borderId="8" xfId="0" applyNumberFormat="1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/>
    <xf numFmtId="0" fontId="0" fillId="0" borderId="32" xfId="0" applyBorder="1"/>
    <xf numFmtId="0" fontId="0" fillId="20" borderId="32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0" fontId="21" fillId="0" borderId="0" xfId="0" applyFont="1" applyAlignment="1">
      <alignment horizontal="center" vertical="center"/>
    </xf>
    <xf numFmtId="164" fontId="21" fillId="20" borderId="0" xfId="0" applyNumberFormat="1" applyFont="1" applyFill="1" applyAlignment="1">
      <alignment horizontal="center"/>
    </xf>
    <xf numFmtId="16" fontId="21" fillId="0" borderId="0" xfId="0" applyNumberFormat="1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28" fillId="7" borderId="0" xfId="0" applyFont="1" applyFill="1" applyAlignment="1">
      <alignment horizontal="center" vertic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" fontId="0" fillId="0" borderId="8" xfId="0" applyNumberFormat="1" applyBorder="1" applyAlignment="1">
      <alignment horizontal="center"/>
    </xf>
    <xf numFmtId="0" fontId="43" fillId="0" borderId="41" xfId="0" applyFont="1" applyBorder="1" applyAlignment="1">
      <alignment horizontal="center" vertical="center"/>
    </xf>
    <xf numFmtId="0" fontId="44" fillId="0" borderId="0" xfId="0" applyFont="1"/>
    <xf numFmtId="0" fontId="43" fillId="0" borderId="41" xfId="0" applyFont="1" applyBorder="1" applyAlignment="1">
      <alignment vertical="center"/>
    </xf>
    <xf numFmtId="0" fontId="0" fillId="46" borderId="0" xfId="0" applyFill="1" applyAlignment="1">
      <alignment horizontal="center"/>
    </xf>
    <xf numFmtId="0" fontId="0" fillId="9" borderId="31" xfId="0" applyFill="1" applyBorder="1" applyAlignment="1">
      <alignment horizontal="center"/>
    </xf>
    <xf numFmtId="167" fontId="0" fillId="9" borderId="0" xfId="0" applyNumberFormat="1" applyFill="1"/>
    <xf numFmtId="0" fontId="0" fillId="38" borderId="0" xfId="0" applyFill="1" applyAlignment="1">
      <alignment horizontal="center"/>
    </xf>
    <xf numFmtId="14" fontId="0" fillId="12" borderId="0" xfId="0" applyNumberFormat="1" applyFill="1"/>
    <xf numFmtId="14" fontId="0" fillId="22" borderId="0" xfId="0" applyNumberFormat="1" applyFill="1"/>
    <xf numFmtId="0" fontId="0" fillId="22" borderId="0" xfId="0" applyFill="1" applyAlignment="1">
      <alignment horizontal="center"/>
    </xf>
    <xf numFmtId="0" fontId="0" fillId="22" borderId="0" xfId="0" applyFill="1" applyAlignment="1">
      <alignment horizontal="center" vertical="center"/>
    </xf>
    <xf numFmtId="14" fontId="0" fillId="22" borderId="0" xfId="0" applyNumberFormat="1" applyFill="1" applyAlignment="1">
      <alignment horizontal="center"/>
    </xf>
    <xf numFmtId="0" fontId="0" fillId="16" borderId="0" xfId="0" applyFill="1"/>
    <xf numFmtId="14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14" fontId="0" fillId="16" borderId="0" xfId="0" applyNumberFormat="1" applyFill="1" applyAlignment="1">
      <alignment horizont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ill="1" applyAlignment="1">
      <alignment horizontal="center" vertical="center"/>
    </xf>
    <xf numFmtId="14" fontId="0" fillId="11" borderId="0" xfId="0" applyNumberFormat="1" applyFill="1" applyAlignment="1">
      <alignment horizontal="center"/>
    </xf>
    <xf numFmtId="0" fontId="45" fillId="0" borderId="41" xfId="0" applyFont="1" applyBorder="1" applyAlignment="1">
      <alignment horizontal="center" vertical="center"/>
    </xf>
    <xf numFmtId="0" fontId="46" fillId="0" borderId="0" xfId="0" applyFont="1"/>
    <xf numFmtId="0" fontId="45" fillId="0" borderId="41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22" fillId="20" borderId="0" xfId="0" applyFont="1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14" fontId="22" fillId="4" borderId="0" xfId="0" applyNumberFormat="1" applyFont="1" applyFill="1" applyAlignment="1">
      <alignment horizontal="center" vertical="center"/>
    </xf>
    <xf numFmtId="0" fontId="0" fillId="42" borderId="0" xfId="0" applyFill="1"/>
    <xf numFmtId="14" fontId="0" fillId="42" borderId="0" xfId="0" applyNumberFormat="1" applyFill="1"/>
    <xf numFmtId="14" fontId="0" fillId="42" borderId="0" xfId="0" applyNumberFormat="1" applyFill="1" applyAlignment="1">
      <alignment horizontal="center"/>
    </xf>
    <xf numFmtId="14" fontId="0" fillId="6" borderId="0" xfId="0" applyNumberFormat="1" applyFill="1"/>
    <xf numFmtId="0" fontId="0" fillId="6" borderId="0" xfId="0" applyFill="1" applyAlignment="1">
      <alignment horizontal="center" vertical="center"/>
    </xf>
    <xf numFmtId="14" fontId="0" fillId="6" borderId="0" xfId="0" applyNumberFormat="1" applyFill="1" applyAlignment="1">
      <alignment horizontal="center"/>
    </xf>
    <xf numFmtId="169" fontId="0" fillId="0" borderId="0" xfId="0" applyNumberFormat="1" applyAlignment="1">
      <alignment horizontal="center"/>
    </xf>
    <xf numFmtId="0" fontId="45" fillId="0" borderId="0" xfId="0" applyFont="1" applyAlignment="1">
      <alignment vertical="center"/>
    </xf>
    <xf numFmtId="1" fontId="0" fillId="9" borderId="0" xfId="0" applyNumberFormat="1" applyFill="1" applyAlignment="1">
      <alignment horizontal="center"/>
    </xf>
    <xf numFmtId="20" fontId="0" fillId="9" borderId="0" xfId="0" applyNumberFormat="1" applyFill="1" applyAlignment="1">
      <alignment horizontal="center"/>
    </xf>
    <xf numFmtId="46" fontId="0" fillId="9" borderId="0" xfId="0" applyNumberFormat="1" applyFill="1" applyAlignment="1">
      <alignment horizontal="center"/>
    </xf>
    <xf numFmtId="2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12" fillId="9" borderId="0" xfId="0" applyFont="1" applyFill="1" applyAlignment="1">
      <alignment horizontal="left" vertical="center"/>
    </xf>
    <xf numFmtId="0" fontId="12" fillId="9" borderId="0" xfId="0" applyFont="1" applyFill="1" applyAlignment="1">
      <alignment vertical="center"/>
    </xf>
    <xf numFmtId="0" fontId="12" fillId="9" borderId="0" xfId="0" applyFont="1" applyFill="1" applyAlignment="1">
      <alignment horizontal="right" vertical="center"/>
    </xf>
    <xf numFmtId="0" fontId="12" fillId="9" borderId="0" xfId="0" applyFont="1" applyFill="1" applyAlignment="1">
      <alignment horizontal="center" vertical="center"/>
    </xf>
    <xf numFmtId="0" fontId="1" fillId="4" borderId="0" xfId="0" applyFont="1" applyFill="1"/>
    <xf numFmtId="164" fontId="0" fillId="44" borderId="0" xfId="0" applyNumberFormat="1" applyFill="1" applyAlignment="1">
      <alignment horizontal="center"/>
    </xf>
    <xf numFmtId="0" fontId="21" fillId="47" borderId="0" xfId="0" applyFont="1" applyFill="1" applyAlignment="1">
      <alignment horizontal="center" vertical="center"/>
    </xf>
    <xf numFmtId="0" fontId="21" fillId="47" borderId="0" xfId="0" applyFont="1" applyFill="1" applyAlignment="1">
      <alignment horizontal="left" vertical="center"/>
    </xf>
    <xf numFmtId="0" fontId="0" fillId="48" borderId="0" xfId="0" applyFill="1"/>
    <xf numFmtId="0" fontId="22" fillId="3" borderId="0" xfId="0" applyFont="1" applyFill="1" applyAlignment="1">
      <alignment horizontal="center" vertical="center"/>
    </xf>
    <xf numFmtId="0" fontId="22" fillId="35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6" fillId="45" borderId="42" xfId="0" applyFont="1" applyFill="1" applyBorder="1" applyAlignment="1">
      <alignment vertical="center" wrapText="1"/>
    </xf>
    <xf numFmtId="20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22" borderId="31" xfId="0" applyFill="1" applyBorder="1" applyAlignment="1">
      <alignment horizontal="center"/>
    </xf>
    <xf numFmtId="0" fontId="48" fillId="0" borderId="41" xfId="0" applyFont="1" applyBorder="1" applyAlignment="1">
      <alignment horizontal="center" vertical="center"/>
    </xf>
    <xf numFmtId="0" fontId="49" fillId="0" borderId="0" xfId="0" applyFont="1"/>
    <xf numFmtId="0" fontId="48" fillId="0" borderId="41" xfId="0" applyFont="1" applyBorder="1" applyAlignment="1">
      <alignment vertical="center"/>
    </xf>
    <xf numFmtId="0" fontId="0" fillId="27" borderId="19" xfId="0" applyFill="1" applyBorder="1" applyAlignment="1">
      <alignment horizontal="center" wrapText="1"/>
    </xf>
    <xf numFmtId="0" fontId="0" fillId="27" borderId="14" xfId="0" applyFill="1" applyBorder="1" applyAlignment="1">
      <alignment horizontal="center" wrapText="1"/>
    </xf>
    <xf numFmtId="1" fontId="0" fillId="27" borderId="34" xfId="0" applyNumberFormat="1" applyFill="1" applyBorder="1" applyAlignment="1">
      <alignment horizontal="right" vertical="center"/>
    </xf>
    <xf numFmtId="1" fontId="0" fillId="27" borderId="35" xfId="0" applyNumberFormat="1" applyFill="1" applyBorder="1" applyAlignment="1">
      <alignment horizontal="right" vertical="center"/>
    </xf>
    <xf numFmtId="0" fontId="3" fillId="8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8" fillId="0" borderId="4" xfId="0" applyFont="1" applyBorder="1" applyAlignment="1">
      <alignment horizontal="center"/>
    </xf>
    <xf numFmtId="0" fontId="12" fillId="46" borderId="1" xfId="0" applyFont="1" applyFill="1" applyBorder="1" applyAlignment="1">
      <alignment horizontal="center"/>
    </xf>
    <xf numFmtId="0" fontId="12" fillId="46" borderId="2" xfId="0" applyFont="1" applyFill="1" applyBorder="1" applyAlignment="1">
      <alignment horizontal="center"/>
    </xf>
    <xf numFmtId="0" fontId="0" fillId="22" borderId="8" xfId="0" applyFill="1" applyBorder="1" applyAlignment="1">
      <alignment horizontal="center"/>
    </xf>
    <xf numFmtId="0" fontId="12" fillId="16" borderId="8" xfId="0" applyFont="1" applyFill="1" applyBorder="1" applyAlignment="1">
      <alignment horizontal="center"/>
    </xf>
    <xf numFmtId="164" fontId="2" fillId="0" borderId="24" xfId="0" applyNumberFormat="1" applyFont="1" applyBorder="1" applyAlignment="1">
      <alignment horizontal="center" vertical="center"/>
    </xf>
    <xf numFmtId="0" fontId="2" fillId="32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6">
    <dxf>
      <fill>
        <patternFill>
          <bgColor theme="8" tint="0.39994506668294322"/>
        </patternFill>
      </fill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numFmt numFmtId="19" formatCode="dd/mm/yy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numFmt numFmtId="2" formatCode="0.00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numFmt numFmtId="19" formatCode="dd/mm/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family val="2"/>
      </font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99CC"/>
      <color rgb="FF33CCFF"/>
      <color rgb="FFFFCC00"/>
      <color rgb="FFFF6600"/>
      <color rgb="FF00FF00"/>
      <color rgb="FFFF3399"/>
      <color rgb="FFFF9900"/>
      <color rgb="FF66FF33"/>
      <color rgb="FFFFFF0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9.xml"/><Relationship Id="rId19" Type="http://schemas.openxmlformats.org/officeDocument/2006/relationships/externalLink" Target="externalLinks/externalLink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i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'2627PR_Inward'!$C$1</c:f>
              <c:strCache>
                <c:ptCount val="1"/>
                <c:pt idx="0">
                  <c:v>26-27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'2627PR_Inward'!$C$2:$C$26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3-4767-9F46-545BA5D4006F}"/>
            </c:ext>
          </c:extLst>
        </c:ser>
        <c:ser>
          <c:idx val="1"/>
          <c:order val="1"/>
          <c:tx>
            <c:strRef>
              <c:f>'2627PR_Inward'!$D$1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'2627PR_Inward'!$D$2:$D$26</c:f>
              <c:numCache>
                <c:formatCode>General</c:formatCode>
                <c:ptCount val="25"/>
                <c:pt idx="0">
                  <c:v>0</c:v>
                </c:pt>
                <c:pt idx="1">
                  <c:v>13108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22">
                  <c:v>220</c:v>
                </c:pt>
                <c:pt idx="23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3-4767-9F46-545BA5D4006F}"/>
            </c:ext>
          </c:extLst>
        </c:ser>
        <c:ser>
          <c:idx val="2"/>
          <c:order val="2"/>
          <c:tx>
            <c:strRef>
              <c:f>'2627PR_Inward'!$E$1</c:f>
              <c:strCache>
                <c:ptCount val="1"/>
                <c:pt idx="0">
                  <c:v>MICRO PROCESSORS , RAJKOT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'2627PR_Inward'!$E$2:$E$26</c:f>
              <c:numCache>
                <c:formatCode>dd\/mm</c:formatCode>
                <c:ptCount val="25"/>
                <c:pt idx="0">
                  <c:v>0</c:v>
                </c:pt>
                <c:pt idx="1">
                  <c:v>45449</c:v>
                </c:pt>
                <c:pt idx="2">
                  <c:v>45555</c:v>
                </c:pt>
                <c:pt idx="3">
                  <c:v>46049</c:v>
                </c:pt>
                <c:pt idx="4">
                  <c:v>46049</c:v>
                </c:pt>
                <c:pt idx="5">
                  <c:v>46049</c:v>
                </c:pt>
                <c:pt idx="6">
                  <c:v>46049</c:v>
                </c:pt>
                <c:pt idx="7">
                  <c:v>46049</c:v>
                </c:pt>
                <c:pt idx="8">
                  <c:v>46049</c:v>
                </c:pt>
                <c:pt idx="9">
                  <c:v>46068</c:v>
                </c:pt>
                <c:pt idx="10">
                  <c:v>46068</c:v>
                </c:pt>
                <c:pt idx="12">
                  <c:v>46115</c:v>
                </c:pt>
                <c:pt idx="15">
                  <c:v>46132</c:v>
                </c:pt>
                <c:pt idx="18">
                  <c:v>46137</c:v>
                </c:pt>
                <c:pt idx="22">
                  <c:v>46143</c:v>
                </c:pt>
                <c:pt idx="23">
                  <c:v>46143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83-4767-9F46-545BA5D4006F}"/>
            </c:ext>
          </c:extLst>
        </c:ser>
        <c:ser>
          <c:idx val="3"/>
          <c:order val="3"/>
          <c:tx>
            <c:strRef>
              <c:f>'2627PR_Inward'!$F$1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'2627PR_Inward'!$F$2:$F$26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83-4767-9F46-545BA5D4006F}"/>
            </c:ext>
          </c:extLst>
        </c:ser>
        <c:ser>
          <c:idx val="4"/>
          <c:order val="4"/>
          <c:tx>
            <c:strRef>
              <c:f>'2627PR_Inward'!$G$1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'2627PR_Inward'!$G$2:$G$26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83-4767-9F46-545BA5D4006F}"/>
            </c:ext>
          </c:extLst>
        </c:ser>
        <c:ser>
          <c:idx val="5"/>
          <c:order val="5"/>
          <c:tx>
            <c:strRef>
              <c:f>'2627PR_Inward'!$H$1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'2627PR_Inward'!$H$2:$H$26</c:f>
              <c:numCache>
                <c:formatCode>General</c:formatCode>
                <c:ptCount val="25"/>
                <c:pt idx="0">
                  <c:v>0</c:v>
                </c:pt>
                <c:pt idx="1">
                  <c:v>17.5</c:v>
                </c:pt>
                <c:pt idx="2">
                  <c:v>21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21</c:v>
                </c:pt>
                <c:pt idx="9">
                  <c:v>22</c:v>
                </c:pt>
                <c:pt idx="10">
                  <c:v>22</c:v>
                </c:pt>
                <c:pt idx="12">
                  <c:v>17.5</c:v>
                </c:pt>
                <c:pt idx="15">
                  <c:v>17.3</c:v>
                </c:pt>
                <c:pt idx="18">
                  <c:v>10</c:v>
                </c:pt>
                <c:pt idx="22">
                  <c:v>9</c:v>
                </c:pt>
                <c:pt idx="2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83-4767-9F46-545BA5D4006F}"/>
            </c:ext>
          </c:extLst>
        </c:ser>
        <c:ser>
          <c:idx val="6"/>
          <c:order val="6"/>
          <c:tx>
            <c:strRef>
              <c:f>'2627PR_Inward'!$I$1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'2627PR_Inward'!$I$2:$I$26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2">
                  <c:v>4140</c:v>
                </c:pt>
                <c:pt idx="23">
                  <c:v>4140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83-4767-9F46-545BA5D4006F}"/>
            </c:ext>
          </c:extLst>
        </c:ser>
        <c:ser>
          <c:idx val="7"/>
          <c:order val="7"/>
          <c:tx>
            <c:strRef>
              <c:f>'2627PR_Inward'!$J$1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'2627PR_Inward'!$J$2:$J$26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83-4767-9F46-545BA5D4006F}"/>
            </c:ext>
          </c:extLst>
        </c:ser>
        <c:ser>
          <c:idx val="8"/>
          <c:order val="8"/>
          <c:tx>
            <c:strRef>
              <c:f>'2627PR_Inward'!$K$1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'2627PR_Inward'!$K$2:$K$26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83-4767-9F46-545BA5D4006F}"/>
            </c:ext>
          </c:extLst>
        </c:ser>
        <c:ser>
          <c:idx val="9"/>
          <c:order val="9"/>
          <c:tx>
            <c:strRef>
              <c:f>'2627PR_Inward'!$L$1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'2627PR_Inward'!$L$2:$L$26</c:f>
              <c:numCache>
                <c:formatCode>General</c:formatCode>
                <c:ptCount val="25"/>
                <c:pt idx="0">
                  <c:v>0</c:v>
                </c:pt>
                <c:pt idx="1">
                  <c:v>350</c:v>
                </c:pt>
                <c:pt idx="2">
                  <c:v>1730</c:v>
                </c:pt>
                <c:pt idx="3">
                  <c:v>1970</c:v>
                </c:pt>
                <c:pt idx="4">
                  <c:v>980</c:v>
                </c:pt>
                <c:pt idx="5">
                  <c:v>2395</c:v>
                </c:pt>
                <c:pt idx="6">
                  <c:v>555</c:v>
                </c:pt>
                <c:pt idx="7">
                  <c:v>1900</c:v>
                </c:pt>
                <c:pt idx="8">
                  <c:v>2080</c:v>
                </c:pt>
                <c:pt idx="9">
                  <c:v>970</c:v>
                </c:pt>
                <c:pt idx="10">
                  <c:v>865</c:v>
                </c:pt>
                <c:pt idx="12">
                  <c:v>1985</c:v>
                </c:pt>
                <c:pt idx="13">
                  <c:v>1985</c:v>
                </c:pt>
                <c:pt idx="15">
                  <c:v>2221</c:v>
                </c:pt>
                <c:pt idx="16">
                  <c:v>2221</c:v>
                </c:pt>
                <c:pt idx="18">
                  <c:v>2015</c:v>
                </c:pt>
                <c:pt idx="19">
                  <c:v>2015</c:v>
                </c:pt>
                <c:pt idx="22">
                  <c:v>1961</c:v>
                </c:pt>
                <c:pt idx="23">
                  <c:v>1964</c:v>
                </c:pt>
                <c:pt idx="24">
                  <c:v>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E83-4767-9F46-545BA5D4006F}"/>
            </c:ext>
          </c:extLst>
        </c:ser>
        <c:ser>
          <c:idx val="10"/>
          <c:order val="10"/>
          <c:tx>
            <c:strRef>
              <c:f>'2627PR_Inward'!$M$1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'2627PR_Inward'!$M$2:$M$26</c:f>
              <c:numCache>
                <c:formatCode>General</c:formatCode>
                <c:ptCount val="25"/>
                <c:pt idx="0">
                  <c:v>0</c:v>
                </c:pt>
                <c:pt idx="2">
                  <c:v>1730</c:v>
                </c:pt>
                <c:pt idx="3">
                  <c:v>2946</c:v>
                </c:pt>
                <c:pt idx="4">
                  <c:v>2946</c:v>
                </c:pt>
                <c:pt idx="6">
                  <c:v>2927</c:v>
                </c:pt>
                <c:pt idx="9">
                  <c:v>1826</c:v>
                </c:pt>
                <c:pt idx="10">
                  <c:v>1826</c:v>
                </c:pt>
                <c:pt idx="14">
                  <c:v>0</c:v>
                </c:pt>
                <c:pt idx="17">
                  <c:v>0</c:v>
                </c:pt>
                <c:pt idx="20">
                  <c:v>0</c:v>
                </c:pt>
                <c:pt idx="22">
                  <c:v>1961</c:v>
                </c:pt>
                <c:pt idx="23">
                  <c:v>1964</c:v>
                </c:pt>
                <c:pt idx="24">
                  <c:v>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E83-4767-9F46-545BA5D4006F}"/>
            </c:ext>
          </c:extLst>
        </c:ser>
        <c:ser>
          <c:idx val="11"/>
          <c:order val="11"/>
          <c:tx>
            <c:strRef>
              <c:f>'2627PR_Inward'!$N$1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'2627PR_Inward'!$N$2:$N$26</c:f>
              <c:numCache>
                <c:formatCode>General</c:formatCode>
                <c:ptCount val="25"/>
                <c:pt idx="0">
                  <c:v>0</c:v>
                </c:pt>
                <c:pt idx="2">
                  <c:v>1732</c:v>
                </c:pt>
                <c:pt idx="3">
                  <c:v>1970</c:v>
                </c:pt>
                <c:pt idx="4">
                  <c:v>990</c:v>
                </c:pt>
                <c:pt idx="8">
                  <c:v>900</c:v>
                </c:pt>
                <c:pt idx="14">
                  <c:v>0</c:v>
                </c:pt>
                <c:pt idx="17">
                  <c:v>0</c:v>
                </c:pt>
                <c:pt idx="19">
                  <c:v>2015</c:v>
                </c:pt>
                <c:pt idx="20">
                  <c:v>0</c:v>
                </c:pt>
                <c:pt idx="24">
                  <c:v>3925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E83-4767-9F46-545BA5D4006F}"/>
            </c:ext>
          </c:extLst>
        </c:ser>
        <c:ser>
          <c:idx val="12"/>
          <c:order val="12"/>
          <c:tx>
            <c:strRef>
              <c:f>'2627PR_Inward'!$O$1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'2627PR_Inward'!$O$2:$O$26</c:f>
              <c:numCache>
                <c:formatCode>General</c:formatCode>
                <c:ptCount val="2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1985</c:v>
                </c:pt>
                <c:pt idx="14">
                  <c:v>0</c:v>
                </c:pt>
                <c:pt idx="15">
                  <c:v>0</c:v>
                </c:pt>
                <c:pt idx="18">
                  <c:v>0</c:v>
                </c:pt>
                <c:pt idx="19">
                  <c:v>2015</c:v>
                </c:pt>
                <c:pt idx="20">
                  <c:v>0</c:v>
                </c:pt>
                <c:pt idx="22">
                  <c:v>3519188</c:v>
                </c:pt>
                <c:pt idx="23">
                  <c:v>3519187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E83-4767-9F46-545BA5D4006F}"/>
            </c:ext>
          </c:extLst>
        </c:ser>
        <c:ser>
          <c:idx val="13"/>
          <c:order val="13"/>
          <c:tx>
            <c:strRef>
              <c:f>'2627PR_Inward'!$P$1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'2627PR_Inward'!$P$2:$P$26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E83-4767-9F46-545BA5D4006F}"/>
            </c:ext>
          </c:extLst>
        </c:ser>
        <c:ser>
          <c:idx val="14"/>
          <c:order val="14"/>
          <c:tx>
            <c:strRef>
              <c:f>'2627PR_Inward'!$Q$1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'2627PR_Inward'!$Q$2:$Q$26</c:f>
              <c:numCache>
                <c:formatCode>dd\/mm</c:formatCode>
                <c:ptCount val="2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46133</c:v>
                </c:pt>
                <c:pt idx="4">
                  <c:v>0</c:v>
                </c:pt>
                <c:pt idx="5">
                  <c:v>46258</c:v>
                </c:pt>
                <c:pt idx="6">
                  <c:v>46170</c:v>
                </c:pt>
                <c:pt idx="7">
                  <c:v>46117</c:v>
                </c:pt>
                <c:pt idx="8">
                  <c:v>0</c:v>
                </c:pt>
                <c:pt idx="9">
                  <c:v>46122</c:v>
                </c:pt>
                <c:pt idx="10">
                  <c:v>46163</c:v>
                </c:pt>
                <c:pt idx="11" formatCode="General">
                  <c:v>0</c:v>
                </c:pt>
                <c:pt idx="12">
                  <c:v>46119</c:v>
                </c:pt>
                <c:pt idx="13">
                  <c:v>0</c:v>
                </c:pt>
                <c:pt idx="14">
                  <c:v>0</c:v>
                </c:pt>
                <c:pt idx="15">
                  <c:v>46137</c:v>
                </c:pt>
                <c:pt idx="16">
                  <c:v>0</c:v>
                </c:pt>
                <c:pt idx="17">
                  <c:v>0</c:v>
                </c:pt>
                <c:pt idx="18">
                  <c:v>46146</c:v>
                </c:pt>
                <c:pt idx="19">
                  <c:v>0</c:v>
                </c:pt>
                <c:pt idx="20">
                  <c:v>0</c:v>
                </c:pt>
                <c:pt idx="21" formatCode="General">
                  <c:v>0</c:v>
                </c:pt>
                <c:pt idx="22">
                  <c:v>46161</c:v>
                </c:pt>
                <c:pt idx="23">
                  <c:v>46160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E83-4767-9F46-545BA5D4006F}"/>
            </c:ext>
          </c:extLst>
        </c:ser>
        <c:ser>
          <c:idx val="15"/>
          <c:order val="15"/>
          <c:tx>
            <c:strRef>
              <c:f>'2627PR_Inward'!$R$1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'2627PR_Inward'!$R$2:$R$26</c:f>
              <c:numCache>
                <c:formatCode>dd\/mm</c:formatCode>
                <c:ptCount val="2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General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 formatCode="General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83-4767-9F46-545BA5D4006F}"/>
            </c:ext>
          </c:extLst>
        </c:ser>
        <c:ser>
          <c:idx val="16"/>
          <c:order val="16"/>
          <c:tx>
            <c:strRef>
              <c:f>'2627PR_Inward'!$S$1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'2627PR_Inward'!$S$2:$S$26</c:f>
              <c:numCache>
                <c:formatCode>0.0</c:formatCode>
                <c:ptCount val="2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83-4767-9F46-545BA5D4006F}"/>
            </c:ext>
          </c:extLst>
        </c:ser>
        <c:ser>
          <c:idx val="17"/>
          <c:order val="17"/>
          <c:tx>
            <c:strRef>
              <c:f>'2627PR_Inward'!$T$1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'2627PR_Inward'!$T$2:$T$26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E83-4767-9F46-545BA5D4006F}"/>
            </c:ext>
          </c:extLst>
        </c:ser>
        <c:ser>
          <c:idx val="18"/>
          <c:order val="18"/>
          <c:tx>
            <c:strRef>
              <c:f>'2627PR_Inward'!$U$1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'2627PR_Inward'!$U$2:$U$26</c:f>
              <c:numCache>
                <c:formatCode>0.00</c:formatCode>
                <c:ptCount val="25"/>
                <c:pt idx="0" formatCode="General">
                  <c:v>0</c:v>
                </c:pt>
                <c:pt idx="2">
                  <c:v>63</c:v>
                </c:pt>
                <c:pt idx="3">
                  <c:v>64.5</c:v>
                </c:pt>
                <c:pt idx="4">
                  <c:v>64.5</c:v>
                </c:pt>
                <c:pt idx="5">
                  <c:v>64.5</c:v>
                </c:pt>
                <c:pt idx="6">
                  <c:v>64.5</c:v>
                </c:pt>
                <c:pt idx="7">
                  <c:v>64.5</c:v>
                </c:pt>
                <c:pt idx="8">
                  <c:v>64.5</c:v>
                </c:pt>
                <c:pt idx="9" formatCode="General">
                  <c:v>65.25</c:v>
                </c:pt>
                <c:pt idx="10" formatCode="General">
                  <c:v>65.25</c:v>
                </c:pt>
                <c:pt idx="12">
                  <c:v>67</c:v>
                </c:pt>
                <c:pt idx="18">
                  <c:v>70</c:v>
                </c:pt>
                <c:pt idx="22">
                  <c:v>81</c:v>
                </c:pt>
                <c:pt idx="23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E83-4767-9F46-545BA5D4006F}"/>
            </c:ext>
          </c:extLst>
        </c:ser>
        <c:ser>
          <c:idx val="19"/>
          <c:order val="19"/>
          <c:tx>
            <c:strRef>
              <c:f>'2627PR_Inward'!$V$1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'2627PR_Inward'!$V$2:$V$26</c:f>
              <c:numCache>
                <c:formatCode>0.00</c:formatCode>
                <c:ptCount val="25"/>
                <c:pt idx="0" formatCode="General">
                  <c:v>0</c:v>
                </c:pt>
                <c:pt idx="2">
                  <c:v>108990</c:v>
                </c:pt>
                <c:pt idx="3">
                  <c:v>127065</c:v>
                </c:pt>
                <c:pt idx="4">
                  <c:v>63210</c:v>
                </c:pt>
                <c:pt idx="5">
                  <c:v>154477.5</c:v>
                </c:pt>
                <c:pt idx="6">
                  <c:v>35797.5</c:v>
                </c:pt>
                <c:pt idx="7">
                  <c:v>122550</c:v>
                </c:pt>
                <c:pt idx="8">
                  <c:v>134160</c:v>
                </c:pt>
                <c:pt idx="9">
                  <c:v>63292.5</c:v>
                </c:pt>
                <c:pt idx="10">
                  <c:v>56441.25</c:v>
                </c:pt>
                <c:pt idx="12">
                  <c:v>132995</c:v>
                </c:pt>
                <c:pt idx="18">
                  <c:v>141050</c:v>
                </c:pt>
                <c:pt idx="22">
                  <c:v>158841</c:v>
                </c:pt>
                <c:pt idx="23">
                  <c:v>159084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E83-4767-9F46-545BA5D4006F}"/>
            </c:ext>
          </c:extLst>
        </c:ser>
        <c:ser>
          <c:idx val="20"/>
          <c:order val="20"/>
          <c:tx>
            <c:strRef>
              <c:f>'2627PR_Inward'!$W$1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'2627PR_Inward'!$W$2:$W$26</c:f>
              <c:numCache>
                <c:formatCode>0.00</c:formatCode>
                <c:ptCount val="25"/>
                <c:pt idx="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E83-4767-9F46-545BA5D4006F}"/>
            </c:ext>
          </c:extLst>
        </c:ser>
        <c:ser>
          <c:idx val="21"/>
          <c:order val="21"/>
          <c:tx>
            <c:strRef>
              <c:f>'2627PR_Inward'!$X$1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'2627PR_Inward'!$A$2:$B$26</c:f>
              <c:multiLvlStrCache>
                <c:ptCount val="24"/>
                <c:lvl>
                  <c:pt idx="0">
                    <c:v>Uniq Id</c:v>
                  </c:pt>
                  <c:pt idx="1">
                    <c:v>6506202403</c:v>
                  </c:pt>
                  <c:pt idx="2">
                    <c:v>610903</c:v>
                  </c:pt>
                  <c:pt idx="3">
                    <c:v>610102A</c:v>
                  </c:pt>
                  <c:pt idx="4">
                    <c:v>610102B</c:v>
                  </c:pt>
                  <c:pt idx="5">
                    <c:v>610103A</c:v>
                  </c:pt>
                  <c:pt idx="6">
                    <c:v>610103B</c:v>
                  </c:pt>
                  <c:pt idx="7">
                    <c:v>610104A</c:v>
                  </c:pt>
                  <c:pt idx="8">
                    <c:v>610105A</c:v>
                  </c:pt>
                  <c:pt idx="9">
                    <c:v>610205B</c:v>
                  </c:pt>
                  <c:pt idx="10">
                    <c:v>610205A</c:v>
                  </c:pt>
                  <c:pt idx="12">
                    <c:v>610401</c:v>
                  </c:pt>
                  <c:pt idx="15">
                    <c:v>340401</c:v>
                  </c:pt>
                  <c:pt idx="18">
                    <c:v>270401</c:v>
                  </c:pt>
                  <c:pt idx="22">
                    <c:v>940501</c:v>
                  </c:pt>
                  <c:pt idx="23">
                    <c:v>940502</c:v>
                  </c:pt>
                </c:lvl>
                <c:lvl>
                  <c:pt idx="0">
                    <c:v>MTH</c:v>
                  </c:pt>
                  <c:pt idx="1">
                    <c:v>JUNE</c:v>
                  </c:pt>
                  <c:pt idx="2">
                    <c:v>SEPT</c:v>
                  </c:pt>
                  <c:pt idx="3">
                    <c:v>JAN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JAN</c:v>
                  </c:pt>
                  <c:pt idx="7">
                    <c:v>JAN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FEB</c:v>
                  </c:pt>
                  <c:pt idx="12">
                    <c:v>April</c:v>
                  </c:pt>
                  <c:pt idx="15">
                    <c:v>April</c:v>
                  </c:pt>
                  <c:pt idx="18">
                    <c:v>April</c:v>
                  </c:pt>
                  <c:pt idx="22">
                    <c:v>MAY</c:v>
                  </c:pt>
                  <c:pt idx="23">
                    <c:v>MAY</c:v>
                  </c:pt>
                </c:lvl>
              </c:multiLvlStrCache>
            </c:multiLvlStrRef>
          </c:cat>
          <c:val>
            <c:numRef>
              <c:f>'2627PR_Inward'!$X$2:$X$26</c:f>
              <c:numCache>
                <c:formatCode>0.00</c:formatCode>
                <c:ptCount val="25"/>
                <c:pt idx="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E83-4767-9F46-545BA5D40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766160"/>
        <c:axId val="981766640"/>
      </c:barChart>
      <c:catAx>
        <c:axId val="98176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i-IN"/>
          </a:p>
        </c:txPr>
        <c:crossAx val="981766640"/>
        <c:crosses val="autoZero"/>
        <c:auto val="1"/>
        <c:lblAlgn val="ctr"/>
        <c:lblOffset val="100"/>
        <c:noMultiLvlLbl val="0"/>
      </c:catAx>
      <c:valAx>
        <c:axId val="98176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i-IN"/>
          </a:p>
        </c:txPr>
        <c:crossAx val="98176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i-I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i-I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BD8241-F611-4001-9317-EDA91608557A}">
  <sheetPr/>
  <sheetViews>
    <sheetView zoomScale="10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891" cy="606582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6FC4E6-7B50-F991-F799-36273F13AC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11206</xdr:rowOff>
    </xdr:from>
    <xdr:to>
      <xdr:col>13</xdr:col>
      <xdr:colOff>0</xdr:colOff>
      <xdr:row>67</xdr:row>
      <xdr:rowOff>3161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6544235" y="11206"/>
          <a:ext cx="0" cy="7567131"/>
        </a:xfrm>
        <a:prstGeom prst="line">
          <a:avLst/>
        </a:prstGeom>
        <a:ln w="508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11608</xdr:colOff>
      <xdr:row>1</xdr:row>
      <xdr:rowOff>22412</xdr:rowOff>
    </xdr:from>
    <xdr:to>
      <xdr:col>18</xdr:col>
      <xdr:colOff>11608</xdr:colOff>
      <xdr:row>67</xdr:row>
      <xdr:rowOff>14367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0007255" y="22412"/>
          <a:ext cx="0" cy="7567131"/>
        </a:xfrm>
        <a:prstGeom prst="line">
          <a:avLst/>
        </a:prstGeom>
        <a:ln w="508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2033</xdr:colOff>
      <xdr:row>1</xdr:row>
      <xdr:rowOff>32191</xdr:rowOff>
    </xdr:from>
    <xdr:to>
      <xdr:col>25</xdr:col>
      <xdr:colOff>2033</xdr:colOff>
      <xdr:row>68</xdr:row>
      <xdr:rowOff>24146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13146533" y="32191"/>
          <a:ext cx="0" cy="7567131"/>
        </a:xfrm>
        <a:prstGeom prst="line">
          <a:avLst/>
        </a:prstGeom>
        <a:ln w="508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10793</xdr:colOff>
      <xdr:row>1</xdr:row>
      <xdr:rowOff>18541</xdr:rowOff>
    </xdr:from>
    <xdr:to>
      <xdr:col>31</xdr:col>
      <xdr:colOff>10793</xdr:colOff>
      <xdr:row>67</xdr:row>
      <xdr:rowOff>10496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16427411" y="18541"/>
          <a:ext cx="0" cy="7567131"/>
        </a:xfrm>
        <a:prstGeom prst="line">
          <a:avLst/>
        </a:prstGeom>
        <a:ln w="508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11753</xdr:colOff>
      <xdr:row>1</xdr:row>
      <xdr:rowOff>7656</xdr:rowOff>
    </xdr:from>
    <xdr:to>
      <xdr:col>34</xdr:col>
      <xdr:colOff>11753</xdr:colOff>
      <xdr:row>66</xdr:row>
      <xdr:rowOff>184669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3035039" y="7656"/>
          <a:ext cx="0" cy="7209184"/>
        </a:xfrm>
        <a:prstGeom prst="line">
          <a:avLst/>
        </a:prstGeom>
        <a:ln w="50800" cmpd="sng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</xdr:row>
      <xdr:rowOff>76200</xdr:rowOff>
    </xdr:from>
    <xdr:to>
      <xdr:col>16</xdr:col>
      <xdr:colOff>419100</xdr:colOff>
      <xdr:row>2</xdr:row>
      <xdr:rowOff>171450</xdr:rowOff>
    </xdr:to>
    <xdr:sp macro="[0]!stockrefresh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458200" y="76200"/>
          <a:ext cx="1400175" cy="342900"/>
        </a:xfrm>
        <a:prstGeom prst="roundRect">
          <a:avLst/>
        </a:prstGeom>
        <a:solidFill>
          <a:srgbClr val="CCFF33">
            <a:alpha val="90000"/>
          </a:srgbClr>
        </a:solidFill>
        <a:ln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>
              <a:solidFill>
                <a:srgbClr val="FF0000"/>
              </a:solidFill>
            </a:rPr>
            <a:t>REFRESH</a:t>
          </a:r>
          <a:r>
            <a:rPr lang="en-IN" sz="1400" b="1" baseline="0">
              <a:solidFill>
                <a:srgbClr val="FF0000"/>
              </a:solidFill>
            </a:rPr>
            <a:t> STOCK</a:t>
          </a:r>
          <a:endParaRPr lang="en-IN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330068</xdr:colOff>
      <xdr:row>130</xdr:row>
      <xdr:rowOff>4287</xdr:rowOff>
    </xdr:from>
    <xdr:to>
      <xdr:col>9</xdr:col>
      <xdr:colOff>490480</xdr:colOff>
      <xdr:row>130</xdr:row>
      <xdr:rowOff>353786</xdr:rowOff>
    </xdr:to>
    <xdr:sp macro="[0]!PendingDel" textlink="">
      <xdr:nvSpPr>
        <xdr:cNvPr id="5" name="Rounded Rectangle 1">
          <a:extLst>
            <a:ext uri="{FF2B5EF4-FFF2-40B4-BE49-F238E27FC236}">
              <a16:creationId xmlns:a16="http://schemas.microsoft.com/office/drawing/2014/main" id="{B0C7254D-5168-1259-12A9-D8C80B7D4881}"/>
            </a:ext>
          </a:extLst>
        </xdr:cNvPr>
        <xdr:cNvSpPr/>
      </xdr:nvSpPr>
      <xdr:spPr>
        <a:xfrm>
          <a:off x="2439175" y="183414966"/>
          <a:ext cx="4650769" cy="349499"/>
        </a:xfrm>
        <a:prstGeom prst="roundRect">
          <a:avLst/>
        </a:prstGeom>
        <a:solidFill>
          <a:srgbClr val="FFC000"/>
        </a:solidFill>
        <a:effectLst>
          <a:outerShdw blurRad="50800" dist="50800" dir="5400000" algn="ctr" rotWithShape="0">
            <a:schemeClr val="accent2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ysClr val="windowText" lastClr="000000"/>
              </a:solidFill>
            </a:rPr>
            <a:t>Refresh</a:t>
          </a:r>
          <a:r>
            <a:rPr lang="en-IN" sz="1600" b="1" baseline="0">
              <a:solidFill>
                <a:sysClr val="windowText" lastClr="000000"/>
              </a:solidFill>
            </a:rPr>
            <a:t>  READY STOCK PENDING FOR DELIVERY</a:t>
          </a:r>
        </a:p>
        <a:p>
          <a:pPr algn="ctr"/>
          <a:endParaRPr lang="en-IN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285750</xdr:colOff>
      <xdr:row>1</xdr:row>
      <xdr:rowOff>76200</xdr:rowOff>
    </xdr:from>
    <xdr:to>
      <xdr:col>16</xdr:col>
      <xdr:colOff>47625</xdr:colOff>
      <xdr:row>2</xdr:row>
      <xdr:rowOff>19050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B0C4D5-940A-296B-FAC5-D9B0A7DA080D}"/>
            </a:ext>
          </a:extLst>
        </xdr:cNvPr>
        <xdr:cNvSpPr/>
      </xdr:nvSpPr>
      <xdr:spPr>
        <a:xfrm>
          <a:off x="8820150" y="314325"/>
          <a:ext cx="981075" cy="323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>
              <a:solidFill>
                <a:schemeClr val="tx1"/>
              </a:solidFill>
            </a:rPr>
            <a:t>REFRESH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ightcorpo-my.sharepoint.com/personal/aksatp_brightcorpo_onmicrosoft_com/Documents/1%20Running%20Work/Alloy%20HT%20%2026-27%20Cloud.xlsm" TargetMode="External"/><Relationship Id="rId1" Type="http://schemas.openxmlformats.org/officeDocument/2006/relationships/externalLinkPath" Target="Alloy%20HT%20%2026-27%20Clo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Alloy_I_O General"/>
      <sheetName val="Sheet2"/>
      <sheetName val="LABLE"/>
      <sheetName val="2526ALLOY_Master"/>
      <sheetName val="2627Alloy_Inward"/>
      <sheetName val="2627Alloy_Loading"/>
      <sheetName val="2627Alloy_Delivery"/>
      <sheetName val="Alloy Trans"/>
      <sheetName val="2627Alloy_Process"/>
      <sheetName val="2627Alloy_Stock_Report"/>
      <sheetName val="ADDRESS"/>
    </sheetNames>
    <sheetDataSet>
      <sheetData sheetId="0"/>
      <sheetData sheetId="1"/>
      <sheetData sheetId="2"/>
      <sheetData sheetId="3"/>
      <sheetData sheetId="4"/>
      <sheetData sheetId="5">
        <row r="3">
          <cell r="A3" t="str">
            <v>STOCK</v>
          </cell>
          <cell r="B3">
            <v>911102</v>
          </cell>
          <cell r="C3" t="str">
            <v>BC</v>
          </cell>
          <cell r="D3" t="str">
            <v>OJW/34</v>
          </cell>
          <cell r="E3">
            <v>45969</v>
          </cell>
          <cell r="F3" t="str">
            <v>OVER</v>
          </cell>
          <cell r="G3" t="str">
            <v>TATA</v>
          </cell>
          <cell r="H3">
            <v>20</v>
          </cell>
          <cell r="I3" t="str">
            <v>EN31</v>
          </cell>
          <cell r="J3">
            <v>131</v>
          </cell>
          <cell r="K3">
            <v>2</v>
          </cell>
          <cell r="L3">
            <v>965</v>
          </cell>
          <cell r="M3">
            <v>966</v>
          </cell>
          <cell r="O3" t="str">
            <v>B78533</v>
          </cell>
          <cell r="P3">
            <v>80</v>
          </cell>
          <cell r="Q3">
            <v>46184</v>
          </cell>
          <cell r="R3" t="str">
            <v>DC/15</v>
          </cell>
          <cell r="T3" t="str">
            <v/>
          </cell>
          <cell r="U3">
            <v>58.5</v>
          </cell>
          <cell r="V3">
            <v>56452.5</v>
          </cell>
          <cell r="X3"/>
        </row>
        <row r="4">
          <cell r="A4" t="str">
            <v>STOCK</v>
          </cell>
          <cell r="B4" t="str">
            <v>911201B</v>
          </cell>
          <cell r="C4" t="str">
            <v>BC</v>
          </cell>
          <cell r="D4" t="str">
            <v>OJW/42</v>
          </cell>
          <cell r="E4">
            <v>46016</v>
          </cell>
          <cell r="F4" t="str">
            <v>MBBPL</v>
          </cell>
          <cell r="G4" t="str">
            <v>BPSL</v>
          </cell>
          <cell r="H4">
            <v>27</v>
          </cell>
          <cell r="I4" t="str">
            <v>SAE</v>
          </cell>
          <cell r="J4">
            <v>190</v>
          </cell>
          <cell r="K4">
            <v>2</v>
          </cell>
          <cell r="L4">
            <v>1000</v>
          </cell>
          <cell r="O4" t="str">
            <v>E254093</v>
          </cell>
          <cell r="P4">
            <v>75</v>
          </cell>
          <cell r="Q4">
            <v>46231</v>
          </cell>
          <cell r="R4" t="str">
            <v>DC/42</v>
          </cell>
          <cell r="T4" t="str">
            <v>6921 5243 0884</v>
          </cell>
          <cell r="U4">
            <v>61.5</v>
          </cell>
          <cell r="V4">
            <v>61500</v>
          </cell>
          <cell r="X4"/>
        </row>
        <row r="5">
          <cell r="A5" t="str">
            <v>STOCK</v>
          </cell>
          <cell r="B5">
            <v>920301</v>
          </cell>
          <cell r="C5" t="str">
            <v>DWPL</v>
          </cell>
          <cell r="D5">
            <v>1150</v>
          </cell>
          <cell r="E5">
            <v>46108</v>
          </cell>
          <cell r="F5" t="str">
            <v>SELF</v>
          </cell>
          <cell r="G5" t="str">
            <v>MUKUND</v>
          </cell>
          <cell r="H5">
            <v>8</v>
          </cell>
          <cell r="I5" t="str">
            <v>SAE</v>
          </cell>
          <cell r="J5">
            <v>246</v>
          </cell>
          <cell r="K5">
            <v>2</v>
          </cell>
          <cell r="L5">
            <v>1414</v>
          </cell>
          <cell r="M5">
            <v>1419</v>
          </cell>
          <cell r="O5" t="str">
            <v>M195900</v>
          </cell>
          <cell r="P5">
            <v>75</v>
          </cell>
          <cell r="Q5">
            <v>46121</v>
          </cell>
          <cell r="R5" t="str">
            <v>DC/4</v>
          </cell>
          <cell r="T5" t="str">
            <v>6020 9203 7537</v>
          </cell>
          <cell r="U5">
            <v>60</v>
          </cell>
          <cell r="V5">
            <v>84840</v>
          </cell>
          <cell r="X5"/>
        </row>
        <row r="6">
          <cell r="A6" t="str">
            <v>STOCK</v>
          </cell>
          <cell r="B6">
            <v>920302</v>
          </cell>
          <cell r="C6" t="str">
            <v>DWPL</v>
          </cell>
          <cell r="D6">
            <v>1150</v>
          </cell>
          <cell r="E6">
            <v>46108</v>
          </cell>
          <cell r="F6" t="str">
            <v>SELF</v>
          </cell>
          <cell r="G6" t="str">
            <v>MUKUND</v>
          </cell>
          <cell r="H6">
            <v>8</v>
          </cell>
          <cell r="I6" t="str">
            <v>SAE</v>
          </cell>
          <cell r="J6">
            <v>1</v>
          </cell>
          <cell r="K6">
            <v>2</v>
          </cell>
          <cell r="L6">
            <v>1528</v>
          </cell>
          <cell r="M6">
            <v>1532</v>
          </cell>
          <cell r="O6" t="str">
            <v>M195900</v>
          </cell>
          <cell r="P6">
            <v>75</v>
          </cell>
          <cell r="Q6">
            <v>46121</v>
          </cell>
          <cell r="R6" t="str">
            <v>DC/4</v>
          </cell>
          <cell r="T6" t="str">
            <v>6020 9203 7537</v>
          </cell>
          <cell r="U6">
            <v>60</v>
          </cell>
          <cell r="V6">
            <v>91680</v>
          </cell>
          <cell r="X6"/>
        </row>
        <row r="7">
          <cell r="A7" t="str">
            <v>STOCK</v>
          </cell>
          <cell r="B7">
            <v>920303</v>
          </cell>
          <cell r="C7" t="str">
            <v>DWPL</v>
          </cell>
          <cell r="D7">
            <v>1150</v>
          </cell>
          <cell r="E7">
            <v>46108</v>
          </cell>
          <cell r="F7" t="str">
            <v>SELF</v>
          </cell>
          <cell r="G7" t="str">
            <v>JSW</v>
          </cell>
          <cell r="H7">
            <v>5.5</v>
          </cell>
          <cell r="I7" t="str">
            <v>SAE</v>
          </cell>
          <cell r="J7">
            <v>245</v>
          </cell>
          <cell r="K7">
            <v>2</v>
          </cell>
          <cell r="L7">
            <v>1710</v>
          </cell>
          <cell r="M7">
            <v>1718</v>
          </cell>
          <cell r="O7" t="str">
            <v>A69098</v>
          </cell>
          <cell r="P7">
            <v>78</v>
          </cell>
          <cell r="Q7">
            <v>46121</v>
          </cell>
          <cell r="R7" t="str">
            <v>DC/4</v>
          </cell>
          <cell r="T7" t="str">
            <v>6020 9203 7537</v>
          </cell>
          <cell r="U7">
            <v>60</v>
          </cell>
          <cell r="V7">
            <v>102600</v>
          </cell>
          <cell r="X7"/>
        </row>
        <row r="8">
          <cell r="A8" t="str">
            <v>STOCK</v>
          </cell>
          <cell r="B8">
            <v>920304</v>
          </cell>
          <cell r="C8" t="str">
            <v>DWPL</v>
          </cell>
          <cell r="D8">
            <v>1150</v>
          </cell>
          <cell r="E8">
            <v>46108</v>
          </cell>
          <cell r="F8" t="str">
            <v>SELF</v>
          </cell>
          <cell r="G8" t="str">
            <v>JSW</v>
          </cell>
          <cell r="H8">
            <v>5.5</v>
          </cell>
          <cell r="I8" t="str">
            <v>SAE</v>
          </cell>
          <cell r="J8">
            <v>247</v>
          </cell>
          <cell r="K8">
            <v>1</v>
          </cell>
          <cell r="L8">
            <v>1730</v>
          </cell>
          <cell r="M8">
            <v>1735</v>
          </cell>
          <cell r="O8" t="str">
            <v>A69098</v>
          </cell>
          <cell r="P8">
            <v>76</v>
          </cell>
          <cell r="Q8">
            <v>46121</v>
          </cell>
          <cell r="R8" t="str">
            <v>DC/4</v>
          </cell>
          <cell r="T8" t="str">
            <v>6020 9203 7537</v>
          </cell>
          <cell r="U8">
            <v>60</v>
          </cell>
          <cell r="V8">
            <v>103800</v>
          </cell>
          <cell r="X8"/>
        </row>
        <row r="9">
          <cell r="A9" t="str">
            <v>STOCK</v>
          </cell>
          <cell r="B9">
            <v>920305</v>
          </cell>
          <cell r="C9" t="str">
            <v>DWPL</v>
          </cell>
          <cell r="D9">
            <v>1150</v>
          </cell>
          <cell r="E9">
            <v>46108</v>
          </cell>
          <cell r="F9" t="str">
            <v>SELF</v>
          </cell>
          <cell r="G9" t="str">
            <v>JSPL</v>
          </cell>
          <cell r="H9">
            <v>10</v>
          </cell>
          <cell r="I9" t="str">
            <v>SAE</v>
          </cell>
          <cell r="J9">
            <v>249</v>
          </cell>
          <cell r="K9">
            <v>1</v>
          </cell>
          <cell r="L9">
            <v>2415</v>
          </cell>
          <cell r="M9">
            <v>2423</v>
          </cell>
          <cell r="O9">
            <v>4523531</v>
          </cell>
          <cell r="P9">
            <v>79</v>
          </cell>
          <cell r="Q9">
            <v>46121</v>
          </cell>
          <cell r="R9" t="str">
            <v>DC/4</v>
          </cell>
          <cell r="T9" t="str">
            <v>6020 9203 7537</v>
          </cell>
          <cell r="U9">
            <v>60</v>
          </cell>
          <cell r="V9">
            <v>144900</v>
          </cell>
          <cell r="X9"/>
        </row>
        <row r="10">
          <cell r="A10" t="str">
            <v>STOCK</v>
          </cell>
          <cell r="B10">
            <v>920306</v>
          </cell>
          <cell r="C10" t="str">
            <v>DWPL</v>
          </cell>
          <cell r="D10">
            <v>1150</v>
          </cell>
          <cell r="E10">
            <v>46108</v>
          </cell>
          <cell r="F10" t="str">
            <v>SELF</v>
          </cell>
          <cell r="G10" t="str">
            <v>JSPL</v>
          </cell>
          <cell r="H10">
            <v>10</v>
          </cell>
          <cell r="I10" t="str">
            <v>SAE</v>
          </cell>
          <cell r="J10">
            <v>248</v>
          </cell>
          <cell r="K10">
            <v>2</v>
          </cell>
          <cell r="L10">
            <v>2429</v>
          </cell>
          <cell r="M10">
            <v>2434</v>
          </cell>
          <cell r="O10">
            <v>4523530</v>
          </cell>
          <cell r="P10">
            <v>78</v>
          </cell>
          <cell r="Q10">
            <v>46121</v>
          </cell>
          <cell r="R10" t="str">
            <v>DC/4</v>
          </cell>
          <cell r="T10" t="str">
            <v>6020 9203 7537</v>
          </cell>
          <cell r="U10">
            <v>60</v>
          </cell>
          <cell r="V10">
            <v>145740</v>
          </cell>
          <cell r="X10"/>
        </row>
        <row r="11">
          <cell r="E11"/>
          <cell r="J11" t="str">
            <v/>
          </cell>
          <cell r="K11" t="str">
            <v/>
          </cell>
          <cell r="L11">
            <v>11226</v>
          </cell>
          <cell r="M11">
            <v>11261</v>
          </cell>
          <cell r="N11">
            <v>11226</v>
          </cell>
          <cell r="O11"/>
          <cell r="P11" t="str">
            <v/>
          </cell>
          <cell r="Q11" t="str">
            <v/>
          </cell>
          <cell r="R11" t="str">
            <v/>
          </cell>
          <cell r="T11" t="str">
            <v/>
          </cell>
          <cell r="U11"/>
          <cell r="V11"/>
          <cell r="X11"/>
        </row>
        <row r="12">
          <cell r="E12"/>
          <cell r="J12" t="str">
            <v/>
          </cell>
          <cell r="K12" t="str">
            <v/>
          </cell>
          <cell r="M12" t="str">
            <v>Self</v>
          </cell>
          <cell r="N12" t="str">
            <v>CO.</v>
          </cell>
          <cell r="O12"/>
          <cell r="P12" t="str">
            <v/>
          </cell>
          <cell r="Q12" t="str">
            <v/>
          </cell>
          <cell r="R12" t="str">
            <v/>
          </cell>
          <cell r="T12" t="str">
            <v/>
          </cell>
          <cell r="U12"/>
          <cell r="V12"/>
          <cell r="X12"/>
        </row>
        <row r="13">
          <cell r="A13" t="str">
            <v>STOCK</v>
          </cell>
          <cell r="B13">
            <v>550401</v>
          </cell>
          <cell r="C13" t="str">
            <v>ROLL</v>
          </cell>
          <cell r="D13">
            <v>2</v>
          </cell>
          <cell r="E13">
            <v>46108</v>
          </cell>
          <cell r="F13" t="str">
            <v>SELF</v>
          </cell>
          <cell r="G13" t="str">
            <v>TATA</v>
          </cell>
          <cell r="H13">
            <v>9</v>
          </cell>
          <cell r="I13" t="str">
            <v>SAE</v>
          </cell>
          <cell r="J13">
            <v>6</v>
          </cell>
          <cell r="K13">
            <v>2</v>
          </cell>
          <cell r="L13">
            <v>2030</v>
          </cell>
          <cell r="M13">
            <v>2030</v>
          </cell>
          <cell r="O13" t="str">
            <v>B81956</v>
          </cell>
          <cell r="P13">
            <v>75</v>
          </cell>
          <cell r="Q13">
            <v>46121</v>
          </cell>
          <cell r="R13" t="str">
            <v>DC/2</v>
          </cell>
          <cell r="T13" t="str">
            <v>6220 9201 8356</v>
          </cell>
          <cell r="U13">
            <v>77</v>
          </cell>
          <cell r="V13">
            <v>156310</v>
          </cell>
          <cell r="X13"/>
        </row>
        <row r="14">
          <cell r="A14" t="str">
            <v>STOCK</v>
          </cell>
          <cell r="B14">
            <v>550402</v>
          </cell>
          <cell r="C14" t="str">
            <v>ROLL</v>
          </cell>
          <cell r="D14">
            <v>2</v>
          </cell>
          <cell r="E14">
            <v>46108</v>
          </cell>
          <cell r="F14" t="str">
            <v>SELF</v>
          </cell>
          <cell r="G14" t="str">
            <v>TATA</v>
          </cell>
          <cell r="H14">
            <v>9</v>
          </cell>
          <cell r="I14" t="str">
            <v>SAE</v>
          </cell>
          <cell r="J14">
            <v>3</v>
          </cell>
          <cell r="K14">
            <v>2</v>
          </cell>
          <cell r="L14">
            <v>2020</v>
          </cell>
          <cell r="M14">
            <v>2026</v>
          </cell>
          <cell r="O14" t="str">
            <v>B81956</v>
          </cell>
          <cell r="P14">
            <v>78</v>
          </cell>
          <cell r="Q14">
            <v>46118</v>
          </cell>
          <cell r="R14" t="str">
            <v>DC/1</v>
          </cell>
          <cell r="T14" t="str">
            <v>6320 9003 3015</v>
          </cell>
          <cell r="U14">
            <v>77</v>
          </cell>
          <cell r="V14">
            <v>155540</v>
          </cell>
          <cell r="X14"/>
        </row>
        <row r="15">
          <cell r="A15" t="str">
            <v>STOCK</v>
          </cell>
          <cell r="B15">
            <v>550403</v>
          </cell>
          <cell r="C15" t="str">
            <v>ROLL</v>
          </cell>
          <cell r="D15">
            <v>2</v>
          </cell>
          <cell r="E15">
            <v>46108</v>
          </cell>
          <cell r="F15" t="str">
            <v>SELF</v>
          </cell>
          <cell r="G15" t="str">
            <v>TATA</v>
          </cell>
          <cell r="H15">
            <v>9</v>
          </cell>
          <cell r="I15" t="str">
            <v>SAE</v>
          </cell>
          <cell r="J15">
            <v>5</v>
          </cell>
          <cell r="K15">
            <v>2</v>
          </cell>
          <cell r="L15">
            <v>2028</v>
          </cell>
          <cell r="M15">
            <v>2030</v>
          </cell>
          <cell r="O15" t="str">
            <v>B81956</v>
          </cell>
          <cell r="P15">
            <v>78</v>
          </cell>
          <cell r="Q15">
            <v>46121</v>
          </cell>
          <cell r="R15" t="str">
            <v>DC/3</v>
          </cell>
          <cell r="T15" t="str">
            <v>6920 9202 0279</v>
          </cell>
          <cell r="U15">
            <v>77</v>
          </cell>
          <cell r="V15">
            <v>156156</v>
          </cell>
          <cell r="X15"/>
        </row>
        <row r="16">
          <cell r="A16" t="str">
            <v>STOCK</v>
          </cell>
          <cell r="B16">
            <v>550404</v>
          </cell>
          <cell r="C16" t="str">
            <v>ROLL</v>
          </cell>
          <cell r="D16">
            <v>2</v>
          </cell>
          <cell r="E16">
            <v>46108</v>
          </cell>
          <cell r="F16" t="str">
            <v>SELF</v>
          </cell>
          <cell r="G16" t="str">
            <v>TATA</v>
          </cell>
          <cell r="H16">
            <v>8</v>
          </cell>
          <cell r="I16" t="str">
            <v>SAE</v>
          </cell>
          <cell r="J16">
            <v>2</v>
          </cell>
          <cell r="K16">
            <v>2</v>
          </cell>
          <cell r="L16">
            <v>1970</v>
          </cell>
          <cell r="M16">
            <v>1917</v>
          </cell>
          <cell r="O16" t="str">
            <v>B80218</v>
          </cell>
          <cell r="P16">
            <v>75</v>
          </cell>
          <cell r="Q16">
            <v>46118</v>
          </cell>
          <cell r="R16" t="str">
            <v>DC/1</v>
          </cell>
          <cell r="T16" t="str">
            <v>6320 9003 3015</v>
          </cell>
          <cell r="U16">
            <v>77</v>
          </cell>
          <cell r="V16">
            <v>151690</v>
          </cell>
          <cell r="X16"/>
        </row>
        <row r="17">
          <cell r="A17" t="str">
            <v>STOCK</v>
          </cell>
          <cell r="B17">
            <v>550405</v>
          </cell>
          <cell r="C17" t="str">
            <v>ROLL</v>
          </cell>
          <cell r="D17">
            <v>2</v>
          </cell>
          <cell r="E17">
            <v>46108</v>
          </cell>
          <cell r="F17" t="str">
            <v>SELF</v>
          </cell>
          <cell r="G17" t="str">
            <v>TATA</v>
          </cell>
          <cell r="H17">
            <v>8</v>
          </cell>
          <cell r="I17" t="str">
            <v>SAE</v>
          </cell>
          <cell r="J17">
            <v>4</v>
          </cell>
          <cell r="K17">
            <v>2</v>
          </cell>
          <cell r="L17">
            <v>2010</v>
          </cell>
          <cell r="M17">
            <v>1975</v>
          </cell>
          <cell r="O17" t="str">
            <v>B80218</v>
          </cell>
          <cell r="P17">
            <v>77</v>
          </cell>
          <cell r="Q17">
            <v>46121</v>
          </cell>
          <cell r="R17" t="str">
            <v>DC/3</v>
          </cell>
          <cell r="T17" t="str">
            <v>6920 9202 0279</v>
          </cell>
          <cell r="U17">
            <v>77</v>
          </cell>
          <cell r="V17">
            <v>154770</v>
          </cell>
          <cell r="X17"/>
        </row>
        <row r="18">
          <cell r="E18"/>
          <cell r="J18" t="str">
            <v/>
          </cell>
          <cell r="K18" t="str">
            <v/>
          </cell>
          <cell r="L18">
            <v>10058</v>
          </cell>
          <cell r="M18">
            <v>9978</v>
          </cell>
          <cell r="N18">
            <v>10058</v>
          </cell>
          <cell r="O18">
            <v>10060</v>
          </cell>
          <cell r="P18" t="str">
            <v/>
          </cell>
          <cell r="Q18" t="str">
            <v/>
          </cell>
          <cell r="R18" t="str">
            <v/>
          </cell>
          <cell r="T18" t="str">
            <v/>
          </cell>
          <cell r="U18"/>
          <cell r="X18"/>
        </row>
        <row r="19">
          <cell r="E19"/>
          <cell r="J19" t="str">
            <v/>
          </cell>
          <cell r="K19" t="str">
            <v/>
          </cell>
          <cell r="M19" t="str">
            <v>Self</v>
          </cell>
          <cell r="N19" t="str">
            <v>CO.</v>
          </cell>
          <cell r="O19" t="str">
            <v>MADHAV</v>
          </cell>
          <cell r="P19" t="str">
            <v/>
          </cell>
          <cell r="Q19" t="str">
            <v/>
          </cell>
          <cell r="R19" t="str">
            <v/>
          </cell>
          <cell r="T19" t="str">
            <v/>
          </cell>
          <cell r="U19"/>
          <cell r="V19"/>
          <cell r="X19"/>
        </row>
        <row r="20">
          <cell r="A20"/>
          <cell r="B20"/>
          <cell r="C20"/>
          <cell r="D20"/>
          <cell r="E20"/>
          <cell r="F20"/>
          <cell r="G20"/>
          <cell r="H20"/>
          <cell r="I20"/>
          <cell r="J20" t="str">
            <v/>
          </cell>
          <cell r="K20" t="str">
            <v/>
          </cell>
          <cell r="L20"/>
          <cell r="M20"/>
          <cell r="N20"/>
          <cell r="O20"/>
          <cell r="P20" t="str">
            <v/>
          </cell>
          <cell r="Q20" t="str">
            <v/>
          </cell>
          <cell r="R20" t="str">
            <v/>
          </cell>
          <cell r="S20"/>
          <cell r="T20" t="str">
            <v/>
          </cell>
          <cell r="U20"/>
          <cell r="V20"/>
          <cell r="W20"/>
          <cell r="X20"/>
        </row>
        <row r="21">
          <cell r="A21" t="str">
            <v>APR</v>
          </cell>
          <cell r="B21">
            <v>650401</v>
          </cell>
          <cell r="C21" t="str">
            <v>MLN</v>
          </cell>
          <cell r="D21">
            <v>1</v>
          </cell>
          <cell r="E21">
            <v>46137</v>
          </cell>
          <cell r="F21" t="str">
            <v>OVER</v>
          </cell>
          <cell r="G21" t="str">
            <v>TATA</v>
          </cell>
          <cell r="H21">
            <v>17.5</v>
          </cell>
          <cell r="I21" t="str">
            <v>SAE</v>
          </cell>
          <cell r="J21">
            <v>7</v>
          </cell>
          <cell r="K21">
            <v>2</v>
          </cell>
          <cell r="L21">
            <v>2000</v>
          </cell>
          <cell r="M21">
            <v>1985</v>
          </cell>
          <cell r="O21" t="str">
            <v>B80635</v>
          </cell>
          <cell r="P21">
            <v>78</v>
          </cell>
          <cell r="Q21">
            <v>46144</v>
          </cell>
          <cell r="R21" t="str">
            <v>DC/5</v>
          </cell>
          <cell r="T21" t="str">
            <v>6021 0497 2832</v>
          </cell>
          <cell r="U21">
            <v>74</v>
          </cell>
          <cell r="V21">
            <v>148000</v>
          </cell>
          <cell r="X21"/>
        </row>
        <row r="22">
          <cell r="A22" t="str">
            <v>APR</v>
          </cell>
          <cell r="B22">
            <v>650402</v>
          </cell>
          <cell r="C22" t="str">
            <v>MLN</v>
          </cell>
          <cell r="D22">
            <v>1</v>
          </cell>
          <cell r="E22">
            <v>46137</v>
          </cell>
          <cell r="F22" t="str">
            <v>OVER</v>
          </cell>
          <cell r="G22" t="str">
            <v>TATA</v>
          </cell>
          <cell r="H22">
            <v>17.5</v>
          </cell>
          <cell r="I22" t="str">
            <v>SAE</v>
          </cell>
          <cell r="J22">
            <v>8</v>
          </cell>
          <cell r="K22">
            <v>2</v>
          </cell>
          <cell r="L22">
            <v>1995</v>
          </cell>
          <cell r="M22">
            <v>1988</v>
          </cell>
          <cell r="O22" t="str">
            <v>B80635</v>
          </cell>
          <cell r="P22">
            <v>80</v>
          </cell>
          <cell r="Q22">
            <v>46144</v>
          </cell>
          <cell r="R22" t="str">
            <v>DC/5</v>
          </cell>
          <cell r="T22" t="str">
            <v>6021 0497 2832</v>
          </cell>
          <cell r="U22">
            <v>74</v>
          </cell>
          <cell r="V22">
            <v>147630</v>
          </cell>
          <cell r="X22"/>
        </row>
        <row r="23">
          <cell r="A23" t="str">
            <v>APR</v>
          </cell>
          <cell r="B23">
            <v>650403</v>
          </cell>
          <cell r="C23" t="str">
            <v>MLN</v>
          </cell>
          <cell r="D23">
            <v>1</v>
          </cell>
          <cell r="E23">
            <v>46137</v>
          </cell>
          <cell r="F23" t="str">
            <v>OVER</v>
          </cell>
          <cell r="G23" t="str">
            <v>TATA</v>
          </cell>
          <cell r="H23">
            <v>17.5</v>
          </cell>
          <cell r="I23" t="str">
            <v>SAE</v>
          </cell>
          <cell r="J23">
            <v>9</v>
          </cell>
          <cell r="K23">
            <v>2</v>
          </cell>
          <cell r="L23">
            <v>2000</v>
          </cell>
          <cell r="M23">
            <v>1986</v>
          </cell>
          <cell r="O23" t="str">
            <v>B80635</v>
          </cell>
          <cell r="P23">
            <v>82</v>
          </cell>
          <cell r="Q23">
            <v>46145</v>
          </cell>
          <cell r="R23" t="str">
            <v>DC/6</v>
          </cell>
          <cell r="T23" t="str">
            <v>6721 0547 0042</v>
          </cell>
          <cell r="U23">
            <v>74</v>
          </cell>
          <cell r="V23">
            <v>148000</v>
          </cell>
          <cell r="X23"/>
        </row>
        <row r="24">
          <cell r="A24" t="str">
            <v>APR</v>
          </cell>
          <cell r="B24">
            <v>650404</v>
          </cell>
          <cell r="C24" t="str">
            <v>MLN</v>
          </cell>
          <cell r="D24">
            <v>1</v>
          </cell>
          <cell r="E24">
            <v>46137</v>
          </cell>
          <cell r="F24" t="str">
            <v>OVER</v>
          </cell>
          <cell r="G24" t="str">
            <v>TATA</v>
          </cell>
          <cell r="H24">
            <v>17.5</v>
          </cell>
          <cell r="I24" t="str">
            <v>SAE</v>
          </cell>
          <cell r="J24">
            <v>10</v>
          </cell>
          <cell r="K24">
            <v>2</v>
          </cell>
          <cell r="L24">
            <v>2005</v>
          </cell>
          <cell r="M24">
            <v>2005</v>
          </cell>
          <cell r="O24" t="str">
            <v>B80635</v>
          </cell>
          <cell r="P24">
            <v>82</v>
          </cell>
          <cell r="Q24">
            <v>46145</v>
          </cell>
          <cell r="R24" t="str">
            <v>DC/6</v>
          </cell>
          <cell r="T24" t="str">
            <v>6721 0547 0042</v>
          </cell>
          <cell r="U24">
            <v>74</v>
          </cell>
          <cell r="V24">
            <v>148370</v>
          </cell>
          <cell r="X24"/>
        </row>
        <row r="25">
          <cell r="A25" t="str">
            <v>APR</v>
          </cell>
          <cell r="B25">
            <v>650405</v>
          </cell>
          <cell r="C25" t="str">
            <v>MLN</v>
          </cell>
          <cell r="D25">
            <v>1</v>
          </cell>
          <cell r="E25">
            <v>46137</v>
          </cell>
          <cell r="F25" t="str">
            <v>OVER</v>
          </cell>
          <cell r="G25" t="str">
            <v>TATA</v>
          </cell>
          <cell r="H25">
            <v>17.5</v>
          </cell>
          <cell r="I25" t="str">
            <v>SAE</v>
          </cell>
          <cell r="J25">
            <v>11</v>
          </cell>
          <cell r="K25">
            <v>2</v>
          </cell>
          <cell r="L25">
            <v>1990</v>
          </cell>
          <cell r="M25">
            <v>1988</v>
          </cell>
          <cell r="O25" t="str">
            <v>B80635</v>
          </cell>
          <cell r="P25">
            <v>80</v>
          </cell>
          <cell r="Q25">
            <v>46145</v>
          </cell>
          <cell r="R25" t="str">
            <v>DC/6</v>
          </cell>
          <cell r="T25" t="str">
            <v>6721 0547 0042</v>
          </cell>
          <cell r="U25">
            <v>74</v>
          </cell>
          <cell r="V25">
            <v>147260</v>
          </cell>
          <cell r="X25"/>
        </row>
        <row r="26">
          <cell r="E26"/>
          <cell r="J26" t="str">
            <v/>
          </cell>
          <cell r="K26" t="str">
            <v/>
          </cell>
          <cell r="L26">
            <v>9990</v>
          </cell>
          <cell r="M26">
            <v>9952</v>
          </cell>
          <cell r="N26">
            <v>9990</v>
          </cell>
          <cell r="O26">
            <v>9990</v>
          </cell>
          <cell r="P26" t="str">
            <v/>
          </cell>
          <cell r="Q26" t="str">
            <v/>
          </cell>
          <cell r="R26" t="str">
            <v/>
          </cell>
          <cell r="T26" t="str">
            <v/>
          </cell>
          <cell r="U26"/>
          <cell r="V26"/>
          <cell r="X26"/>
        </row>
        <row r="27">
          <cell r="E27"/>
          <cell r="J27" t="str">
            <v/>
          </cell>
          <cell r="K27" t="str">
            <v/>
          </cell>
          <cell r="M27" t="str">
            <v>Self</v>
          </cell>
          <cell r="N27" t="str">
            <v>CO.</v>
          </cell>
          <cell r="O27" t="str">
            <v>MADHAV</v>
          </cell>
          <cell r="P27" t="str">
            <v/>
          </cell>
          <cell r="Q27" t="str">
            <v/>
          </cell>
          <cell r="R27" t="str">
            <v/>
          </cell>
          <cell r="T27" t="str">
            <v/>
          </cell>
          <cell r="U27"/>
          <cell r="V27"/>
          <cell r="X27"/>
        </row>
        <row r="28">
          <cell r="A28"/>
          <cell r="B28"/>
          <cell r="C28"/>
          <cell r="D28"/>
          <cell r="E28"/>
          <cell r="F28"/>
          <cell r="G28"/>
          <cell r="H28"/>
          <cell r="I28"/>
          <cell r="J28" t="str">
            <v/>
          </cell>
          <cell r="K28" t="str">
            <v/>
          </cell>
          <cell r="L28"/>
          <cell r="M28"/>
          <cell r="N28"/>
          <cell r="O28"/>
          <cell r="P28" t="str">
            <v/>
          </cell>
          <cell r="Q28" t="str">
            <v/>
          </cell>
          <cell r="R28" t="str">
            <v/>
          </cell>
          <cell r="S28"/>
          <cell r="T28" t="str">
            <v/>
          </cell>
          <cell r="U28"/>
          <cell r="V28"/>
          <cell r="X28"/>
        </row>
        <row r="29">
          <cell r="A29" t="str">
            <v>May</v>
          </cell>
          <cell r="B29">
            <v>500501</v>
          </cell>
          <cell r="C29" t="str">
            <v>BALL</v>
          </cell>
          <cell r="D29">
            <v>30</v>
          </cell>
          <cell r="E29">
            <v>46146</v>
          </cell>
          <cell r="F29" t="str">
            <v>OVER</v>
          </cell>
          <cell r="G29" t="str">
            <v>TATA</v>
          </cell>
          <cell r="H29">
            <v>8</v>
          </cell>
          <cell r="I29" t="str">
            <v>SAE</v>
          </cell>
          <cell r="J29">
            <v>16</v>
          </cell>
          <cell r="K29">
            <v>2</v>
          </cell>
          <cell r="L29">
            <v>2000</v>
          </cell>
          <cell r="M29">
            <v>2006</v>
          </cell>
          <cell r="O29" t="str">
            <v>B80636</v>
          </cell>
          <cell r="P29">
            <v>79</v>
          </cell>
          <cell r="Q29">
            <v>46157</v>
          </cell>
          <cell r="R29" t="str">
            <v>DC/9</v>
          </cell>
          <cell r="T29" t="str">
            <v>6621 1164 8669</v>
          </cell>
          <cell r="U29">
            <v>64.500124719400006</v>
          </cell>
          <cell r="V29">
            <v>129000.24943880001</v>
          </cell>
          <cell r="X29"/>
        </row>
        <row r="30">
          <cell r="A30" t="str">
            <v>May</v>
          </cell>
          <cell r="B30">
            <v>500502</v>
          </cell>
          <cell r="C30" t="str">
            <v>BALL</v>
          </cell>
          <cell r="D30">
            <v>30</v>
          </cell>
          <cell r="E30">
            <v>46146</v>
          </cell>
          <cell r="F30" t="str">
            <v>OVER</v>
          </cell>
          <cell r="G30" t="str">
            <v>TATA</v>
          </cell>
          <cell r="H30">
            <v>10</v>
          </cell>
          <cell r="I30" t="str">
            <v>SAE</v>
          </cell>
          <cell r="J30">
            <v>15</v>
          </cell>
          <cell r="K30">
            <v>2</v>
          </cell>
          <cell r="L30">
            <v>2009</v>
          </cell>
          <cell r="M30">
            <v>2016</v>
          </cell>
          <cell r="O30" t="str">
            <v>B81956</v>
          </cell>
          <cell r="P30">
            <v>80</v>
          </cell>
          <cell r="Q30">
            <v>46157</v>
          </cell>
          <cell r="R30" t="str">
            <v>DC/9</v>
          </cell>
          <cell r="T30" t="str">
            <v>6621 1164 8669</v>
          </cell>
          <cell r="U30">
            <v>64.500124719400006</v>
          </cell>
          <cell r="V30">
            <v>129580.75056127462</v>
          </cell>
          <cell r="X30"/>
        </row>
        <row r="31">
          <cell r="E31"/>
          <cell r="J31" t="str">
            <v/>
          </cell>
          <cell r="K31" t="str">
            <v/>
          </cell>
          <cell r="L31">
            <v>4009</v>
          </cell>
          <cell r="M31">
            <v>4022</v>
          </cell>
          <cell r="N31">
            <v>4009</v>
          </cell>
          <cell r="O31">
            <v>10090</v>
          </cell>
          <cell r="P31" t="str">
            <v/>
          </cell>
          <cell r="Q31" t="str">
            <v/>
          </cell>
          <cell r="R31" t="str">
            <v/>
          </cell>
          <cell r="T31" t="str">
            <v/>
          </cell>
          <cell r="U31"/>
          <cell r="V31"/>
          <cell r="X31"/>
        </row>
        <row r="32">
          <cell r="E32"/>
          <cell r="J32" t="str">
            <v/>
          </cell>
          <cell r="K32" t="str">
            <v/>
          </cell>
          <cell r="M32" t="str">
            <v>Self</v>
          </cell>
          <cell r="N32" t="str">
            <v>CO.</v>
          </cell>
          <cell r="O32" t="str">
            <v>MADHAV</v>
          </cell>
          <cell r="P32" t="str">
            <v/>
          </cell>
          <cell r="Q32" t="str">
            <v/>
          </cell>
          <cell r="R32" t="str">
            <v/>
          </cell>
          <cell r="T32" t="str">
            <v/>
          </cell>
          <cell r="U32"/>
          <cell r="V32"/>
          <cell r="X32"/>
        </row>
        <row r="33">
          <cell r="A33" t="str">
            <v>May</v>
          </cell>
          <cell r="B33">
            <v>550501</v>
          </cell>
          <cell r="C33" t="str">
            <v>ROLL</v>
          </cell>
          <cell r="E33">
            <v>46146</v>
          </cell>
          <cell r="F33" t="str">
            <v>OVER</v>
          </cell>
          <cell r="G33" t="str">
            <v>TATA</v>
          </cell>
          <cell r="H33">
            <v>20</v>
          </cell>
          <cell r="I33" t="str">
            <v>SAE</v>
          </cell>
          <cell r="J33">
            <v>13</v>
          </cell>
          <cell r="K33">
            <v>2</v>
          </cell>
          <cell r="L33">
            <v>1051</v>
          </cell>
          <cell r="M33">
            <v>1044</v>
          </cell>
          <cell r="O33" t="str">
            <v>B81147</v>
          </cell>
          <cell r="P33">
            <v>77</v>
          </cell>
          <cell r="Q33">
            <v>46153</v>
          </cell>
          <cell r="R33" t="str">
            <v>DC/7</v>
          </cell>
          <cell r="T33" t="str">
            <v>6321 0961 6116</v>
          </cell>
          <cell r="U33">
            <v>64.500124719400006</v>
          </cell>
          <cell r="V33">
            <v>67789.631080089399</v>
          </cell>
          <cell r="X33"/>
        </row>
        <row r="34">
          <cell r="A34" t="str">
            <v>May</v>
          </cell>
          <cell r="B34">
            <v>550502</v>
          </cell>
          <cell r="C34" t="str">
            <v>ROLL</v>
          </cell>
          <cell r="E34">
            <v>46146</v>
          </cell>
          <cell r="F34" t="str">
            <v>OVER</v>
          </cell>
          <cell r="G34" t="str">
            <v>TATA</v>
          </cell>
          <cell r="H34">
            <v>20</v>
          </cell>
          <cell r="I34" t="str">
            <v>SAE</v>
          </cell>
          <cell r="J34">
            <v>13</v>
          </cell>
          <cell r="K34">
            <v>2</v>
          </cell>
          <cell r="L34">
            <v>960</v>
          </cell>
          <cell r="M34">
            <v>948</v>
          </cell>
          <cell r="O34" t="str">
            <v>B81147</v>
          </cell>
          <cell r="P34">
            <v>78</v>
          </cell>
          <cell r="Q34">
            <v>46153</v>
          </cell>
          <cell r="R34" t="str">
            <v>DC/7</v>
          </cell>
          <cell r="T34" t="str">
            <v>6321 0961 6116</v>
          </cell>
          <cell r="U34">
            <v>64.500124719400006</v>
          </cell>
          <cell r="V34">
            <v>61920.119730624006</v>
          </cell>
          <cell r="X34"/>
        </row>
        <row r="35">
          <cell r="A35" t="str">
            <v>May</v>
          </cell>
          <cell r="B35">
            <v>550503</v>
          </cell>
          <cell r="C35" t="str">
            <v>ROLL</v>
          </cell>
          <cell r="E35">
            <v>46146</v>
          </cell>
          <cell r="F35" t="str">
            <v>OVER</v>
          </cell>
          <cell r="G35" t="str">
            <v>TATA</v>
          </cell>
          <cell r="H35">
            <v>20</v>
          </cell>
          <cell r="I35" t="str">
            <v>SAE</v>
          </cell>
          <cell r="J35">
            <v>12</v>
          </cell>
          <cell r="K35">
            <v>2</v>
          </cell>
          <cell r="L35">
            <v>980</v>
          </cell>
          <cell r="M35">
            <v>958</v>
          </cell>
          <cell r="O35" t="str">
            <v>B81147</v>
          </cell>
          <cell r="P35">
            <v>76</v>
          </cell>
          <cell r="Q35">
            <v>46153</v>
          </cell>
          <cell r="R35" t="str">
            <v>DC/7</v>
          </cell>
          <cell r="T35" t="str">
            <v>6321 0961 6116</v>
          </cell>
          <cell r="U35">
            <v>64.500124719400006</v>
          </cell>
          <cell r="V35">
            <v>63210.122225012004</v>
          </cell>
          <cell r="X35"/>
        </row>
        <row r="36">
          <cell r="A36" t="str">
            <v>May</v>
          </cell>
          <cell r="B36">
            <v>550504</v>
          </cell>
          <cell r="C36" t="str">
            <v>ROLL</v>
          </cell>
          <cell r="E36">
            <v>46146</v>
          </cell>
          <cell r="F36" t="str">
            <v>OVER</v>
          </cell>
          <cell r="G36" t="str">
            <v>TATA</v>
          </cell>
          <cell r="H36">
            <v>20</v>
          </cell>
          <cell r="I36" t="str">
            <v>SAE</v>
          </cell>
          <cell r="J36">
            <v>12</v>
          </cell>
          <cell r="K36">
            <v>2</v>
          </cell>
          <cell r="L36">
            <v>1050</v>
          </cell>
          <cell r="M36">
            <v>1036</v>
          </cell>
          <cell r="O36" t="str">
            <v>B81147</v>
          </cell>
          <cell r="P36">
            <v>77</v>
          </cell>
          <cell r="Q36">
            <v>46154</v>
          </cell>
          <cell r="R36" t="str">
            <v>dc/8</v>
          </cell>
          <cell r="T36" t="str">
            <v>6121 0971 2898</v>
          </cell>
          <cell r="U36">
            <v>64.500124719400006</v>
          </cell>
          <cell r="V36">
            <v>67725.130955370012</v>
          </cell>
          <cell r="X36"/>
        </row>
        <row r="37">
          <cell r="A37" t="str">
            <v>May</v>
          </cell>
          <cell r="B37">
            <v>550505</v>
          </cell>
          <cell r="C37" t="str">
            <v>ROLL</v>
          </cell>
          <cell r="E37">
            <v>46146</v>
          </cell>
          <cell r="F37" t="str">
            <v>OVER</v>
          </cell>
          <cell r="G37" t="str">
            <v>TATA</v>
          </cell>
          <cell r="H37">
            <v>20</v>
          </cell>
          <cell r="I37" t="str">
            <v>SAE</v>
          </cell>
          <cell r="J37">
            <v>14</v>
          </cell>
          <cell r="K37">
            <v>2</v>
          </cell>
          <cell r="L37">
            <v>1060</v>
          </cell>
          <cell r="M37">
            <v>1048</v>
          </cell>
          <cell r="O37" t="str">
            <v>B81147</v>
          </cell>
          <cell r="P37">
            <v>78</v>
          </cell>
          <cell r="Q37">
            <v>46154</v>
          </cell>
          <cell r="R37" t="str">
            <v>dc/8</v>
          </cell>
          <cell r="T37" t="str">
            <v>6121 0971 2898</v>
          </cell>
          <cell r="U37">
            <v>64.500124719400006</v>
          </cell>
          <cell r="V37">
            <v>68370.132202564011</v>
          </cell>
          <cell r="X37"/>
        </row>
        <row r="38">
          <cell r="A38" t="str">
            <v>May</v>
          </cell>
          <cell r="B38">
            <v>550506</v>
          </cell>
          <cell r="C38" t="str">
            <v>ROLL</v>
          </cell>
          <cell r="E38">
            <v>46146</v>
          </cell>
          <cell r="F38" t="str">
            <v>OVER</v>
          </cell>
          <cell r="G38" t="str">
            <v>TATA</v>
          </cell>
          <cell r="H38">
            <v>20</v>
          </cell>
          <cell r="I38" t="str">
            <v>SAE</v>
          </cell>
          <cell r="J38">
            <v>14</v>
          </cell>
          <cell r="K38">
            <v>2</v>
          </cell>
          <cell r="L38">
            <v>980</v>
          </cell>
          <cell r="M38">
            <v>962</v>
          </cell>
          <cell r="O38" t="str">
            <v>B81147</v>
          </cell>
          <cell r="P38">
            <v>79</v>
          </cell>
          <cell r="Q38">
            <v>46154</v>
          </cell>
          <cell r="R38" t="str">
            <v>dc/8</v>
          </cell>
          <cell r="T38" t="str">
            <v>6121 0971 2898</v>
          </cell>
          <cell r="U38">
            <v>64.500124719400006</v>
          </cell>
          <cell r="V38">
            <v>63210.122225012004</v>
          </cell>
          <cell r="X38"/>
        </row>
        <row r="39">
          <cell r="E39"/>
          <cell r="J39" t="str">
            <v/>
          </cell>
          <cell r="K39" t="str">
            <v/>
          </cell>
          <cell r="L39">
            <v>6081</v>
          </cell>
          <cell r="M39">
            <v>5996</v>
          </cell>
          <cell r="N39">
            <v>6081</v>
          </cell>
          <cell r="O39">
            <v>10090</v>
          </cell>
          <cell r="P39" t="str">
            <v/>
          </cell>
          <cell r="Q39" t="str">
            <v/>
          </cell>
          <cell r="R39" t="str">
            <v/>
          </cell>
          <cell r="T39" t="str">
            <v/>
          </cell>
          <cell r="U39"/>
          <cell r="V39"/>
          <cell r="X39"/>
        </row>
        <row r="40">
          <cell r="E40"/>
          <cell r="J40" t="str">
            <v/>
          </cell>
          <cell r="K40" t="str">
            <v/>
          </cell>
          <cell r="M40" t="str">
            <v>Self</v>
          </cell>
          <cell r="N40" t="str">
            <v>CO.</v>
          </cell>
          <cell r="O40" t="str">
            <v>MADHAV</v>
          </cell>
          <cell r="P40" t="str">
            <v/>
          </cell>
          <cell r="Q40" t="str">
            <v/>
          </cell>
          <cell r="R40" t="str">
            <v/>
          </cell>
          <cell r="T40" t="str">
            <v/>
          </cell>
          <cell r="U40"/>
          <cell r="V40"/>
          <cell r="X40"/>
        </row>
        <row r="41">
          <cell r="A41" t="str">
            <v>May</v>
          </cell>
          <cell r="B41">
            <v>410501</v>
          </cell>
          <cell r="C41" t="str">
            <v>PF</v>
          </cell>
          <cell r="D41">
            <v>932</v>
          </cell>
          <cell r="E41">
            <v>46151</v>
          </cell>
          <cell r="F41" t="str">
            <v>SH</v>
          </cell>
          <cell r="G41" t="str">
            <v>JSW</v>
          </cell>
          <cell r="H41">
            <v>13</v>
          </cell>
          <cell r="I41" t="str">
            <v>15B25</v>
          </cell>
          <cell r="J41">
            <v>17</v>
          </cell>
          <cell r="K41">
            <v>2</v>
          </cell>
          <cell r="L41">
            <v>1680</v>
          </cell>
          <cell r="O41" t="str">
            <v>F40067</v>
          </cell>
          <cell r="P41">
            <v>62</v>
          </cell>
          <cell r="Q41">
            <v>46164</v>
          </cell>
          <cell r="R41" t="str">
            <v>DC/13</v>
          </cell>
          <cell r="T41" t="str">
            <v>6721 1548 2686</v>
          </cell>
          <cell r="U41">
            <v>71</v>
          </cell>
          <cell r="V41">
            <v>119280</v>
          </cell>
          <cell r="X41"/>
        </row>
        <row r="42">
          <cell r="A42" t="str">
            <v>May</v>
          </cell>
          <cell r="B42">
            <v>410502</v>
          </cell>
          <cell r="C42" t="str">
            <v>PF</v>
          </cell>
          <cell r="D42">
            <v>932</v>
          </cell>
          <cell r="E42">
            <v>46151</v>
          </cell>
          <cell r="F42" t="str">
            <v>SH</v>
          </cell>
          <cell r="G42" t="str">
            <v>JSW</v>
          </cell>
          <cell r="H42">
            <v>13</v>
          </cell>
          <cell r="I42" t="str">
            <v>15B25</v>
          </cell>
          <cell r="J42">
            <v>18</v>
          </cell>
          <cell r="K42">
            <v>2</v>
          </cell>
          <cell r="L42">
            <v>1680</v>
          </cell>
          <cell r="O42" t="str">
            <v>F40067</v>
          </cell>
          <cell r="P42">
            <v>62</v>
          </cell>
          <cell r="Q42">
            <v>46164</v>
          </cell>
          <cell r="R42" t="str">
            <v>DC/12</v>
          </cell>
          <cell r="T42" t="str">
            <v>6021 1547 9153</v>
          </cell>
          <cell r="U42">
            <v>71</v>
          </cell>
          <cell r="V42">
            <v>119280</v>
          </cell>
          <cell r="X42"/>
        </row>
        <row r="43">
          <cell r="E43"/>
          <cell r="J43" t="str">
            <v/>
          </cell>
          <cell r="K43" t="str">
            <v/>
          </cell>
          <cell r="L43">
            <v>3360</v>
          </cell>
          <cell r="M43"/>
          <cell r="N43">
            <v>3360</v>
          </cell>
          <cell r="O43">
            <v>3360</v>
          </cell>
          <cell r="P43" t="str">
            <v/>
          </cell>
          <cell r="Q43" t="str">
            <v/>
          </cell>
          <cell r="R43" t="str">
            <v/>
          </cell>
          <cell r="T43" t="str">
            <v/>
          </cell>
          <cell r="U43"/>
          <cell r="V43"/>
          <cell r="X43"/>
        </row>
        <row r="44">
          <cell r="E44"/>
          <cell r="J44" t="str">
            <v/>
          </cell>
          <cell r="K44" t="str">
            <v/>
          </cell>
          <cell r="M44" t="str">
            <v>Self</v>
          </cell>
          <cell r="N44" t="str">
            <v>CO.</v>
          </cell>
          <cell r="O44" t="str">
            <v>H.SHAH</v>
          </cell>
          <cell r="P44" t="str">
            <v/>
          </cell>
          <cell r="Q44" t="str">
            <v/>
          </cell>
          <cell r="R44" t="str">
            <v/>
          </cell>
          <cell r="T44" t="str">
            <v/>
          </cell>
          <cell r="U44"/>
          <cell r="V44"/>
          <cell r="X44"/>
        </row>
        <row r="45">
          <cell r="A45" t="str">
            <v>May</v>
          </cell>
          <cell r="B45">
            <v>710501</v>
          </cell>
          <cell r="C45" t="str">
            <v>DHJE</v>
          </cell>
          <cell r="D45">
            <v>583</v>
          </cell>
          <cell r="E45">
            <v>46158</v>
          </cell>
          <cell r="F45" t="str">
            <v>MBBPL</v>
          </cell>
          <cell r="G45" t="str">
            <v>MUKAND</v>
          </cell>
          <cell r="H45">
            <v>14</v>
          </cell>
          <cell r="I45" t="str">
            <v>SAE</v>
          </cell>
          <cell r="J45">
            <v>19</v>
          </cell>
          <cell r="K45">
            <v>2</v>
          </cell>
          <cell r="L45">
            <v>1615</v>
          </cell>
          <cell r="M45">
            <v>1604</v>
          </cell>
          <cell r="O45" t="str">
            <v>M214477</v>
          </cell>
          <cell r="P45">
            <v>76</v>
          </cell>
          <cell r="Q45">
            <v>46163</v>
          </cell>
          <cell r="R45" t="str">
            <v>DC/10</v>
          </cell>
          <cell r="T45" t="str">
            <v>6321 1487 3368</v>
          </cell>
          <cell r="U45">
            <v>73</v>
          </cell>
          <cell r="V45">
            <v>117895</v>
          </cell>
          <cell r="X45"/>
        </row>
        <row r="46">
          <cell r="A46" t="str">
            <v>May</v>
          </cell>
          <cell r="B46">
            <v>710502</v>
          </cell>
          <cell r="C46" t="str">
            <v>DHJE</v>
          </cell>
          <cell r="D46">
            <v>583</v>
          </cell>
          <cell r="E46">
            <v>46158</v>
          </cell>
          <cell r="F46" t="str">
            <v>MBBPL</v>
          </cell>
          <cell r="G46" t="str">
            <v>MUKAND</v>
          </cell>
          <cell r="H46">
            <v>14</v>
          </cell>
          <cell r="I46" t="str">
            <v>SAE</v>
          </cell>
          <cell r="J46">
            <v>23</v>
          </cell>
          <cell r="K46">
            <v>2</v>
          </cell>
          <cell r="L46">
            <v>1610</v>
          </cell>
          <cell r="M46">
            <v>1615</v>
          </cell>
          <cell r="O46" t="str">
            <v>M214477</v>
          </cell>
          <cell r="P46">
            <v>79</v>
          </cell>
          <cell r="Q46">
            <v>46165</v>
          </cell>
          <cell r="R46" t="str">
            <v>DC/14</v>
          </cell>
          <cell r="T46" t="str">
            <v>6021 1610 7112</v>
          </cell>
          <cell r="U46">
            <v>73</v>
          </cell>
          <cell r="V46">
            <v>117530</v>
          </cell>
          <cell r="X46"/>
        </row>
        <row r="47">
          <cell r="A47" t="str">
            <v>May</v>
          </cell>
          <cell r="B47">
            <v>710503</v>
          </cell>
          <cell r="C47" t="str">
            <v>DHJE</v>
          </cell>
          <cell r="D47">
            <v>583</v>
          </cell>
          <cell r="E47">
            <v>46158</v>
          </cell>
          <cell r="F47" t="str">
            <v>MBBPL</v>
          </cell>
          <cell r="G47" t="str">
            <v>MUKAND</v>
          </cell>
          <cell r="H47">
            <v>14</v>
          </cell>
          <cell r="I47" t="str">
            <v>SAE</v>
          </cell>
          <cell r="J47">
            <v>22</v>
          </cell>
          <cell r="K47">
            <v>2</v>
          </cell>
          <cell r="L47">
            <v>1620</v>
          </cell>
          <cell r="M47">
            <v>1610</v>
          </cell>
          <cell r="O47" t="str">
            <v>M214477</v>
          </cell>
          <cell r="P47">
            <v>80</v>
          </cell>
          <cell r="Q47">
            <v>46165</v>
          </cell>
          <cell r="R47" t="str">
            <v>DC/14</v>
          </cell>
          <cell r="T47" t="str">
            <v>6021 1610 7112</v>
          </cell>
          <cell r="U47">
            <v>73</v>
          </cell>
          <cell r="V47">
            <v>118260</v>
          </cell>
          <cell r="X47"/>
        </row>
        <row r="48">
          <cell r="A48" t="str">
            <v>May</v>
          </cell>
          <cell r="B48">
            <v>710504</v>
          </cell>
          <cell r="C48" t="str">
            <v>DHJE</v>
          </cell>
          <cell r="D48">
            <v>583</v>
          </cell>
          <cell r="E48">
            <v>46158</v>
          </cell>
          <cell r="F48" t="str">
            <v>MBBPL</v>
          </cell>
          <cell r="G48" t="str">
            <v>MUKAND</v>
          </cell>
          <cell r="H48">
            <v>14</v>
          </cell>
          <cell r="I48" t="str">
            <v>SAE</v>
          </cell>
          <cell r="J48">
            <v>21</v>
          </cell>
          <cell r="K48">
            <v>2</v>
          </cell>
          <cell r="L48">
            <v>1615</v>
          </cell>
          <cell r="M48">
            <v>1609</v>
          </cell>
          <cell r="N48">
            <v>6460</v>
          </cell>
          <cell r="O48" t="str">
            <v>M199272</v>
          </cell>
          <cell r="P48">
            <v>79</v>
          </cell>
          <cell r="Q48">
            <v>46163</v>
          </cell>
          <cell r="R48" t="str">
            <v>DC/10</v>
          </cell>
          <cell r="T48" t="str">
            <v>6321 1487 3368</v>
          </cell>
          <cell r="U48">
            <v>73</v>
          </cell>
          <cell r="V48">
            <v>117895</v>
          </cell>
          <cell r="X48"/>
        </row>
        <row r="49">
          <cell r="A49" t="str">
            <v>May</v>
          </cell>
          <cell r="B49">
            <v>710505</v>
          </cell>
          <cell r="C49" t="str">
            <v>DHJE</v>
          </cell>
          <cell r="D49">
            <v>584</v>
          </cell>
          <cell r="E49">
            <v>46158</v>
          </cell>
          <cell r="F49" t="str">
            <v>MBBPL</v>
          </cell>
          <cell r="G49" t="str">
            <v>MUKAND</v>
          </cell>
          <cell r="H49">
            <v>9</v>
          </cell>
          <cell r="I49" t="str">
            <v>SAE</v>
          </cell>
          <cell r="J49">
            <v>20</v>
          </cell>
          <cell r="K49">
            <v>2</v>
          </cell>
          <cell r="L49">
            <v>1595</v>
          </cell>
          <cell r="M49">
            <v>1595</v>
          </cell>
          <cell r="O49" t="str">
            <v>M214478</v>
          </cell>
          <cell r="P49">
            <v>78</v>
          </cell>
          <cell r="Q49">
            <v>46163</v>
          </cell>
          <cell r="R49" t="str">
            <v>DC/11</v>
          </cell>
          <cell r="T49" t="str">
            <v>6321 1487 3368</v>
          </cell>
          <cell r="U49">
            <v>73</v>
          </cell>
          <cell r="V49">
            <v>116435</v>
          </cell>
          <cell r="X49"/>
        </row>
        <row r="50">
          <cell r="E50"/>
          <cell r="J50" t="str">
            <v/>
          </cell>
          <cell r="K50" t="str">
            <v/>
          </cell>
          <cell r="L50">
            <v>8055</v>
          </cell>
          <cell r="M50">
            <v>8033</v>
          </cell>
          <cell r="N50">
            <v>8055</v>
          </cell>
          <cell r="O50">
            <v>8090</v>
          </cell>
          <cell r="P50" t="str">
            <v/>
          </cell>
          <cell r="Q50" t="str">
            <v/>
          </cell>
          <cell r="R50" t="str">
            <v/>
          </cell>
          <cell r="T50" t="str">
            <v/>
          </cell>
          <cell r="U50"/>
          <cell r="V50"/>
          <cell r="X50"/>
        </row>
        <row r="51">
          <cell r="E51"/>
          <cell r="J51" t="str">
            <v/>
          </cell>
          <cell r="K51" t="str">
            <v/>
          </cell>
          <cell r="M51" t="str">
            <v>Self</v>
          </cell>
          <cell r="N51" t="str">
            <v>CO.</v>
          </cell>
          <cell r="O51" t="str">
            <v>SARDAR</v>
          </cell>
          <cell r="P51" t="str">
            <v/>
          </cell>
          <cell r="Q51" t="str">
            <v/>
          </cell>
          <cell r="R51" t="str">
            <v/>
          </cell>
          <cell r="T51" t="str">
            <v/>
          </cell>
          <cell r="U51"/>
          <cell r="V51"/>
          <cell r="X51"/>
        </row>
        <row r="52">
          <cell r="A52"/>
          <cell r="B52"/>
          <cell r="C52"/>
          <cell r="D52"/>
          <cell r="E52"/>
          <cell r="F52"/>
          <cell r="G52"/>
          <cell r="H52"/>
          <cell r="I52"/>
          <cell r="J52" t="str">
            <v/>
          </cell>
          <cell r="K52" t="str">
            <v/>
          </cell>
          <cell r="L52"/>
          <cell r="M52"/>
          <cell r="N52"/>
          <cell r="O52"/>
          <cell r="P52" t="str">
            <v/>
          </cell>
          <cell r="Q52" t="str">
            <v/>
          </cell>
          <cell r="R52" t="str">
            <v/>
          </cell>
          <cell r="S52"/>
          <cell r="T52" t="str">
            <v/>
          </cell>
          <cell r="U52"/>
          <cell r="V52"/>
          <cell r="W52"/>
          <cell r="X52"/>
        </row>
        <row r="53">
          <cell r="A53" t="str">
            <v>JUNE</v>
          </cell>
          <cell r="B53" t="str">
            <v>910601A</v>
          </cell>
          <cell r="C53" t="str">
            <v>BC</v>
          </cell>
          <cell r="D53" t="str">
            <v>OJW/8</v>
          </cell>
          <cell r="E53">
            <v>46181</v>
          </cell>
          <cell r="F53" t="str">
            <v>OVER</v>
          </cell>
          <cell r="G53" t="str">
            <v>TATA</v>
          </cell>
          <cell r="H53">
            <v>17.5</v>
          </cell>
          <cell r="I53" t="str">
            <v>EN31</v>
          </cell>
          <cell r="J53">
            <v>24</v>
          </cell>
          <cell r="K53">
            <v>2</v>
          </cell>
          <cell r="L53">
            <v>1060</v>
          </cell>
          <cell r="M53">
            <v>2014</v>
          </cell>
          <cell r="N53"/>
          <cell r="O53" t="str">
            <v>B83276</v>
          </cell>
          <cell r="P53">
            <v>80</v>
          </cell>
          <cell r="Q53">
            <v>46186</v>
          </cell>
          <cell r="R53" t="str">
            <v>DC/16</v>
          </cell>
          <cell r="T53" t="str">
            <v>6821 2786 4677</v>
          </cell>
          <cell r="U53">
            <v>72</v>
          </cell>
          <cell r="V53">
            <v>76320</v>
          </cell>
          <cell r="X53"/>
        </row>
        <row r="54">
          <cell r="A54" t="str">
            <v>JUNE</v>
          </cell>
          <cell r="B54" t="str">
            <v>910601B</v>
          </cell>
          <cell r="C54" t="str">
            <v>BC</v>
          </cell>
          <cell r="D54" t="str">
            <v>OJW/8</v>
          </cell>
          <cell r="E54">
            <v>46181</v>
          </cell>
          <cell r="F54" t="str">
            <v>OVER</v>
          </cell>
          <cell r="G54" t="str">
            <v>TATA</v>
          </cell>
          <cell r="H54">
            <v>17.5</v>
          </cell>
          <cell r="I54" t="str">
            <v>EN31</v>
          </cell>
          <cell r="J54">
            <v>24</v>
          </cell>
          <cell r="K54">
            <v>2</v>
          </cell>
          <cell r="L54">
            <v>965</v>
          </cell>
          <cell r="M54"/>
          <cell r="N54"/>
          <cell r="O54" t="str">
            <v>B83276</v>
          </cell>
          <cell r="P54">
            <v>80</v>
          </cell>
          <cell r="Q54">
            <v>46198</v>
          </cell>
          <cell r="R54" t="str">
            <v>DC/20</v>
          </cell>
          <cell r="T54" t="str">
            <v>6221 3476 3819</v>
          </cell>
          <cell r="U54">
            <v>72</v>
          </cell>
          <cell r="V54">
            <v>69480</v>
          </cell>
          <cell r="X54"/>
        </row>
        <row r="55">
          <cell r="A55" t="str">
            <v>JUNE</v>
          </cell>
          <cell r="B55">
            <v>910602</v>
          </cell>
          <cell r="C55" t="str">
            <v>BC</v>
          </cell>
          <cell r="D55" t="str">
            <v>OJW/8</v>
          </cell>
          <cell r="E55">
            <v>46181</v>
          </cell>
          <cell r="F55" t="str">
            <v>OVER</v>
          </cell>
          <cell r="G55" t="str">
            <v>TATA</v>
          </cell>
          <cell r="H55">
            <v>17.5</v>
          </cell>
          <cell r="I55" t="str">
            <v>EN31</v>
          </cell>
          <cell r="J55">
            <v>29</v>
          </cell>
          <cell r="K55">
            <v>2</v>
          </cell>
          <cell r="L55">
            <v>2040</v>
          </cell>
          <cell r="M55">
            <v>2020</v>
          </cell>
          <cell r="N55"/>
          <cell r="O55" t="str">
            <v>B83276</v>
          </cell>
          <cell r="P55">
            <v>58</v>
          </cell>
          <cell r="Q55">
            <v>46198</v>
          </cell>
          <cell r="R55" t="str">
            <v>DC/20</v>
          </cell>
          <cell r="T55" t="str">
            <v>6221 3476 3819</v>
          </cell>
          <cell r="U55">
            <v>72</v>
          </cell>
          <cell r="V55">
            <v>146880</v>
          </cell>
          <cell r="X55"/>
        </row>
        <row r="56">
          <cell r="E56"/>
          <cell r="J56" t="str">
            <v/>
          </cell>
          <cell r="K56" t="str">
            <v/>
          </cell>
          <cell r="L56">
            <v>4065</v>
          </cell>
          <cell r="M56">
            <v>4034</v>
          </cell>
          <cell r="N56"/>
          <cell r="O56">
            <v>4065</v>
          </cell>
          <cell r="P56" t="str">
            <v/>
          </cell>
          <cell r="Q56" t="str">
            <v/>
          </cell>
          <cell r="R56" t="str">
            <v/>
          </cell>
          <cell r="T56" t="str">
            <v/>
          </cell>
          <cell r="U56"/>
          <cell r="V56"/>
          <cell r="X56"/>
        </row>
        <row r="57">
          <cell r="E57"/>
          <cell r="J57" t="str">
            <v/>
          </cell>
          <cell r="K57" t="str">
            <v/>
          </cell>
          <cell r="L57"/>
          <cell r="M57" t="str">
            <v>Self</v>
          </cell>
          <cell r="N57" t="str">
            <v>CO.</v>
          </cell>
          <cell r="O57" t="str">
            <v>MADHAV</v>
          </cell>
          <cell r="P57" t="str">
            <v/>
          </cell>
          <cell r="Q57" t="str">
            <v/>
          </cell>
          <cell r="R57" t="str">
            <v/>
          </cell>
          <cell r="T57" t="str">
            <v/>
          </cell>
          <cell r="U57"/>
          <cell r="V57"/>
          <cell r="X57"/>
        </row>
        <row r="58">
          <cell r="A58" t="str">
            <v>JUNE</v>
          </cell>
          <cell r="B58">
            <v>850601</v>
          </cell>
          <cell r="C58" t="str">
            <v>LAX</v>
          </cell>
          <cell r="E58">
            <v>46182</v>
          </cell>
          <cell r="F58" t="str">
            <v>OVER</v>
          </cell>
          <cell r="G58" t="str">
            <v>TATA</v>
          </cell>
          <cell r="H58">
            <v>13</v>
          </cell>
          <cell r="I58" t="str">
            <v>EN31</v>
          </cell>
          <cell r="J58">
            <v>27</v>
          </cell>
          <cell r="K58">
            <v>2</v>
          </cell>
          <cell r="L58">
            <v>2045</v>
          </cell>
          <cell r="M58">
            <v>2036</v>
          </cell>
          <cell r="N58"/>
          <cell r="O58" t="str">
            <v>B83459</v>
          </cell>
          <cell r="P58">
            <v>81</v>
          </cell>
          <cell r="Q58">
            <v>46191</v>
          </cell>
          <cell r="R58" t="str">
            <v>DC/18</v>
          </cell>
          <cell r="T58" t="str">
            <v>6921 3065 9766</v>
          </cell>
          <cell r="U58">
            <v>72</v>
          </cell>
          <cell r="V58">
            <v>147240</v>
          </cell>
          <cell r="X58"/>
        </row>
        <row r="59">
          <cell r="A59" t="str">
            <v>JUNE</v>
          </cell>
          <cell r="B59">
            <v>850602</v>
          </cell>
          <cell r="C59" t="str">
            <v>LAX</v>
          </cell>
          <cell r="E59">
            <v>46182</v>
          </cell>
          <cell r="F59" t="str">
            <v>OVER</v>
          </cell>
          <cell r="G59" t="str">
            <v>TATA</v>
          </cell>
          <cell r="H59">
            <v>13</v>
          </cell>
          <cell r="I59" t="str">
            <v>EN31</v>
          </cell>
          <cell r="J59">
            <v>26</v>
          </cell>
          <cell r="K59">
            <v>2</v>
          </cell>
          <cell r="L59">
            <v>2025</v>
          </cell>
          <cell r="M59">
            <v>2018</v>
          </cell>
          <cell r="O59" t="str">
            <v>B83459</v>
          </cell>
          <cell r="P59">
            <v>80</v>
          </cell>
          <cell r="Q59">
            <v>46191</v>
          </cell>
          <cell r="R59" t="str">
            <v>DC/18</v>
          </cell>
          <cell r="T59" t="str">
            <v>6921 3065 9766</v>
          </cell>
          <cell r="U59">
            <v>72</v>
          </cell>
          <cell r="V59">
            <v>145800</v>
          </cell>
          <cell r="X59"/>
        </row>
        <row r="60">
          <cell r="E60"/>
          <cell r="J60" t="str">
            <v/>
          </cell>
          <cell r="K60" t="str">
            <v/>
          </cell>
          <cell r="L60">
            <v>4070</v>
          </cell>
          <cell r="M60">
            <v>4054</v>
          </cell>
          <cell r="N60">
            <v>4070</v>
          </cell>
          <cell r="O60">
            <v>4070</v>
          </cell>
          <cell r="P60" t="str">
            <v/>
          </cell>
          <cell r="Q60" t="str">
            <v/>
          </cell>
          <cell r="R60" t="str">
            <v/>
          </cell>
          <cell r="T60" t="str">
            <v/>
          </cell>
          <cell r="U60"/>
          <cell r="V60"/>
          <cell r="X60"/>
        </row>
        <row r="61">
          <cell r="E61"/>
          <cell r="J61" t="str">
            <v/>
          </cell>
          <cell r="K61" t="str">
            <v/>
          </cell>
          <cell r="L61"/>
          <cell r="M61" t="str">
            <v>Self</v>
          </cell>
          <cell r="N61" t="str">
            <v>CO.</v>
          </cell>
          <cell r="O61" t="str">
            <v>MADHAV</v>
          </cell>
          <cell r="P61" t="str">
            <v/>
          </cell>
          <cell r="Q61" t="str">
            <v/>
          </cell>
          <cell r="R61" t="str">
            <v/>
          </cell>
          <cell r="T61" t="str">
            <v/>
          </cell>
          <cell r="U61"/>
          <cell r="V61"/>
          <cell r="X61"/>
        </row>
        <row r="62">
          <cell r="A62" t="str">
            <v>JUNE</v>
          </cell>
          <cell r="B62">
            <v>410601</v>
          </cell>
          <cell r="C62" t="str">
            <v>PF</v>
          </cell>
          <cell r="D62">
            <v>933</v>
          </cell>
          <cell r="E62">
            <v>46182</v>
          </cell>
          <cell r="F62" t="str">
            <v>JAIN</v>
          </cell>
          <cell r="G62" t="str">
            <v>NECO</v>
          </cell>
          <cell r="H62">
            <v>17.3</v>
          </cell>
          <cell r="I62" t="str">
            <v>15B25</v>
          </cell>
          <cell r="J62">
            <v>25</v>
          </cell>
          <cell r="K62">
            <v>2</v>
          </cell>
          <cell r="L62">
            <v>1320</v>
          </cell>
          <cell r="M62">
            <v>1309</v>
          </cell>
          <cell r="O62" t="str">
            <v>J851114</v>
          </cell>
          <cell r="P62">
            <v>65</v>
          </cell>
          <cell r="Q62">
            <v>46187</v>
          </cell>
          <cell r="R62" t="str">
            <v>DC/17</v>
          </cell>
          <cell r="T62" t="str">
            <v>6221 2849 1054</v>
          </cell>
          <cell r="U62">
            <v>73.7</v>
          </cell>
          <cell r="V62">
            <v>97284</v>
          </cell>
          <cell r="X62"/>
        </row>
        <row r="63">
          <cell r="A63" t="str">
            <v>JUNE</v>
          </cell>
          <cell r="B63">
            <v>410602</v>
          </cell>
          <cell r="C63" t="str">
            <v>PF</v>
          </cell>
          <cell r="D63">
            <v>933</v>
          </cell>
          <cell r="E63">
            <v>46182</v>
          </cell>
          <cell r="F63" t="str">
            <v>JAIN</v>
          </cell>
          <cell r="G63" t="str">
            <v>NECO</v>
          </cell>
          <cell r="H63">
            <v>17.3</v>
          </cell>
          <cell r="I63" t="str">
            <v>15B25</v>
          </cell>
          <cell r="J63">
            <v>25</v>
          </cell>
          <cell r="K63">
            <v>2</v>
          </cell>
          <cell r="L63">
            <v>1342</v>
          </cell>
          <cell r="M63">
            <v>1335</v>
          </cell>
          <cell r="O63" t="str">
            <v>J851114</v>
          </cell>
          <cell r="P63">
            <v>65</v>
          </cell>
          <cell r="Q63">
            <v>46187</v>
          </cell>
          <cell r="R63" t="str">
            <v>DC/17</v>
          </cell>
          <cell r="T63" t="str">
            <v>6221 2849 1054</v>
          </cell>
          <cell r="U63">
            <v>73.7</v>
          </cell>
          <cell r="V63">
            <v>98905.400000000009</v>
          </cell>
          <cell r="X63"/>
        </row>
        <row r="64">
          <cell r="E64"/>
          <cell r="J64" t="str">
            <v/>
          </cell>
          <cell r="K64" t="str">
            <v/>
          </cell>
          <cell r="L64">
            <v>2662</v>
          </cell>
          <cell r="M64">
            <v>2644</v>
          </cell>
          <cell r="N64">
            <v>2662</v>
          </cell>
          <cell r="O64">
            <v>2662</v>
          </cell>
          <cell r="P64" t="str">
            <v/>
          </cell>
          <cell r="Q64" t="str">
            <v/>
          </cell>
          <cell r="R64" t="str">
            <v/>
          </cell>
          <cell r="T64" t="str">
            <v/>
          </cell>
          <cell r="U64"/>
          <cell r="V64"/>
          <cell r="X64"/>
        </row>
        <row r="65">
          <cell r="E65"/>
          <cell r="J65" t="str">
            <v/>
          </cell>
          <cell r="K65" t="str">
            <v/>
          </cell>
          <cell r="L65"/>
          <cell r="M65" t="str">
            <v>Self</v>
          </cell>
          <cell r="N65" t="str">
            <v>CO.</v>
          </cell>
          <cell r="O65" t="str">
            <v>PRAMUKH</v>
          </cell>
          <cell r="P65" t="str">
            <v/>
          </cell>
          <cell r="Q65" t="str">
            <v/>
          </cell>
          <cell r="R65" t="str">
            <v/>
          </cell>
          <cell r="T65" t="str">
            <v/>
          </cell>
          <cell r="U65"/>
          <cell r="V65"/>
          <cell r="X65"/>
        </row>
        <row r="66">
          <cell r="A66" t="str">
            <v>JUNE</v>
          </cell>
          <cell r="B66">
            <v>410603</v>
          </cell>
          <cell r="C66" t="str">
            <v>PF</v>
          </cell>
          <cell r="D66">
            <v>934</v>
          </cell>
          <cell r="E66">
            <v>46184</v>
          </cell>
          <cell r="F66" t="str">
            <v>SELF</v>
          </cell>
          <cell r="G66" t="str">
            <v>BPSL</v>
          </cell>
          <cell r="H66">
            <v>23</v>
          </cell>
          <cell r="I66" t="str">
            <v>15B25</v>
          </cell>
          <cell r="J66">
            <v>28</v>
          </cell>
          <cell r="K66">
            <v>2</v>
          </cell>
          <cell r="L66">
            <v>2980</v>
          </cell>
          <cell r="M66">
            <v>2985</v>
          </cell>
          <cell r="O66" t="str">
            <v>F260439</v>
          </cell>
          <cell r="P66">
            <v>58</v>
          </cell>
          <cell r="Q66">
            <v>46191</v>
          </cell>
          <cell r="R66" t="str">
            <v>DC/19</v>
          </cell>
          <cell r="T66" t="str">
            <v>6321 3066 2513</v>
          </cell>
          <cell r="U66">
            <v>68</v>
          </cell>
          <cell r="V66">
            <v>202640</v>
          </cell>
          <cell r="X66"/>
        </row>
        <row r="67">
          <cell r="E67"/>
          <cell r="J67" t="str">
            <v/>
          </cell>
          <cell r="K67" t="str">
            <v/>
          </cell>
          <cell r="L67">
            <v>2980</v>
          </cell>
          <cell r="M67">
            <v>2985</v>
          </cell>
          <cell r="N67">
            <v>2980</v>
          </cell>
          <cell r="O67"/>
          <cell r="P67" t="str">
            <v/>
          </cell>
          <cell r="Q67" t="str">
            <v/>
          </cell>
          <cell r="R67" t="str">
            <v/>
          </cell>
          <cell r="T67" t="str">
            <v/>
          </cell>
          <cell r="U67"/>
          <cell r="V67"/>
          <cell r="X67"/>
        </row>
        <row r="68">
          <cell r="E68"/>
          <cell r="J68" t="str">
            <v/>
          </cell>
          <cell r="K68" t="str">
            <v/>
          </cell>
          <cell r="L68"/>
          <cell r="M68" t="str">
            <v>Self</v>
          </cell>
          <cell r="N68" t="str">
            <v>CO.</v>
          </cell>
          <cell r="O68"/>
          <cell r="P68" t="str">
            <v/>
          </cell>
          <cell r="Q68" t="str">
            <v/>
          </cell>
          <cell r="R68" t="str">
            <v/>
          </cell>
          <cell r="T68" t="str">
            <v/>
          </cell>
          <cell r="U68"/>
          <cell r="V68"/>
          <cell r="X68"/>
        </row>
        <row r="69">
          <cell r="A69" t="str">
            <v>JUNE</v>
          </cell>
          <cell r="B69">
            <v>400601</v>
          </cell>
          <cell r="C69" t="str">
            <v>PNR</v>
          </cell>
          <cell r="D69" t="str">
            <v>M01</v>
          </cell>
          <cell r="E69">
            <v>46198</v>
          </cell>
          <cell r="F69" t="str">
            <v>METAL</v>
          </cell>
          <cell r="G69" t="str">
            <v>JSPL</v>
          </cell>
          <cell r="H69">
            <v>13</v>
          </cell>
          <cell r="I69" t="str">
            <v>EN31</v>
          </cell>
          <cell r="J69">
            <v>44</v>
          </cell>
          <cell r="K69">
            <v>2</v>
          </cell>
          <cell r="L69">
            <v>2152</v>
          </cell>
          <cell r="O69">
            <v>4523170</v>
          </cell>
          <cell r="P69">
            <v>82</v>
          </cell>
          <cell r="Q69">
            <v>46212</v>
          </cell>
          <cell r="R69" t="str">
            <v>DC/29</v>
          </cell>
          <cell r="T69" t="str">
            <v>6421 4245 2426</v>
          </cell>
          <cell r="U69">
            <v>69</v>
          </cell>
          <cell r="V69">
            <v>148488</v>
          </cell>
          <cell r="X69"/>
        </row>
        <row r="70">
          <cell r="A70" t="str">
            <v>JUNE</v>
          </cell>
          <cell r="B70">
            <v>400602</v>
          </cell>
          <cell r="C70" t="str">
            <v>PNR</v>
          </cell>
          <cell r="D70" t="str">
            <v>M01</v>
          </cell>
          <cell r="E70">
            <v>46198</v>
          </cell>
          <cell r="F70" t="str">
            <v>METAL</v>
          </cell>
          <cell r="G70" t="str">
            <v>JSPL</v>
          </cell>
          <cell r="H70">
            <v>14</v>
          </cell>
          <cell r="I70" t="str">
            <v>EN31</v>
          </cell>
          <cell r="J70">
            <v>31</v>
          </cell>
          <cell r="K70">
            <v>1</v>
          </cell>
          <cell r="L70">
            <v>2410</v>
          </cell>
          <cell r="O70">
            <v>4523178</v>
          </cell>
          <cell r="P70">
            <v>78</v>
          </cell>
          <cell r="Q70">
            <v>46205</v>
          </cell>
          <cell r="R70" t="str">
            <v>DC/23</v>
          </cell>
          <cell r="T70" t="str">
            <v>6321 3849 0325</v>
          </cell>
          <cell r="U70">
            <v>69</v>
          </cell>
          <cell r="V70">
            <v>166290</v>
          </cell>
          <cell r="X70"/>
        </row>
        <row r="71">
          <cell r="A71" t="str">
            <v>JUNE</v>
          </cell>
          <cell r="B71">
            <v>400603</v>
          </cell>
          <cell r="C71" t="str">
            <v>PNR</v>
          </cell>
          <cell r="D71" t="str">
            <v>M01</v>
          </cell>
          <cell r="E71">
            <v>46198</v>
          </cell>
          <cell r="F71" t="str">
            <v>METAL</v>
          </cell>
          <cell r="G71" t="str">
            <v>JSPL</v>
          </cell>
          <cell r="H71">
            <v>20</v>
          </cell>
          <cell r="I71" t="str">
            <v>EN31</v>
          </cell>
          <cell r="J71">
            <v>33</v>
          </cell>
          <cell r="K71">
            <v>1</v>
          </cell>
          <cell r="L71">
            <v>2411</v>
          </cell>
          <cell r="O71">
            <v>4523174</v>
          </cell>
          <cell r="P71">
            <v>80</v>
          </cell>
          <cell r="Q71">
            <v>46205</v>
          </cell>
          <cell r="R71" t="str">
            <v>DC/23</v>
          </cell>
          <cell r="T71" t="str">
            <v>6321 3849 0325</v>
          </cell>
          <cell r="U71">
            <v>69</v>
          </cell>
          <cell r="V71">
            <v>166359</v>
          </cell>
          <cell r="X71"/>
        </row>
        <row r="72">
          <cell r="A72" t="str">
            <v>JUNE</v>
          </cell>
          <cell r="B72">
            <v>400604</v>
          </cell>
          <cell r="C72" t="str">
            <v>PNR</v>
          </cell>
          <cell r="D72" t="str">
            <v>M01</v>
          </cell>
          <cell r="E72">
            <v>46198</v>
          </cell>
          <cell r="F72" t="str">
            <v>METAL</v>
          </cell>
          <cell r="G72" t="str">
            <v>JSPL</v>
          </cell>
          <cell r="H72">
            <v>18.5</v>
          </cell>
          <cell r="I72" t="str">
            <v>EN31</v>
          </cell>
          <cell r="J72">
            <v>32</v>
          </cell>
          <cell r="K72">
            <v>2</v>
          </cell>
          <cell r="L72">
            <v>2469</v>
          </cell>
          <cell r="O72">
            <v>4617428</v>
          </cell>
          <cell r="P72">
            <v>81</v>
          </cell>
          <cell r="Q72">
            <v>46205</v>
          </cell>
          <cell r="R72" t="str">
            <v>DC/22</v>
          </cell>
          <cell r="T72" t="str">
            <v>6321 3843 9711</v>
          </cell>
          <cell r="U72">
            <v>69</v>
          </cell>
          <cell r="V72">
            <v>170361</v>
          </cell>
          <cell r="X72"/>
        </row>
        <row r="73">
          <cell r="A73" t="str">
            <v>JUNE</v>
          </cell>
          <cell r="B73">
            <v>400605</v>
          </cell>
          <cell r="C73" t="str">
            <v>PNR</v>
          </cell>
          <cell r="D73" t="str">
            <v>M01</v>
          </cell>
          <cell r="E73">
            <v>46198</v>
          </cell>
          <cell r="F73" t="str">
            <v>METAL</v>
          </cell>
          <cell r="G73" t="str">
            <v>JSPL</v>
          </cell>
          <cell r="H73">
            <v>18.5</v>
          </cell>
          <cell r="I73" t="str">
            <v>EN31</v>
          </cell>
          <cell r="J73">
            <v>30</v>
          </cell>
          <cell r="K73">
            <v>2</v>
          </cell>
          <cell r="L73">
            <v>2450</v>
          </cell>
          <cell r="O73">
            <v>4617428</v>
          </cell>
          <cell r="P73">
            <v>80</v>
          </cell>
          <cell r="Q73">
            <v>46205</v>
          </cell>
          <cell r="R73" t="str">
            <v>DC/22</v>
          </cell>
          <cell r="T73" t="str">
            <v>6321 3843 9711</v>
          </cell>
          <cell r="U73">
            <v>69</v>
          </cell>
          <cell r="V73">
            <v>169050</v>
          </cell>
          <cell r="X73"/>
        </row>
        <row r="74">
          <cell r="A74" t="str">
            <v>JUNE</v>
          </cell>
          <cell r="B74">
            <v>400606</v>
          </cell>
          <cell r="C74" t="str">
            <v>PNR</v>
          </cell>
          <cell r="D74" t="str">
            <v>M01</v>
          </cell>
          <cell r="E74">
            <v>46198</v>
          </cell>
          <cell r="F74" t="str">
            <v>METAL</v>
          </cell>
          <cell r="G74" t="str">
            <v>JSPL</v>
          </cell>
          <cell r="H74">
            <v>18.5</v>
          </cell>
          <cell r="I74" t="str">
            <v>EN31</v>
          </cell>
          <cell r="J74">
            <v>38</v>
          </cell>
          <cell r="K74">
            <v>2</v>
          </cell>
          <cell r="L74">
            <v>2487</v>
          </cell>
          <cell r="O74">
            <v>4617430</v>
          </cell>
          <cell r="P74">
            <v>76</v>
          </cell>
          <cell r="Q74">
            <v>46209</v>
          </cell>
          <cell r="R74" t="str">
            <v>DC/25</v>
          </cell>
          <cell r="T74" t="str">
            <v>6621 4039 7451</v>
          </cell>
          <cell r="U74">
            <v>69</v>
          </cell>
          <cell r="V74">
            <v>171603</v>
          </cell>
          <cell r="X74"/>
        </row>
        <row r="75">
          <cell r="A75" t="str">
            <v>JUNE</v>
          </cell>
          <cell r="B75">
            <v>400607</v>
          </cell>
          <cell r="C75" t="str">
            <v>PNR</v>
          </cell>
          <cell r="D75" t="str">
            <v>M01</v>
          </cell>
          <cell r="E75">
            <v>46198</v>
          </cell>
          <cell r="F75" t="str">
            <v>METAL</v>
          </cell>
          <cell r="G75" t="str">
            <v>JSPL</v>
          </cell>
          <cell r="H75">
            <v>18.5</v>
          </cell>
          <cell r="I75" t="str">
            <v>EN31</v>
          </cell>
          <cell r="J75">
            <v>37</v>
          </cell>
          <cell r="K75">
            <v>1</v>
          </cell>
          <cell r="L75">
            <v>2468</v>
          </cell>
          <cell r="O75">
            <v>4617430</v>
          </cell>
          <cell r="P75">
            <v>80</v>
          </cell>
          <cell r="Q75">
            <v>46209</v>
          </cell>
          <cell r="R75" t="str">
            <v>DC/25</v>
          </cell>
          <cell r="T75" t="str">
            <v>6621 4039 7451</v>
          </cell>
          <cell r="U75">
            <v>69</v>
          </cell>
          <cell r="V75">
            <v>170292</v>
          </cell>
          <cell r="X75"/>
        </row>
        <row r="76">
          <cell r="E76"/>
          <cell r="J76" t="str">
            <v/>
          </cell>
          <cell r="K76" t="str">
            <v/>
          </cell>
          <cell r="L76">
            <v>16847</v>
          </cell>
          <cell r="M76"/>
          <cell r="N76">
            <v>16847</v>
          </cell>
          <cell r="O76">
            <v>16960</v>
          </cell>
          <cell r="P76" t="str">
            <v/>
          </cell>
          <cell r="Q76" t="str">
            <v/>
          </cell>
          <cell r="R76" t="str">
            <v/>
          </cell>
          <cell r="T76" t="str">
            <v/>
          </cell>
          <cell r="U76"/>
          <cell r="V76"/>
          <cell r="X76"/>
        </row>
        <row r="77">
          <cell r="E77"/>
          <cell r="J77" t="str">
            <v/>
          </cell>
          <cell r="K77" t="str">
            <v/>
          </cell>
          <cell r="L77"/>
          <cell r="M77" t="str">
            <v>Self</v>
          </cell>
          <cell r="N77" t="str">
            <v>CO.</v>
          </cell>
          <cell r="O77" t="str">
            <v>SARDAR</v>
          </cell>
          <cell r="P77" t="str">
            <v/>
          </cell>
          <cell r="Q77" t="str">
            <v/>
          </cell>
          <cell r="R77" t="str">
            <v/>
          </cell>
          <cell r="T77" t="str">
            <v/>
          </cell>
          <cell r="U77"/>
          <cell r="V77"/>
          <cell r="X77"/>
        </row>
        <row r="78">
          <cell r="A78" t="str">
            <v>JUNE</v>
          </cell>
          <cell r="B78">
            <v>360601</v>
          </cell>
          <cell r="C78" t="str">
            <v>JRI</v>
          </cell>
          <cell r="D78">
            <v>38</v>
          </cell>
          <cell r="E78">
            <v>46198</v>
          </cell>
          <cell r="F78" t="str">
            <v>METAL</v>
          </cell>
          <cell r="G78" t="str">
            <v>JSPL</v>
          </cell>
          <cell r="H78">
            <v>18.5</v>
          </cell>
          <cell r="I78" t="str">
            <v>EN31</v>
          </cell>
          <cell r="J78">
            <v>36</v>
          </cell>
          <cell r="K78">
            <v>2</v>
          </cell>
          <cell r="L78">
            <v>2479</v>
          </cell>
          <cell r="O78">
            <v>4617430</v>
          </cell>
          <cell r="P78">
            <v>81</v>
          </cell>
          <cell r="Q78">
            <v>46214</v>
          </cell>
          <cell r="R78" t="str">
            <v>DC/30</v>
          </cell>
          <cell r="T78" t="str">
            <v>6621 4301 0261</v>
          </cell>
          <cell r="U78">
            <v>69</v>
          </cell>
          <cell r="V78">
            <v>171051</v>
          </cell>
          <cell r="X78"/>
        </row>
        <row r="79">
          <cell r="A79" t="str">
            <v>JUNE</v>
          </cell>
          <cell r="B79">
            <v>360602</v>
          </cell>
          <cell r="C79" t="str">
            <v>JRI</v>
          </cell>
          <cell r="D79">
            <v>38</v>
          </cell>
          <cell r="E79">
            <v>46198</v>
          </cell>
          <cell r="F79" t="str">
            <v>METAL</v>
          </cell>
          <cell r="G79" t="str">
            <v>JSPL</v>
          </cell>
          <cell r="H79">
            <v>18.5</v>
          </cell>
          <cell r="I79" t="str">
            <v>EN31</v>
          </cell>
          <cell r="J79">
            <v>35</v>
          </cell>
          <cell r="K79">
            <v>1</v>
          </cell>
          <cell r="L79">
            <v>2467</v>
          </cell>
          <cell r="O79">
            <v>4617430</v>
          </cell>
          <cell r="P79">
            <v>82</v>
          </cell>
          <cell r="Q79">
            <v>46206</v>
          </cell>
          <cell r="R79" t="str">
            <v>DC/24</v>
          </cell>
          <cell r="T79" t="str">
            <v>6121 3886 3493</v>
          </cell>
          <cell r="U79">
            <v>69</v>
          </cell>
          <cell r="V79">
            <v>170223</v>
          </cell>
          <cell r="X79"/>
        </row>
        <row r="80">
          <cell r="A80" t="str">
            <v>JUNE</v>
          </cell>
          <cell r="B80">
            <v>360603</v>
          </cell>
          <cell r="C80" t="str">
            <v>JRI</v>
          </cell>
          <cell r="D80">
            <v>38</v>
          </cell>
          <cell r="E80">
            <v>46198</v>
          </cell>
          <cell r="F80" t="str">
            <v>METAL</v>
          </cell>
          <cell r="G80" t="str">
            <v>JSPL</v>
          </cell>
          <cell r="H80">
            <v>18.5</v>
          </cell>
          <cell r="I80" t="str">
            <v>EN31</v>
          </cell>
          <cell r="J80">
            <v>34</v>
          </cell>
          <cell r="K80">
            <v>2</v>
          </cell>
          <cell r="L80">
            <v>2451</v>
          </cell>
          <cell r="O80">
            <v>4617430</v>
          </cell>
          <cell r="P80">
            <v>80</v>
          </cell>
          <cell r="Q80">
            <v>46206</v>
          </cell>
          <cell r="R80" t="str">
            <v>DC/24</v>
          </cell>
          <cell r="T80" t="str">
            <v>6121 3886 3493</v>
          </cell>
          <cell r="U80">
            <v>69</v>
          </cell>
          <cell r="V80">
            <v>169119</v>
          </cell>
          <cell r="X80"/>
        </row>
        <row r="81">
          <cell r="A81" t="str">
            <v>JUNE</v>
          </cell>
          <cell r="B81">
            <v>360604</v>
          </cell>
          <cell r="C81" t="str">
            <v>JRI</v>
          </cell>
          <cell r="D81">
            <v>38</v>
          </cell>
          <cell r="E81">
            <v>46198</v>
          </cell>
          <cell r="F81" t="str">
            <v>METAL</v>
          </cell>
          <cell r="G81" t="str">
            <v>JSPL</v>
          </cell>
          <cell r="H81">
            <v>18.5</v>
          </cell>
          <cell r="I81" t="str">
            <v>EN31</v>
          </cell>
          <cell r="J81">
            <v>46</v>
          </cell>
          <cell r="K81">
            <v>2</v>
          </cell>
          <cell r="L81">
            <v>2457</v>
          </cell>
          <cell r="O81">
            <v>4617430</v>
          </cell>
          <cell r="P81">
            <v>80</v>
          </cell>
          <cell r="Q81">
            <v>46214</v>
          </cell>
          <cell r="R81" t="str">
            <v>DC/30</v>
          </cell>
          <cell r="T81" t="str">
            <v>6621 4301 0261</v>
          </cell>
          <cell r="U81">
            <v>69</v>
          </cell>
          <cell r="V81">
            <v>169533</v>
          </cell>
          <cell r="X81"/>
        </row>
        <row r="82">
          <cell r="E82"/>
          <cell r="J82" t="str">
            <v/>
          </cell>
          <cell r="K82" t="str">
            <v/>
          </cell>
          <cell r="L82">
            <v>9854</v>
          </cell>
          <cell r="M82"/>
          <cell r="N82">
            <v>9854</v>
          </cell>
          <cell r="O82">
            <v>9940</v>
          </cell>
          <cell r="P82" t="str">
            <v/>
          </cell>
          <cell r="Q82" t="str">
            <v/>
          </cell>
          <cell r="R82" t="str">
            <v/>
          </cell>
          <cell r="T82" t="str">
            <v/>
          </cell>
          <cell r="U82"/>
          <cell r="V82"/>
          <cell r="X82"/>
        </row>
        <row r="83">
          <cell r="E83"/>
          <cell r="J83" t="str">
            <v/>
          </cell>
          <cell r="K83" t="str">
            <v/>
          </cell>
          <cell r="L83"/>
          <cell r="M83" t="str">
            <v>Self</v>
          </cell>
          <cell r="N83" t="str">
            <v>CO.</v>
          </cell>
          <cell r="O83" t="str">
            <v>SARDAR</v>
          </cell>
          <cell r="P83" t="str">
            <v/>
          </cell>
          <cell r="Q83" t="str">
            <v/>
          </cell>
          <cell r="R83" t="str">
            <v/>
          </cell>
          <cell r="T83" t="str">
            <v/>
          </cell>
          <cell r="U83"/>
          <cell r="V83"/>
          <cell r="X83"/>
        </row>
        <row r="84">
          <cell r="A84" t="str">
            <v>JUNE</v>
          </cell>
          <cell r="B84">
            <v>550601</v>
          </cell>
          <cell r="C84" t="str">
            <v>ROLL</v>
          </cell>
          <cell r="D84">
            <v>31</v>
          </cell>
          <cell r="E84">
            <v>46198</v>
          </cell>
          <cell r="F84" t="str">
            <v>OVER</v>
          </cell>
          <cell r="G84" t="str">
            <v>TATA</v>
          </cell>
          <cell r="H84">
            <v>9</v>
          </cell>
          <cell r="I84" t="str">
            <v>SAE</v>
          </cell>
          <cell r="J84">
            <v>40</v>
          </cell>
          <cell r="K84">
            <v>2</v>
          </cell>
          <cell r="L84">
            <v>1982</v>
          </cell>
          <cell r="M84">
            <v>1982</v>
          </cell>
          <cell r="O84" t="str">
            <v>B83445</v>
          </cell>
          <cell r="P84">
            <v>80</v>
          </cell>
          <cell r="Q84">
            <v>46212</v>
          </cell>
          <cell r="R84" t="str">
            <v>DC/27</v>
          </cell>
          <cell r="T84" t="str">
            <v>6821 4198 8672</v>
          </cell>
          <cell r="U84">
            <v>88</v>
          </cell>
          <cell r="V84">
            <v>174416</v>
          </cell>
          <cell r="X84"/>
        </row>
        <row r="85">
          <cell r="A85" t="str">
            <v>JUNE</v>
          </cell>
          <cell r="B85">
            <v>550602</v>
          </cell>
          <cell r="C85" t="str">
            <v>ROLL</v>
          </cell>
          <cell r="D85">
            <v>31</v>
          </cell>
          <cell r="E85">
            <v>46198</v>
          </cell>
          <cell r="F85" t="str">
            <v>OVER</v>
          </cell>
          <cell r="G85" t="str">
            <v>TATA</v>
          </cell>
          <cell r="H85">
            <v>9</v>
          </cell>
          <cell r="I85" t="str">
            <v>SAE</v>
          </cell>
          <cell r="J85">
            <v>41</v>
          </cell>
          <cell r="K85">
            <v>1</v>
          </cell>
          <cell r="L85">
            <v>2000</v>
          </cell>
          <cell r="M85">
            <v>2000</v>
          </cell>
          <cell r="O85" t="str">
            <v>B83445</v>
          </cell>
          <cell r="P85">
            <v>81</v>
          </cell>
          <cell r="Q85">
            <v>46212</v>
          </cell>
          <cell r="R85" t="str">
            <v>DC/27</v>
          </cell>
          <cell r="T85" t="str">
            <v>6821 4198 8672</v>
          </cell>
          <cell r="U85">
            <v>88</v>
          </cell>
          <cell r="V85">
            <v>176000</v>
          </cell>
          <cell r="X85"/>
        </row>
        <row r="86">
          <cell r="A86" t="str">
            <v>JUNE</v>
          </cell>
          <cell r="B86">
            <v>550603</v>
          </cell>
          <cell r="C86" t="str">
            <v>ROLL</v>
          </cell>
          <cell r="D86">
            <v>31</v>
          </cell>
          <cell r="E86">
            <v>46198</v>
          </cell>
          <cell r="F86" t="str">
            <v>OVER</v>
          </cell>
          <cell r="G86" t="str">
            <v>TATA</v>
          </cell>
          <cell r="H86">
            <v>12</v>
          </cell>
          <cell r="I86" t="str">
            <v>SAE</v>
          </cell>
          <cell r="J86">
            <v>42</v>
          </cell>
          <cell r="K86">
            <v>2</v>
          </cell>
          <cell r="L86">
            <v>1963</v>
          </cell>
          <cell r="M86">
            <v>1973</v>
          </cell>
          <cell r="O86" t="str">
            <v>B82752</v>
          </cell>
          <cell r="P86">
            <v>80</v>
          </cell>
          <cell r="Q86">
            <v>46212</v>
          </cell>
          <cell r="R86" t="str">
            <v>DC/28</v>
          </cell>
          <cell r="T86" t="str">
            <v>6321 4199 4843</v>
          </cell>
          <cell r="U86">
            <v>88</v>
          </cell>
          <cell r="V86">
            <v>172744</v>
          </cell>
          <cell r="X86"/>
        </row>
        <row r="87">
          <cell r="A87" t="str">
            <v>JUNE</v>
          </cell>
          <cell r="B87">
            <v>550604</v>
          </cell>
          <cell r="C87" t="str">
            <v>ROLL</v>
          </cell>
          <cell r="D87">
            <v>31</v>
          </cell>
          <cell r="E87">
            <v>46198</v>
          </cell>
          <cell r="F87" t="str">
            <v>OVER</v>
          </cell>
          <cell r="G87" t="str">
            <v>TATA</v>
          </cell>
          <cell r="H87">
            <v>12</v>
          </cell>
          <cell r="I87" t="str">
            <v>SAE</v>
          </cell>
          <cell r="J87">
            <v>43</v>
          </cell>
          <cell r="K87">
            <v>1</v>
          </cell>
          <cell r="L87">
            <v>1955</v>
          </cell>
          <cell r="M87">
            <v>1962</v>
          </cell>
          <cell r="O87" t="str">
            <v>B82752</v>
          </cell>
          <cell r="P87">
            <v>80</v>
          </cell>
          <cell r="Q87">
            <v>46212</v>
          </cell>
          <cell r="R87" t="str">
            <v>DC/28</v>
          </cell>
          <cell r="T87" t="str">
            <v>6321 4199 4843</v>
          </cell>
          <cell r="U87">
            <v>88</v>
          </cell>
          <cell r="V87">
            <v>172040</v>
          </cell>
          <cell r="X87"/>
        </row>
        <row r="88">
          <cell r="E88"/>
          <cell r="J88" t="str">
            <v/>
          </cell>
          <cell r="K88" t="str">
            <v/>
          </cell>
          <cell r="L88">
            <v>7900</v>
          </cell>
          <cell r="M88">
            <v>7917</v>
          </cell>
          <cell r="N88">
            <v>7900</v>
          </cell>
          <cell r="O88">
            <v>7900</v>
          </cell>
          <cell r="P88" t="str">
            <v/>
          </cell>
          <cell r="Q88" t="str">
            <v/>
          </cell>
          <cell r="R88" t="str">
            <v/>
          </cell>
          <cell r="T88" t="str">
            <v/>
          </cell>
          <cell r="U88"/>
          <cell r="V88"/>
          <cell r="X88"/>
        </row>
        <row r="89">
          <cell r="E89"/>
          <cell r="J89" t="str">
            <v/>
          </cell>
          <cell r="K89" t="str">
            <v/>
          </cell>
          <cell r="L89"/>
          <cell r="M89" t="str">
            <v>Self</v>
          </cell>
          <cell r="N89" t="str">
            <v>CO.</v>
          </cell>
          <cell r="O89" t="str">
            <v>MADHAV</v>
          </cell>
          <cell r="P89" t="str">
            <v/>
          </cell>
          <cell r="Q89" t="str">
            <v/>
          </cell>
          <cell r="R89" t="str">
            <v/>
          </cell>
          <cell r="T89" t="str">
            <v/>
          </cell>
          <cell r="U89"/>
          <cell r="V89"/>
          <cell r="X89"/>
        </row>
        <row r="90">
          <cell r="A90" t="str">
            <v>JUNE</v>
          </cell>
          <cell r="B90">
            <v>500601</v>
          </cell>
          <cell r="C90" t="str">
            <v>BALL</v>
          </cell>
          <cell r="D90">
            <v>88</v>
          </cell>
          <cell r="E90">
            <v>46198</v>
          </cell>
          <cell r="F90" t="str">
            <v>OVER</v>
          </cell>
          <cell r="G90" t="str">
            <v>TATA</v>
          </cell>
          <cell r="H90">
            <v>9</v>
          </cell>
          <cell r="I90" t="str">
            <v>EN31</v>
          </cell>
          <cell r="J90">
            <v>57</v>
          </cell>
          <cell r="K90">
            <v>2</v>
          </cell>
          <cell r="L90">
            <v>2000</v>
          </cell>
          <cell r="M90">
            <v>2000</v>
          </cell>
          <cell r="N90"/>
          <cell r="O90" t="str">
            <v>B83275</v>
          </cell>
          <cell r="P90">
            <v>82</v>
          </cell>
          <cell r="Q90">
            <v>46222</v>
          </cell>
          <cell r="R90" t="str">
            <v>DC/36</v>
          </cell>
          <cell r="T90" t="str">
            <v>6221 4789 2944</v>
          </cell>
          <cell r="U90">
            <v>71.0009880028</v>
          </cell>
          <cell r="V90">
            <v>142001.97600560001</v>
          </cell>
          <cell r="X90"/>
        </row>
        <row r="91">
          <cell r="A91" t="str">
            <v>JUNE</v>
          </cell>
          <cell r="B91">
            <v>500602</v>
          </cell>
          <cell r="C91" t="str">
            <v>BALL</v>
          </cell>
          <cell r="D91">
            <v>88</v>
          </cell>
          <cell r="E91">
            <v>46198</v>
          </cell>
          <cell r="F91" t="str">
            <v>OVER</v>
          </cell>
          <cell r="G91" t="str">
            <v>TATA</v>
          </cell>
          <cell r="H91">
            <v>9</v>
          </cell>
          <cell r="I91" t="str">
            <v>EN31</v>
          </cell>
          <cell r="J91">
            <v>56</v>
          </cell>
          <cell r="K91">
            <v>2</v>
          </cell>
          <cell r="L91">
            <v>2015</v>
          </cell>
          <cell r="M91">
            <v>2014</v>
          </cell>
          <cell r="N91"/>
          <cell r="O91" t="str">
            <v>B83275</v>
          </cell>
          <cell r="P91">
            <v>80</v>
          </cell>
          <cell r="Q91">
            <v>46222</v>
          </cell>
          <cell r="R91" t="str">
            <v>DC/36</v>
          </cell>
          <cell r="T91" t="str">
            <v>6221 4789 2944</v>
          </cell>
          <cell r="U91">
            <v>71.0009880028</v>
          </cell>
          <cell r="V91">
            <v>143066.99082564199</v>
          </cell>
          <cell r="X91"/>
        </row>
        <row r="92">
          <cell r="A92" t="str">
            <v>JUNE</v>
          </cell>
          <cell r="B92">
            <v>500603</v>
          </cell>
          <cell r="C92" t="str">
            <v>BALL</v>
          </cell>
          <cell r="D92">
            <v>88</v>
          </cell>
          <cell r="E92">
            <v>46198</v>
          </cell>
          <cell r="F92" t="str">
            <v>OVER</v>
          </cell>
          <cell r="G92" t="str">
            <v>TATA</v>
          </cell>
          <cell r="H92">
            <v>11</v>
          </cell>
          <cell r="I92" t="str">
            <v>EN31</v>
          </cell>
          <cell r="J92">
            <v>62</v>
          </cell>
          <cell r="K92">
            <v>2</v>
          </cell>
          <cell r="L92">
            <v>2020</v>
          </cell>
          <cell r="M92">
            <v>2024</v>
          </cell>
          <cell r="N92"/>
          <cell r="O92" t="str">
            <v>B83458</v>
          </cell>
          <cell r="P92">
            <v>80</v>
          </cell>
          <cell r="Q92" t="str">
            <v/>
          </cell>
          <cell r="R92" t="str">
            <v/>
          </cell>
          <cell r="T92" t="str">
            <v>Load No.</v>
          </cell>
          <cell r="U92">
            <v>71.0009880028</v>
          </cell>
          <cell r="V92">
            <v>143421.995765656</v>
          </cell>
          <cell r="X92"/>
        </row>
        <row r="93">
          <cell r="A93" t="str">
            <v>JUNE</v>
          </cell>
          <cell r="B93">
            <v>500604</v>
          </cell>
          <cell r="C93" t="str">
            <v>BALL</v>
          </cell>
          <cell r="D93">
            <v>88</v>
          </cell>
          <cell r="E93">
            <v>46198</v>
          </cell>
          <cell r="F93" t="str">
            <v>OVER</v>
          </cell>
          <cell r="G93" t="str">
            <v>TATA</v>
          </cell>
          <cell r="H93">
            <v>11</v>
          </cell>
          <cell r="I93" t="str">
            <v>EN31</v>
          </cell>
          <cell r="J93">
            <v>59</v>
          </cell>
          <cell r="K93">
            <v>2</v>
          </cell>
          <cell r="L93">
            <v>2020</v>
          </cell>
          <cell r="M93">
            <v>2026</v>
          </cell>
          <cell r="N93"/>
          <cell r="O93" t="str">
            <v>B83458</v>
          </cell>
          <cell r="P93">
            <v>80</v>
          </cell>
          <cell r="Q93">
            <v>46224</v>
          </cell>
          <cell r="R93" t="str">
            <v>DC/38</v>
          </cell>
          <cell r="T93" t="str">
            <v>6821 4884 9918</v>
          </cell>
          <cell r="U93">
            <v>71.0009880028</v>
          </cell>
          <cell r="V93">
            <v>143421.995765656</v>
          </cell>
          <cell r="X93"/>
        </row>
        <row r="94">
          <cell r="A94" t="str">
            <v>JUNE</v>
          </cell>
          <cell r="B94">
            <v>500605</v>
          </cell>
          <cell r="C94" t="str">
            <v>BALL</v>
          </cell>
          <cell r="D94">
            <v>88</v>
          </cell>
          <cell r="E94">
            <v>46198</v>
          </cell>
          <cell r="F94" t="str">
            <v>OVER</v>
          </cell>
          <cell r="G94" t="str">
            <v>TATA</v>
          </cell>
          <cell r="H94">
            <v>16.5</v>
          </cell>
          <cell r="I94" t="str">
            <v>EN31</v>
          </cell>
          <cell r="J94">
            <v>55</v>
          </cell>
          <cell r="K94">
            <v>1</v>
          </cell>
          <cell r="L94">
            <v>2040</v>
          </cell>
          <cell r="M94">
            <v>2010</v>
          </cell>
          <cell r="N94"/>
          <cell r="O94" t="str">
            <v>B83700</v>
          </cell>
          <cell r="P94">
            <v>83</v>
          </cell>
          <cell r="Q94">
            <v>46221</v>
          </cell>
          <cell r="R94" t="str">
            <v>DC/35</v>
          </cell>
          <cell r="T94" t="str">
            <v>6121 4734 7764</v>
          </cell>
          <cell r="U94">
            <v>71.0009880028</v>
          </cell>
          <cell r="V94">
            <v>144842.01552571199</v>
          </cell>
          <cell r="X94"/>
        </row>
        <row r="95">
          <cell r="A95" t="str">
            <v>JUNE</v>
          </cell>
          <cell r="B95">
            <v>500606</v>
          </cell>
          <cell r="C95" t="str">
            <v>BALL</v>
          </cell>
          <cell r="D95">
            <v>88</v>
          </cell>
          <cell r="E95">
            <v>46198</v>
          </cell>
          <cell r="F95" t="str">
            <v>OVER</v>
          </cell>
          <cell r="G95" t="str">
            <v>TATA</v>
          </cell>
          <cell r="H95">
            <v>16.5</v>
          </cell>
          <cell r="I95" t="str">
            <v>EN31</v>
          </cell>
          <cell r="J95">
            <v>53</v>
          </cell>
          <cell r="K95">
            <v>1</v>
          </cell>
          <cell r="L95">
            <v>2030</v>
          </cell>
          <cell r="M95">
            <v>1998</v>
          </cell>
          <cell r="N95"/>
          <cell r="O95" t="str">
            <v>B83700</v>
          </cell>
          <cell r="P95">
            <v>81</v>
          </cell>
          <cell r="Q95">
            <v>46219</v>
          </cell>
          <cell r="R95" t="str">
            <v>DC/34</v>
          </cell>
          <cell r="T95" t="str">
            <v>6721 4605 3295</v>
          </cell>
          <cell r="U95">
            <v>71.0009880028</v>
          </cell>
          <cell r="V95">
            <v>144132.005645684</v>
          </cell>
          <cell r="X95"/>
        </row>
        <row r="96">
          <cell r="A96" t="str">
            <v>JUNE</v>
          </cell>
          <cell r="B96">
            <v>500607</v>
          </cell>
          <cell r="C96" t="str">
            <v>BALL</v>
          </cell>
          <cell r="D96">
            <v>88</v>
          </cell>
          <cell r="E96">
            <v>46198</v>
          </cell>
          <cell r="F96" t="str">
            <v>OVER</v>
          </cell>
          <cell r="G96" t="str">
            <v>TATA</v>
          </cell>
          <cell r="H96">
            <v>16.5</v>
          </cell>
          <cell r="I96" t="str">
            <v>EN31</v>
          </cell>
          <cell r="J96">
            <v>54</v>
          </cell>
          <cell r="K96">
            <v>2</v>
          </cell>
          <cell r="L96">
            <v>2045</v>
          </cell>
          <cell r="M96">
            <v>2016</v>
          </cell>
          <cell r="N96"/>
          <cell r="O96" t="str">
            <v>B83700</v>
          </cell>
          <cell r="P96">
            <v>81</v>
          </cell>
          <cell r="Q96">
            <v>46221</v>
          </cell>
          <cell r="R96" t="str">
            <v>DC/35</v>
          </cell>
          <cell r="T96" t="str">
            <v>6121 4734 7764</v>
          </cell>
          <cell r="U96">
            <v>71.0009880028</v>
          </cell>
          <cell r="V96">
            <v>145197.020465726</v>
          </cell>
          <cell r="X96"/>
        </row>
        <row r="97">
          <cell r="E97"/>
          <cell r="J97" t="str">
            <v/>
          </cell>
          <cell r="K97" t="str">
            <v/>
          </cell>
          <cell r="L97">
            <v>14170</v>
          </cell>
          <cell r="M97">
            <v>14088</v>
          </cell>
          <cell r="N97">
            <v>14170</v>
          </cell>
          <cell r="O97">
            <v>14170</v>
          </cell>
          <cell r="P97" t="str">
            <v/>
          </cell>
          <cell r="Q97" t="str">
            <v/>
          </cell>
          <cell r="R97" t="str">
            <v/>
          </cell>
          <cell r="T97" t="str">
            <v/>
          </cell>
          <cell r="U97"/>
          <cell r="V97"/>
          <cell r="X97"/>
        </row>
        <row r="98">
          <cell r="A98"/>
          <cell r="B98"/>
          <cell r="C98"/>
          <cell r="D98"/>
          <cell r="E98"/>
          <cell r="F98"/>
          <cell r="G98"/>
          <cell r="H98"/>
          <cell r="I98"/>
          <cell r="J98" t="str">
            <v/>
          </cell>
          <cell r="K98" t="str">
            <v/>
          </cell>
          <cell r="L98"/>
          <cell r="M98" t="str">
            <v>Self</v>
          </cell>
          <cell r="N98" t="str">
            <v>CO.</v>
          </cell>
          <cell r="O98" t="str">
            <v>MADHAV</v>
          </cell>
          <cell r="P98" t="str">
            <v/>
          </cell>
          <cell r="Q98" t="str">
            <v/>
          </cell>
          <cell r="R98" t="str">
            <v/>
          </cell>
          <cell r="S98"/>
          <cell r="T98" t="str">
            <v/>
          </cell>
          <cell r="U98"/>
          <cell r="V98"/>
          <cell r="W98"/>
          <cell r="X98"/>
        </row>
        <row r="99">
          <cell r="A99" t="str">
            <v>JUNE</v>
          </cell>
          <cell r="B99">
            <v>410604</v>
          </cell>
          <cell r="C99" t="str">
            <v>PF</v>
          </cell>
          <cell r="D99">
            <v>935</v>
          </cell>
          <cell r="E99">
            <v>46200</v>
          </cell>
          <cell r="F99" t="str">
            <v>SELF</v>
          </cell>
          <cell r="G99" t="str">
            <v>BPSL</v>
          </cell>
          <cell r="H99">
            <v>4.72</v>
          </cell>
          <cell r="I99" t="str">
            <v>15B25</v>
          </cell>
          <cell r="J99">
            <v>31</v>
          </cell>
          <cell r="K99">
            <v>1</v>
          </cell>
          <cell r="L99">
            <v>82</v>
          </cell>
          <cell r="P99">
            <v>0</v>
          </cell>
          <cell r="Q99">
            <v>46203</v>
          </cell>
          <cell r="R99" t="str">
            <v>DC/21</v>
          </cell>
          <cell r="T99" t="str">
            <v/>
          </cell>
          <cell r="U99">
            <v>67</v>
          </cell>
          <cell r="V99">
            <v>5494</v>
          </cell>
          <cell r="X99"/>
        </row>
        <row r="100">
          <cell r="E100"/>
          <cell r="J100" t="str">
            <v/>
          </cell>
          <cell r="K100" t="str">
            <v/>
          </cell>
          <cell r="L100">
            <v>82</v>
          </cell>
          <cell r="M100"/>
          <cell r="N100"/>
          <cell r="O100"/>
          <cell r="P100" t="str">
            <v/>
          </cell>
          <cell r="Q100" t="str">
            <v/>
          </cell>
          <cell r="R100" t="str">
            <v/>
          </cell>
          <cell r="T100" t="str">
            <v/>
          </cell>
          <cell r="U100"/>
          <cell r="V100"/>
          <cell r="X100"/>
        </row>
        <row r="101">
          <cell r="E101"/>
          <cell r="J101" t="str">
            <v/>
          </cell>
          <cell r="K101" t="str">
            <v/>
          </cell>
          <cell r="L101"/>
          <cell r="M101" t="str">
            <v>Self</v>
          </cell>
          <cell r="N101" t="str">
            <v>CO.</v>
          </cell>
          <cell r="O101"/>
          <cell r="P101" t="str">
            <v/>
          </cell>
          <cell r="Q101" t="str">
            <v/>
          </cell>
          <cell r="R101" t="str">
            <v/>
          </cell>
          <cell r="T101" t="str">
            <v/>
          </cell>
          <cell r="U101"/>
          <cell r="V101"/>
          <cell r="X101"/>
        </row>
        <row r="102">
          <cell r="A102"/>
          <cell r="B102"/>
          <cell r="C102"/>
          <cell r="D102"/>
          <cell r="E102"/>
          <cell r="F102"/>
          <cell r="G102"/>
          <cell r="H102"/>
          <cell r="I102"/>
          <cell r="J102" t="str">
            <v/>
          </cell>
          <cell r="K102" t="str">
            <v/>
          </cell>
          <cell r="L102"/>
          <cell r="M102"/>
          <cell r="N102"/>
          <cell r="O102"/>
          <cell r="P102" t="str">
            <v/>
          </cell>
          <cell r="Q102" t="str">
            <v/>
          </cell>
          <cell r="R102" t="str">
            <v/>
          </cell>
          <cell r="S102"/>
          <cell r="T102" t="str">
            <v/>
          </cell>
          <cell r="U102"/>
          <cell r="V102"/>
          <cell r="X102"/>
        </row>
        <row r="103">
          <cell r="A103" t="str">
            <v>JULY</v>
          </cell>
          <cell r="B103">
            <v>910701</v>
          </cell>
          <cell r="C103" t="str">
            <v>BC</v>
          </cell>
          <cell r="D103" t="str">
            <v>OJW/12</v>
          </cell>
          <cell r="E103">
            <v>46205</v>
          </cell>
          <cell r="F103" t="str">
            <v>SH</v>
          </cell>
          <cell r="G103" t="str">
            <v>JSW</v>
          </cell>
          <cell r="H103">
            <v>17.3</v>
          </cell>
          <cell r="I103" t="str">
            <v>EN31</v>
          </cell>
          <cell r="J103">
            <v>39</v>
          </cell>
          <cell r="K103">
            <v>1</v>
          </cell>
          <cell r="L103">
            <v>1745</v>
          </cell>
          <cell r="M103">
            <v>1730</v>
          </cell>
          <cell r="O103" t="str">
            <v>A71603</v>
          </cell>
          <cell r="P103">
            <v>87</v>
          </cell>
          <cell r="Q103">
            <v>46210</v>
          </cell>
          <cell r="R103" t="str">
            <v>DC/26</v>
          </cell>
          <cell r="T103" t="str">
            <v>6521 4103 2545</v>
          </cell>
          <cell r="U103">
            <v>70</v>
          </cell>
          <cell r="V103">
            <v>122150</v>
          </cell>
          <cell r="X103"/>
        </row>
        <row r="104">
          <cell r="A104" t="str">
            <v>JULY</v>
          </cell>
          <cell r="B104" t="str">
            <v>910702A</v>
          </cell>
          <cell r="C104" t="str">
            <v>BC</v>
          </cell>
          <cell r="D104" t="str">
            <v>OJW/12</v>
          </cell>
          <cell r="E104">
            <v>46205</v>
          </cell>
          <cell r="F104" t="str">
            <v>SH</v>
          </cell>
          <cell r="G104" t="str">
            <v>JSW</v>
          </cell>
          <cell r="H104">
            <v>17.3</v>
          </cell>
          <cell r="I104" t="str">
            <v>EN31</v>
          </cell>
          <cell r="J104">
            <v>39</v>
          </cell>
          <cell r="K104">
            <v>1</v>
          </cell>
          <cell r="L104">
            <v>1370</v>
          </cell>
          <cell r="O104" t="str">
            <v>A72382</v>
          </cell>
          <cell r="P104">
            <v>88</v>
          </cell>
          <cell r="Q104">
            <v>46248</v>
          </cell>
          <cell r="R104" t="str">
            <v>DC/46</v>
          </cell>
          <cell r="T104" t="str">
            <v>6721 6314 6680</v>
          </cell>
          <cell r="U104">
            <v>70</v>
          </cell>
          <cell r="V104">
            <v>95900</v>
          </cell>
          <cell r="X104"/>
        </row>
        <row r="105">
          <cell r="A105" t="str">
            <v>JULY</v>
          </cell>
          <cell r="B105" t="str">
            <v>910702B</v>
          </cell>
          <cell r="C105" t="str">
            <v>BC</v>
          </cell>
          <cell r="D105" t="str">
            <v>OJW/12</v>
          </cell>
          <cell r="E105">
            <v>46205</v>
          </cell>
          <cell r="F105" t="str">
            <v>SH</v>
          </cell>
          <cell r="G105" t="str">
            <v>JSW</v>
          </cell>
          <cell r="H105">
            <v>17.3</v>
          </cell>
          <cell r="I105" t="str">
            <v>EN31</v>
          </cell>
          <cell r="J105">
            <v>39</v>
          </cell>
          <cell r="K105">
            <v>1</v>
          </cell>
          <cell r="L105">
            <v>365</v>
          </cell>
          <cell r="M105">
            <v>1722</v>
          </cell>
          <cell r="N105">
            <v>366</v>
          </cell>
          <cell r="O105" t="str">
            <v>A72382</v>
          </cell>
          <cell r="P105">
            <v>88</v>
          </cell>
          <cell r="Q105">
            <v>46210</v>
          </cell>
          <cell r="R105" t="str">
            <v>DC/26</v>
          </cell>
          <cell r="T105" t="str">
            <v>6521 4103 2545</v>
          </cell>
          <cell r="U105">
            <v>70</v>
          </cell>
          <cell r="V105">
            <v>25550</v>
          </cell>
          <cell r="X105"/>
        </row>
        <row r="106">
          <cell r="E106"/>
          <cell r="J106" t="str">
            <v/>
          </cell>
          <cell r="K106" t="str">
            <v/>
          </cell>
          <cell r="L106">
            <v>3480</v>
          </cell>
          <cell r="M106">
            <v>3452</v>
          </cell>
          <cell r="N106">
            <v>3480</v>
          </cell>
          <cell r="O106">
            <v>3480</v>
          </cell>
          <cell r="P106" t="str">
            <v/>
          </cell>
          <cell r="Q106" t="str">
            <v/>
          </cell>
          <cell r="R106" t="str">
            <v/>
          </cell>
          <cell r="T106" t="str">
            <v/>
          </cell>
          <cell r="U106"/>
          <cell r="V106"/>
          <cell r="X106"/>
        </row>
        <row r="107">
          <cell r="E107"/>
          <cell r="J107" t="str">
            <v/>
          </cell>
          <cell r="K107" t="str">
            <v/>
          </cell>
          <cell r="L107"/>
          <cell r="M107" t="str">
            <v>Self</v>
          </cell>
          <cell r="N107" t="str">
            <v>CO.</v>
          </cell>
          <cell r="O107" t="str">
            <v>H.SHAH</v>
          </cell>
          <cell r="P107" t="str">
            <v/>
          </cell>
          <cell r="Q107" t="str">
            <v/>
          </cell>
          <cell r="R107" t="str">
            <v/>
          </cell>
          <cell r="T107" t="str">
            <v/>
          </cell>
          <cell r="U107"/>
          <cell r="V107"/>
          <cell r="X107"/>
        </row>
        <row r="108">
          <cell r="A108" t="str">
            <v>JULY</v>
          </cell>
          <cell r="B108">
            <v>500701</v>
          </cell>
          <cell r="C108" t="str">
            <v>BALL</v>
          </cell>
          <cell r="D108">
            <v>93</v>
          </cell>
          <cell r="E108">
            <v>46206</v>
          </cell>
          <cell r="F108" t="str">
            <v>OVER</v>
          </cell>
          <cell r="G108" t="str">
            <v>TATA</v>
          </cell>
          <cell r="H108">
            <v>15</v>
          </cell>
          <cell r="I108" t="str">
            <v>SAE</v>
          </cell>
          <cell r="J108">
            <v>52</v>
          </cell>
          <cell r="K108">
            <v>2</v>
          </cell>
          <cell r="L108">
            <v>1692</v>
          </cell>
          <cell r="M108">
            <v>1692</v>
          </cell>
          <cell r="O108" t="str">
            <v>B83791</v>
          </cell>
          <cell r="P108">
            <v>92</v>
          </cell>
          <cell r="Q108">
            <v>46219</v>
          </cell>
          <cell r="R108" t="str">
            <v>DC/33</v>
          </cell>
          <cell r="T108" t="str">
            <v>6721 4605 3295</v>
          </cell>
          <cell r="U108">
            <v>73.099999999999994</v>
          </cell>
          <cell r="V108">
            <v>123685.2</v>
          </cell>
          <cell r="X108"/>
        </row>
        <row r="109">
          <cell r="A109" t="str">
            <v>JULY</v>
          </cell>
          <cell r="B109">
            <v>500702</v>
          </cell>
          <cell r="C109" t="str">
            <v>BALL</v>
          </cell>
          <cell r="D109">
            <v>93</v>
          </cell>
          <cell r="E109">
            <v>46206</v>
          </cell>
          <cell r="F109" t="str">
            <v>OVER</v>
          </cell>
          <cell r="G109" t="str">
            <v>TATA</v>
          </cell>
          <cell r="H109">
            <v>15</v>
          </cell>
          <cell r="I109" t="str">
            <v>SAE</v>
          </cell>
          <cell r="J109">
            <v>51</v>
          </cell>
          <cell r="K109">
            <v>1</v>
          </cell>
          <cell r="L109">
            <v>1992</v>
          </cell>
          <cell r="M109">
            <v>1992</v>
          </cell>
          <cell r="O109" t="str">
            <v>B83791</v>
          </cell>
          <cell r="P109">
            <v>80</v>
          </cell>
          <cell r="Q109">
            <v>46217</v>
          </cell>
          <cell r="R109" t="str">
            <v>DC/32</v>
          </cell>
          <cell r="T109" t="str">
            <v>6521 4476 5200</v>
          </cell>
          <cell r="U109">
            <v>73.099999999999994</v>
          </cell>
          <cell r="V109">
            <v>145615.19999999998</v>
          </cell>
          <cell r="X109"/>
        </row>
        <row r="110">
          <cell r="A110" t="str">
            <v>JULY</v>
          </cell>
          <cell r="B110">
            <v>500703</v>
          </cell>
          <cell r="C110" t="str">
            <v>BALL</v>
          </cell>
          <cell r="D110">
            <v>93</v>
          </cell>
          <cell r="E110">
            <v>46206</v>
          </cell>
          <cell r="F110" t="str">
            <v>OVER</v>
          </cell>
          <cell r="G110" t="str">
            <v>TATA</v>
          </cell>
          <cell r="H110">
            <v>10</v>
          </cell>
          <cell r="I110" t="str">
            <v>SAE</v>
          </cell>
          <cell r="J110">
            <v>58</v>
          </cell>
          <cell r="K110">
            <v>2</v>
          </cell>
          <cell r="L110">
            <v>2020</v>
          </cell>
          <cell r="M110">
            <v>1980</v>
          </cell>
          <cell r="O110" t="str">
            <v>A10834</v>
          </cell>
          <cell r="P110">
            <v>80</v>
          </cell>
          <cell r="Q110">
            <v>46224</v>
          </cell>
          <cell r="R110" t="str">
            <v>DC/39</v>
          </cell>
          <cell r="T110" t="str">
            <v>6821 4884 9918</v>
          </cell>
          <cell r="U110">
            <v>73.099999999999994</v>
          </cell>
          <cell r="V110">
            <v>147662</v>
          </cell>
          <cell r="X110"/>
        </row>
        <row r="111">
          <cell r="A111" t="str">
            <v>JULY</v>
          </cell>
          <cell r="B111">
            <v>500704</v>
          </cell>
          <cell r="C111" t="str">
            <v>BALL</v>
          </cell>
          <cell r="D111">
            <v>93</v>
          </cell>
          <cell r="E111">
            <v>46206</v>
          </cell>
          <cell r="F111" t="str">
            <v>OVER</v>
          </cell>
          <cell r="G111" t="str">
            <v>TATA</v>
          </cell>
          <cell r="H111">
            <v>15</v>
          </cell>
          <cell r="I111" t="str">
            <v>SAE</v>
          </cell>
          <cell r="J111">
            <v>50</v>
          </cell>
          <cell r="K111">
            <v>2</v>
          </cell>
          <cell r="L111">
            <v>1996</v>
          </cell>
          <cell r="M111">
            <v>1996</v>
          </cell>
          <cell r="O111" t="str">
            <v>B83791</v>
          </cell>
          <cell r="P111">
            <v>82</v>
          </cell>
          <cell r="Q111">
            <v>46217</v>
          </cell>
          <cell r="R111" t="str">
            <v>DC/32</v>
          </cell>
          <cell r="T111" t="str">
            <v>6521 4476 5200</v>
          </cell>
          <cell r="U111">
            <v>73.099999999999994</v>
          </cell>
          <cell r="V111">
            <v>145907.59999999998</v>
          </cell>
          <cell r="X111"/>
        </row>
        <row r="112">
          <cell r="E112"/>
          <cell r="J112" t="str">
            <v/>
          </cell>
          <cell r="K112" t="str">
            <v/>
          </cell>
          <cell r="L112">
            <v>7700</v>
          </cell>
          <cell r="M112">
            <v>7660</v>
          </cell>
          <cell r="N112">
            <v>7700</v>
          </cell>
          <cell r="O112">
            <v>7700</v>
          </cell>
          <cell r="P112" t="str">
            <v/>
          </cell>
          <cell r="Q112" t="str">
            <v/>
          </cell>
          <cell r="R112" t="str">
            <v/>
          </cell>
          <cell r="T112" t="str">
            <v/>
          </cell>
          <cell r="U112"/>
          <cell r="V112"/>
          <cell r="X112"/>
        </row>
        <row r="113">
          <cell r="E113"/>
          <cell r="J113" t="str">
            <v/>
          </cell>
          <cell r="K113" t="str">
            <v/>
          </cell>
          <cell r="L113"/>
          <cell r="M113" t="str">
            <v>Self</v>
          </cell>
          <cell r="N113" t="str">
            <v>CO.</v>
          </cell>
          <cell r="O113" t="str">
            <v>MADHAV</v>
          </cell>
          <cell r="P113" t="str">
            <v/>
          </cell>
          <cell r="Q113" t="str">
            <v/>
          </cell>
          <cell r="R113" t="str">
            <v/>
          </cell>
          <cell r="T113" t="str">
            <v/>
          </cell>
          <cell r="U113"/>
          <cell r="V113"/>
          <cell r="X113"/>
        </row>
        <row r="114">
          <cell r="A114" t="str">
            <v>JULY</v>
          </cell>
          <cell r="B114">
            <v>550701</v>
          </cell>
          <cell r="C114" t="str">
            <v>ROLL</v>
          </cell>
          <cell r="D114">
            <v>34</v>
          </cell>
          <cell r="E114">
            <v>46206</v>
          </cell>
          <cell r="F114" t="str">
            <v>OVER</v>
          </cell>
          <cell r="G114" t="str">
            <v>TATA</v>
          </cell>
          <cell r="H114">
            <v>15</v>
          </cell>
          <cell r="I114" t="str">
            <v>SAE</v>
          </cell>
          <cell r="J114">
            <v>63</v>
          </cell>
          <cell r="K114">
            <v>2</v>
          </cell>
          <cell r="L114">
            <v>2030</v>
          </cell>
          <cell r="M114">
            <v>2010</v>
          </cell>
          <cell r="O114" t="str">
            <v>B83790</v>
          </cell>
          <cell r="P114">
            <v>80</v>
          </cell>
          <cell r="Q114" t="str">
            <v/>
          </cell>
          <cell r="R114" t="str">
            <v/>
          </cell>
          <cell r="T114" t="str">
            <v/>
          </cell>
          <cell r="U114">
            <v>100</v>
          </cell>
          <cell r="V114">
            <v>203000</v>
          </cell>
          <cell r="X114"/>
        </row>
        <row r="115">
          <cell r="A115" t="str">
            <v>JULY</v>
          </cell>
          <cell r="B115">
            <v>550702</v>
          </cell>
          <cell r="C115" t="str">
            <v>ROLL</v>
          </cell>
          <cell r="D115">
            <v>34</v>
          </cell>
          <cell r="E115">
            <v>46206</v>
          </cell>
          <cell r="F115" t="str">
            <v>OVER</v>
          </cell>
          <cell r="G115" t="str">
            <v>TATA</v>
          </cell>
          <cell r="H115">
            <v>20</v>
          </cell>
          <cell r="I115" t="str">
            <v>SAE</v>
          </cell>
          <cell r="J115">
            <v>47</v>
          </cell>
          <cell r="K115">
            <v>1</v>
          </cell>
          <cell r="L115">
            <v>1940</v>
          </cell>
          <cell r="M115">
            <v>1940</v>
          </cell>
          <cell r="O115" t="str">
            <v>B82931</v>
          </cell>
          <cell r="P115">
            <v>81</v>
          </cell>
          <cell r="Q115">
            <v>46215</v>
          </cell>
          <cell r="R115" t="str">
            <v>DC/31</v>
          </cell>
          <cell r="T115" t="str">
            <v>6921 4384 9271</v>
          </cell>
          <cell r="U115">
            <v>100</v>
          </cell>
          <cell r="V115">
            <v>194000</v>
          </cell>
          <cell r="X115"/>
        </row>
        <row r="116">
          <cell r="A116" t="str">
            <v>JULY</v>
          </cell>
          <cell r="B116">
            <v>550703</v>
          </cell>
          <cell r="C116" t="str">
            <v>ROLL</v>
          </cell>
          <cell r="D116">
            <v>34</v>
          </cell>
          <cell r="E116">
            <v>46206</v>
          </cell>
          <cell r="F116" t="str">
            <v>OVER</v>
          </cell>
          <cell r="G116" t="str">
            <v>TATA</v>
          </cell>
          <cell r="H116">
            <v>20</v>
          </cell>
          <cell r="I116" t="str">
            <v>SAE</v>
          </cell>
          <cell r="J116">
            <v>45</v>
          </cell>
          <cell r="K116">
            <v>1</v>
          </cell>
          <cell r="L116">
            <v>1940</v>
          </cell>
          <cell r="M116">
            <v>1940</v>
          </cell>
          <cell r="O116" t="str">
            <v>B82931</v>
          </cell>
          <cell r="P116">
            <v>80</v>
          </cell>
          <cell r="Q116">
            <v>46215</v>
          </cell>
          <cell r="R116" t="str">
            <v>DC/31</v>
          </cell>
          <cell r="T116" t="str">
            <v>6921 4384 9271</v>
          </cell>
          <cell r="U116">
            <v>100</v>
          </cell>
          <cell r="V116">
            <v>194000</v>
          </cell>
          <cell r="X116"/>
        </row>
        <row r="117">
          <cell r="A117" t="str">
            <v>JULY</v>
          </cell>
          <cell r="B117">
            <v>550704</v>
          </cell>
          <cell r="C117" t="str">
            <v>ROLL</v>
          </cell>
          <cell r="D117">
            <v>34</v>
          </cell>
          <cell r="E117">
            <v>46206</v>
          </cell>
          <cell r="F117" t="str">
            <v>OVER</v>
          </cell>
          <cell r="G117" t="str">
            <v>TATA</v>
          </cell>
          <cell r="H117">
            <v>20</v>
          </cell>
          <cell r="I117" t="str">
            <v>SAE</v>
          </cell>
          <cell r="J117">
            <v>48</v>
          </cell>
          <cell r="K117">
            <v>2</v>
          </cell>
          <cell r="L117">
            <v>1960</v>
          </cell>
          <cell r="M117">
            <v>1956</v>
          </cell>
          <cell r="N117">
            <v>5840</v>
          </cell>
          <cell r="O117" t="str">
            <v>B83060</v>
          </cell>
          <cell r="P117">
            <v>80</v>
          </cell>
          <cell r="Q117">
            <v>46215</v>
          </cell>
          <cell r="R117" t="str">
            <v>DC/31</v>
          </cell>
          <cell r="T117" t="str">
            <v>6921 4384 9271</v>
          </cell>
          <cell r="U117">
            <v>100</v>
          </cell>
          <cell r="V117">
            <v>196000</v>
          </cell>
          <cell r="X117"/>
        </row>
        <row r="118">
          <cell r="A118" t="str">
            <v>JULY</v>
          </cell>
          <cell r="B118">
            <v>550705</v>
          </cell>
          <cell r="C118" t="str">
            <v>ROLL</v>
          </cell>
          <cell r="D118">
            <v>34</v>
          </cell>
          <cell r="E118">
            <v>46206</v>
          </cell>
          <cell r="F118" t="str">
            <v>OVER</v>
          </cell>
          <cell r="G118" t="str">
            <v>TATA</v>
          </cell>
          <cell r="H118">
            <v>15</v>
          </cell>
          <cell r="I118" t="str">
            <v>SAE</v>
          </cell>
          <cell r="J118" t="str">
            <v/>
          </cell>
          <cell r="K118" t="str">
            <v/>
          </cell>
          <cell r="L118">
            <v>1690</v>
          </cell>
          <cell r="M118">
            <v>1674</v>
          </cell>
          <cell r="O118" t="str">
            <v>B83791</v>
          </cell>
          <cell r="P118" t="str">
            <v/>
          </cell>
          <cell r="Q118" t="str">
            <v/>
          </cell>
          <cell r="R118" t="str">
            <v/>
          </cell>
          <cell r="T118" t="str">
            <v/>
          </cell>
          <cell r="U118">
            <v>100</v>
          </cell>
          <cell r="V118">
            <v>169000</v>
          </cell>
          <cell r="X118"/>
        </row>
        <row r="119">
          <cell r="E119"/>
          <cell r="J119" t="str">
            <v/>
          </cell>
          <cell r="K119" t="str">
            <v/>
          </cell>
          <cell r="L119">
            <v>9560</v>
          </cell>
          <cell r="M119">
            <v>9520</v>
          </cell>
          <cell r="N119">
            <v>9560</v>
          </cell>
          <cell r="O119">
            <v>9560</v>
          </cell>
          <cell r="P119" t="str">
            <v/>
          </cell>
          <cell r="Q119" t="str">
            <v/>
          </cell>
          <cell r="R119" t="str">
            <v/>
          </cell>
          <cell r="T119" t="str">
            <v/>
          </cell>
          <cell r="U119"/>
          <cell r="V119"/>
          <cell r="X119"/>
        </row>
        <row r="120">
          <cell r="E120"/>
          <cell r="J120" t="str">
            <v/>
          </cell>
          <cell r="K120" t="str">
            <v/>
          </cell>
          <cell r="L120"/>
          <cell r="M120" t="str">
            <v>Self</v>
          </cell>
          <cell r="N120" t="str">
            <v>CO.</v>
          </cell>
          <cell r="O120" t="str">
            <v>MADHAV</v>
          </cell>
          <cell r="P120" t="str">
            <v/>
          </cell>
          <cell r="Q120" t="str">
            <v/>
          </cell>
          <cell r="R120" t="str">
            <v/>
          </cell>
          <cell r="T120" t="str">
            <v/>
          </cell>
          <cell r="U120"/>
          <cell r="V120"/>
          <cell r="X120"/>
        </row>
        <row r="121">
          <cell r="A121" t="str">
            <v>JULY</v>
          </cell>
          <cell r="B121" t="str">
            <v>R910701</v>
          </cell>
          <cell r="C121" t="str">
            <v>BC</v>
          </cell>
          <cell r="D121" t="str">
            <v>REPEAT</v>
          </cell>
          <cell r="E121">
            <v>46212</v>
          </cell>
          <cell r="F121" t="str">
            <v>SHIVSHAKTI</v>
          </cell>
          <cell r="G121" t="str">
            <v>JSW</v>
          </cell>
          <cell r="H121">
            <v>17.3</v>
          </cell>
          <cell r="I121" t="str">
            <v>EN31</v>
          </cell>
          <cell r="J121">
            <v>49</v>
          </cell>
          <cell r="K121">
            <v>1</v>
          </cell>
          <cell r="L121">
            <v>1745</v>
          </cell>
          <cell r="O121" t="str">
            <v>A71603</v>
          </cell>
          <cell r="P121">
            <v>83</v>
          </cell>
          <cell r="Q121">
            <v>46217</v>
          </cell>
          <cell r="R121" t="str">
            <v>RESEND TO SHIVSHKTI ON OLD CHALAN</v>
          </cell>
          <cell r="T121" t="str">
            <v/>
          </cell>
          <cell r="U121">
            <v>70</v>
          </cell>
          <cell r="V121">
            <v>122150</v>
          </cell>
          <cell r="X121"/>
        </row>
        <row r="122">
          <cell r="A122" t="str">
            <v>JULY</v>
          </cell>
          <cell r="B122" t="str">
            <v>R910702B</v>
          </cell>
          <cell r="C122" t="str">
            <v>BC</v>
          </cell>
          <cell r="D122" t="str">
            <v>REPEAT</v>
          </cell>
          <cell r="E122">
            <v>46212</v>
          </cell>
          <cell r="F122" t="str">
            <v>SHIVSHAKTI</v>
          </cell>
          <cell r="G122" t="str">
            <v>JSW</v>
          </cell>
          <cell r="H122">
            <v>17.3</v>
          </cell>
          <cell r="I122" t="str">
            <v>EN31</v>
          </cell>
          <cell r="J122">
            <v>49</v>
          </cell>
          <cell r="K122">
            <v>1</v>
          </cell>
          <cell r="L122">
            <v>365</v>
          </cell>
          <cell r="O122" t="str">
            <v>A72382</v>
          </cell>
          <cell r="P122">
            <v>84</v>
          </cell>
          <cell r="Q122">
            <v>46217</v>
          </cell>
          <cell r="R122" t="str">
            <v>RESEND TO SHIVSHKTI ON OLD CHALAN</v>
          </cell>
          <cell r="T122" t="str">
            <v/>
          </cell>
          <cell r="U122">
            <v>70</v>
          </cell>
          <cell r="V122">
            <v>25550</v>
          </cell>
          <cell r="X122"/>
        </row>
        <row r="123">
          <cell r="E123"/>
          <cell r="J123" t="str">
            <v/>
          </cell>
          <cell r="K123" t="str">
            <v/>
          </cell>
          <cell r="L123">
            <v>2110</v>
          </cell>
          <cell r="M123"/>
          <cell r="N123"/>
          <cell r="O123"/>
          <cell r="P123" t="str">
            <v/>
          </cell>
          <cell r="Q123" t="str">
            <v/>
          </cell>
          <cell r="R123" t="str">
            <v/>
          </cell>
          <cell r="T123" t="str">
            <v/>
          </cell>
          <cell r="U123"/>
          <cell r="V123"/>
          <cell r="X123"/>
        </row>
        <row r="124">
          <cell r="B124"/>
          <cell r="C124"/>
          <cell r="D124"/>
          <cell r="E124"/>
          <cell r="F124"/>
          <cell r="G124"/>
          <cell r="H124"/>
          <cell r="I124"/>
          <cell r="J124" t="str">
            <v/>
          </cell>
          <cell r="K124" t="str">
            <v/>
          </cell>
          <cell r="L124"/>
          <cell r="M124" t="str">
            <v>Self</v>
          </cell>
          <cell r="N124" t="str">
            <v>CO.</v>
          </cell>
          <cell r="O124" t="str">
            <v>MADHAV</v>
          </cell>
          <cell r="P124" t="str">
            <v/>
          </cell>
          <cell r="Q124" t="str">
            <v/>
          </cell>
          <cell r="R124" t="str">
            <v/>
          </cell>
          <cell r="T124" t="str">
            <v/>
          </cell>
          <cell r="U124"/>
          <cell r="V124"/>
          <cell r="X124"/>
        </row>
        <row r="125">
          <cell r="A125" t="str">
            <v>JULY</v>
          </cell>
          <cell r="B125">
            <v>410701</v>
          </cell>
          <cell r="C125" t="str">
            <v>PF</v>
          </cell>
          <cell r="D125">
            <v>938</v>
          </cell>
          <cell r="E125">
            <v>46227</v>
          </cell>
          <cell r="F125" t="str">
            <v>MICRO</v>
          </cell>
          <cell r="G125" t="str">
            <v>TATA</v>
          </cell>
          <cell r="H125">
            <v>13</v>
          </cell>
          <cell r="I125" t="str">
            <v>15B25</v>
          </cell>
          <cell r="J125">
            <v>60</v>
          </cell>
          <cell r="K125">
            <v>2</v>
          </cell>
          <cell r="L125">
            <v>2005</v>
          </cell>
          <cell r="M125">
            <v>2002</v>
          </cell>
          <cell r="N125"/>
          <cell r="O125" t="str">
            <v>B82458</v>
          </cell>
          <cell r="P125">
            <v>64</v>
          </cell>
          <cell r="Q125">
            <v>46230</v>
          </cell>
          <cell r="R125" t="str">
            <v>DC/40</v>
          </cell>
          <cell r="T125" t="str">
            <v>6721 5178 0755</v>
          </cell>
          <cell r="U125">
            <v>71.099999999999994</v>
          </cell>
          <cell r="V125">
            <v>142555.5</v>
          </cell>
          <cell r="X125"/>
        </row>
        <row r="126">
          <cell r="B126"/>
          <cell r="C126"/>
          <cell r="D126"/>
          <cell r="E126"/>
          <cell r="F126"/>
          <cell r="G126"/>
          <cell r="H126"/>
          <cell r="I126"/>
          <cell r="J126" t="str">
            <v/>
          </cell>
          <cell r="K126" t="str">
            <v/>
          </cell>
          <cell r="L126">
            <v>2005</v>
          </cell>
          <cell r="M126">
            <v>2002</v>
          </cell>
          <cell r="N126">
            <v>2005</v>
          </cell>
          <cell r="O126">
            <v>2005</v>
          </cell>
          <cell r="P126" t="str">
            <v/>
          </cell>
          <cell r="Q126" t="str">
            <v/>
          </cell>
          <cell r="R126" t="str">
            <v/>
          </cell>
          <cell r="T126" t="str">
            <v/>
          </cell>
          <cell r="U126"/>
          <cell r="V126"/>
          <cell r="X126"/>
        </row>
        <row r="127">
          <cell r="B127"/>
          <cell r="C127"/>
          <cell r="D127"/>
          <cell r="E127"/>
          <cell r="F127"/>
          <cell r="G127"/>
          <cell r="H127"/>
          <cell r="I127"/>
          <cell r="J127" t="str">
            <v/>
          </cell>
          <cell r="K127" t="str">
            <v/>
          </cell>
          <cell r="L127"/>
          <cell r="M127" t="str">
            <v>Self</v>
          </cell>
          <cell r="N127" t="str">
            <v>CO.</v>
          </cell>
          <cell r="O127" t="str">
            <v>MADHAV</v>
          </cell>
          <cell r="P127" t="str">
            <v/>
          </cell>
          <cell r="Q127" t="str">
            <v/>
          </cell>
          <cell r="R127" t="str">
            <v/>
          </cell>
          <cell r="T127" t="str">
            <v/>
          </cell>
          <cell r="U127"/>
          <cell r="V127"/>
          <cell r="X127"/>
        </row>
        <row r="128">
          <cell r="A128" t="str">
            <v>JULY</v>
          </cell>
          <cell r="B128">
            <v>410702</v>
          </cell>
          <cell r="C128" t="str">
            <v>PF</v>
          </cell>
          <cell r="D128">
            <v>937</v>
          </cell>
          <cell r="E128">
            <v>46227</v>
          </cell>
          <cell r="F128" t="str">
            <v>MICRO</v>
          </cell>
          <cell r="G128" t="str">
            <v>VSP</v>
          </cell>
          <cell r="H128">
            <v>10</v>
          </cell>
          <cell r="I128" t="str">
            <v>15B25</v>
          </cell>
          <cell r="J128">
            <v>61</v>
          </cell>
          <cell r="K128">
            <v>2</v>
          </cell>
          <cell r="L128">
            <v>2080</v>
          </cell>
          <cell r="M128"/>
          <cell r="N128"/>
          <cell r="O128" t="str">
            <v>26D01184</v>
          </cell>
          <cell r="P128">
            <v>65</v>
          </cell>
          <cell r="Q128">
            <v>46230</v>
          </cell>
          <cell r="R128" t="str">
            <v>DC/41</v>
          </cell>
          <cell r="T128" t="str">
            <v>6921 5178 3156</v>
          </cell>
          <cell r="U128">
            <v>66</v>
          </cell>
          <cell r="V128">
            <v>137280</v>
          </cell>
          <cell r="X128"/>
        </row>
        <row r="129">
          <cell r="E129"/>
          <cell r="J129" t="str">
            <v/>
          </cell>
          <cell r="K129" t="str">
            <v/>
          </cell>
          <cell r="L129">
            <v>2080</v>
          </cell>
          <cell r="M129"/>
          <cell r="N129">
            <v>2080</v>
          </cell>
          <cell r="O129"/>
          <cell r="P129" t="str">
            <v/>
          </cell>
          <cell r="Q129" t="str">
            <v/>
          </cell>
          <cell r="R129" t="str">
            <v/>
          </cell>
          <cell r="T129" t="str">
            <v/>
          </cell>
          <cell r="U129"/>
          <cell r="V129"/>
          <cell r="X129"/>
        </row>
        <row r="130">
          <cell r="A130"/>
          <cell r="B130"/>
          <cell r="C130"/>
          <cell r="D130"/>
          <cell r="E130"/>
          <cell r="F130"/>
          <cell r="G130"/>
          <cell r="H130"/>
          <cell r="I130"/>
          <cell r="J130" t="str">
            <v/>
          </cell>
          <cell r="K130" t="str">
            <v/>
          </cell>
          <cell r="L130"/>
          <cell r="M130" t="str">
            <v>Self</v>
          </cell>
          <cell r="N130" t="str">
            <v>CO.</v>
          </cell>
          <cell r="O130" t="str">
            <v xml:space="preserve"> </v>
          </cell>
          <cell r="P130" t="str">
            <v/>
          </cell>
          <cell r="Q130" t="str">
            <v/>
          </cell>
          <cell r="R130" t="str">
            <v/>
          </cell>
          <cell r="T130" t="str">
            <v/>
          </cell>
          <cell r="U130"/>
          <cell r="V130"/>
          <cell r="X130"/>
        </row>
        <row r="131">
          <cell r="A131" t="str">
            <v>JULY</v>
          </cell>
          <cell r="B131">
            <v>410703</v>
          </cell>
          <cell r="C131" t="str">
            <v>PF</v>
          </cell>
          <cell r="D131">
            <v>939</v>
          </cell>
          <cell r="E131">
            <v>46231</v>
          </cell>
          <cell r="F131" t="str">
            <v>JAYDEEP</v>
          </cell>
          <cell r="G131" t="str">
            <v>U-WIRRO</v>
          </cell>
          <cell r="H131">
            <v>11</v>
          </cell>
          <cell r="I131" t="str">
            <v>15B25</v>
          </cell>
          <cell r="J131">
            <v>65</v>
          </cell>
          <cell r="K131">
            <v>2</v>
          </cell>
          <cell r="L131">
            <v>2015</v>
          </cell>
          <cell r="M131">
            <v>1996</v>
          </cell>
          <cell r="O131" t="str">
            <v>A2604892</v>
          </cell>
          <cell r="P131">
            <v>66</v>
          </cell>
          <cell r="Q131">
            <v>46235</v>
          </cell>
          <cell r="R131" t="str">
            <v>DC/44</v>
          </cell>
          <cell r="T131" t="str">
            <v>6921 5573 2477</v>
          </cell>
          <cell r="U131">
            <v>67</v>
          </cell>
          <cell r="V131">
            <v>135005</v>
          </cell>
          <cell r="X131"/>
        </row>
        <row r="132">
          <cell r="A132"/>
          <cell r="B132"/>
          <cell r="C132"/>
          <cell r="D132"/>
          <cell r="E132"/>
          <cell r="F132"/>
          <cell r="G132"/>
          <cell r="H132"/>
          <cell r="I132"/>
          <cell r="J132" t="str">
            <v/>
          </cell>
          <cell r="K132" t="str">
            <v/>
          </cell>
          <cell r="L132">
            <v>2015</v>
          </cell>
          <cell r="M132">
            <v>1996</v>
          </cell>
          <cell r="N132">
            <v>2015</v>
          </cell>
          <cell r="O132"/>
          <cell r="P132" t="str">
            <v/>
          </cell>
          <cell r="Q132" t="str">
            <v/>
          </cell>
          <cell r="R132" t="str">
            <v/>
          </cell>
          <cell r="T132" t="str">
            <v/>
          </cell>
          <cell r="U132"/>
          <cell r="V132"/>
          <cell r="X132"/>
        </row>
        <row r="133">
          <cell r="B133"/>
          <cell r="C133"/>
          <cell r="D133"/>
          <cell r="E133"/>
          <cell r="F133"/>
          <cell r="G133"/>
          <cell r="H133"/>
          <cell r="I133"/>
          <cell r="J133" t="str">
            <v/>
          </cell>
          <cell r="K133" t="str">
            <v/>
          </cell>
          <cell r="L133"/>
          <cell r="M133" t="str">
            <v>Self</v>
          </cell>
          <cell r="N133" t="str">
            <v>CO.</v>
          </cell>
          <cell r="O133"/>
          <cell r="P133" t="str">
            <v/>
          </cell>
          <cell r="Q133" t="str">
            <v/>
          </cell>
          <cell r="R133" t="str">
            <v/>
          </cell>
          <cell r="T133" t="str">
            <v/>
          </cell>
          <cell r="U133"/>
          <cell r="V133"/>
          <cell r="X133"/>
        </row>
        <row r="134">
          <cell r="A134" t="str">
            <v>JULY</v>
          </cell>
          <cell r="B134">
            <v>410704</v>
          </cell>
          <cell r="C134" t="str">
            <v>PF</v>
          </cell>
          <cell r="D134">
            <v>940</v>
          </cell>
          <cell r="E134">
            <v>46231</v>
          </cell>
          <cell r="F134" t="str">
            <v>JAYDEEP</v>
          </cell>
          <cell r="G134" t="str">
            <v>U-WIRRO</v>
          </cell>
          <cell r="H134">
            <v>12</v>
          </cell>
          <cell r="I134" t="str">
            <v>15B25</v>
          </cell>
          <cell r="J134">
            <v>64</v>
          </cell>
          <cell r="K134">
            <v>2</v>
          </cell>
          <cell r="L134">
            <v>2049</v>
          </cell>
          <cell r="M134">
            <v>2030</v>
          </cell>
          <cell r="O134" t="str">
            <v>A2605125</v>
          </cell>
          <cell r="P134">
            <v>64</v>
          </cell>
          <cell r="Q134">
            <v>46234</v>
          </cell>
          <cell r="R134" t="str">
            <v>DC/43</v>
          </cell>
          <cell r="T134" t="str">
            <v>6021 5459 1744</v>
          </cell>
          <cell r="U134">
            <v>67</v>
          </cell>
          <cell r="V134">
            <v>137283</v>
          </cell>
          <cell r="X134"/>
        </row>
        <row r="135">
          <cell r="A135"/>
          <cell r="B135"/>
          <cell r="C135"/>
          <cell r="D135"/>
          <cell r="E135"/>
          <cell r="F135"/>
          <cell r="G135"/>
          <cell r="H135"/>
          <cell r="I135"/>
          <cell r="J135" t="str">
            <v/>
          </cell>
          <cell r="K135" t="str">
            <v/>
          </cell>
          <cell r="L135">
            <v>2049</v>
          </cell>
          <cell r="M135">
            <v>2030</v>
          </cell>
          <cell r="N135">
            <v>2049</v>
          </cell>
          <cell r="O135"/>
          <cell r="P135" t="str">
            <v/>
          </cell>
          <cell r="Q135" t="str">
            <v/>
          </cell>
          <cell r="R135" t="str">
            <v/>
          </cell>
          <cell r="T135" t="str">
            <v/>
          </cell>
          <cell r="U135"/>
          <cell r="V135"/>
          <cell r="X135"/>
        </row>
        <row r="136">
          <cell r="E136"/>
          <cell r="J136" t="str">
            <v/>
          </cell>
          <cell r="K136" t="str">
            <v/>
          </cell>
          <cell r="L136"/>
          <cell r="M136" t="str">
            <v>Self</v>
          </cell>
          <cell r="N136" t="str">
            <v>CO.</v>
          </cell>
          <cell r="O136"/>
          <cell r="P136" t="str">
            <v/>
          </cell>
          <cell r="Q136" t="str">
            <v/>
          </cell>
          <cell r="R136" t="str">
            <v/>
          </cell>
          <cell r="T136" t="str">
            <v/>
          </cell>
          <cell r="U136"/>
          <cell r="V136"/>
          <cell r="X136"/>
        </row>
        <row r="137">
          <cell r="A137" t="str">
            <v>JULY</v>
          </cell>
          <cell r="B137">
            <v>410705</v>
          </cell>
          <cell r="C137" t="str">
            <v>PF</v>
          </cell>
          <cell r="D137">
            <v>941</v>
          </cell>
          <cell r="E137">
            <v>46234</v>
          </cell>
          <cell r="F137" t="str">
            <v>OVER</v>
          </cell>
          <cell r="G137" t="str">
            <v>TATA</v>
          </cell>
          <cell r="H137">
            <v>10</v>
          </cell>
          <cell r="I137">
            <v>4140</v>
          </cell>
          <cell r="J137">
            <v>66</v>
          </cell>
          <cell r="K137">
            <v>2</v>
          </cell>
          <cell r="L137">
            <v>1920</v>
          </cell>
          <cell r="M137">
            <v>1931</v>
          </cell>
          <cell r="N137">
            <v>1920</v>
          </cell>
          <cell r="O137" t="str">
            <v>B82211</v>
          </cell>
          <cell r="P137">
            <v>77</v>
          </cell>
          <cell r="Q137">
            <v>46238</v>
          </cell>
          <cell r="R137" t="str">
            <v>DC/45</v>
          </cell>
          <cell r="T137" t="str">
            <v>6321 5666 1255</v>
          </cell>
          <cell r="U137">
            <v>84.06</v>
          </cell>
          <cell r="V137">
            <v>161395.20000000001</v>
          </cell>
          <cell r="X137"/>
        </row>
        <row r="138">
          <cell r="A138"/>
          <cell r="B138"/>
          <cell r="C138"/>
          <cell r="D138"/>
          <cell r="E138"/>
          <cell r="F138"/>
          <cell r="G138"/>
          <cell r="H138"/>
          <cell r="I138"/>
          <cell r="J138" t="str">
            <v/>
          </cell>
          <cell r="K138" t="str">
            <v/>
          </cell>
          <cell r="L138">
            <v>1920</v>
          </cell>
          <cell r="M138">
            <v>1931</v>
          </cell>
          <cell r="N138">
            <v>1920</v>
          </cell>
          <cell r="O138"/>
          <cell r="P138" t="str">
            <v/>
          </cell>
          <cell r="Q138" t="str">
            <v/>
          </cell>
          <cell r="R138" t="str">
            <v/>
          </cell>
          <cell r="T138" t="str">
            <v/>
          </cell>
          <cell r="U138"/>
          <cell r="V138"/>
          <cell r="X138"/>
        </row>
        <row r="139">
          <cell r="E139"/>
          <cell r="J139" t="str">
            <v/>
          </cell>
          <cell r="K139" t="str">
            <v/>
          </cell>
          <cell r="L139"/>
          <cell r="M139" t="str">
            <v>Self</v>
          </cell>
          <cell r="N139" t="str">
            <v>CO.</v>
          </cell>
          <cell r="O139"/>
          <cell r="P139" t="str">
            <v/>
          </cell>
          <cell r="Q139" t="str">
            <v/>
          </cell>
          <cell r="R139" t="str">
            <v/>
          </cell>
          <cell r="T139" t="str">
            <v/>
          </cell>
          <cell r="U139"/>
          <cell r="V139"/>
          <cell r="X139"/>
        </row>
        <row r="140">
          <cell r="A140"/>
          <cell r="B140"/>
          <cell r="C140"/>
          <cell r="D140"/>
          <cell r="E140"/>
          <cell r="F140"/>
          <cell r="G140"/>
          <cell r="H140"/>
          <cell r="I140"/>
          <cell r="J140" t="str">
            <v/>
          </cell>
          <cell r="K140" t="str">
            <v/>
          </cell>
          <cell r="L140"/>
          <cell r="M140"/>
          <cell r="N140"/>
          <cell r="O140"/>
          <cell r="P140" t="str">
            <v/>
          </cell>
          <cell r="Q140" t="str">
            <v/>
          </cell>
          <cell r="R140" t="str">
            <v/>
          </cell>
          <cell r="S140"/>
          <cell r="T140" t="str">
            <v/>
          </cell>
          <cell r="U140"/>
          <cell r="V140"/>
          <cell r="X140"/>
        </row>
        <row r="141">
          <cell r="A141" t="str">
            <v>AUG</v>
          </cell>
          <cell r="B141">
            <v>550801</v>
          </cell>
          <cell r="C141" t="str">
            <v>ROLL</v>
          </cell>
          <cell r="D141">
            <v>47</v>
          </cell>
          <cell r="E141">
            <v>46245</v>
          </cell>
          <cell r="F141" t="str">
            <v>SELF</v>
          </cell>
          <cell r="G141" t="str">
            <v>TATA</v>
          </cell>
          <cell r="H141">
            <v>7.7</v>
          </cell>
          <cell r="I141" t="str">
            <v>SAE</v>
          </cell>
          <cell r="J141">
            <v>67</v>
          </cell>
          <cell r="K141">
            <v>2</v>
          </cell>
          <cell r="L141">
            <v>440</v>
          </cell>
          <cell r="M141">
            <v>433</v>
          </cell>
          <cell r="O141" t="str">
            <v>B83445</v>
          </cell>
          <cell r="P141">
            <v>72</v>
          </cell>
          <cell r="Q141">
            <v>46250</v>
          </cell>
          <cell r="R141" t="str">
            <v>DC/47</v>
          </cell>
          <cell r="T141" t="str">
            <v>6521 6404 8277</v>
          </cell>
          <cell r="U141">
            <v>87</v>
          </cell>
          <cell r="V141">
            <v>38280</v>
          </cell>
          <cell r="X141"/>
        </row>
        <row r="142">
          <cell r="A142" t="str">
            <v>AUG</v>
          </cell>
          <cell r="B142">
            <v>550802</v>
          </cell>
          <cell r="C142" t="str">
            <v>ROLL</v>
          </cell>
          <cell r="D142">
            <v>47</v>
          </cell>
          <cell r="E142">
            <v>46245</v>
          </cell>
          <cell r="F142" t="str">
            <v>SELF</v>
          </cell>
          <cell r="G142" t="str">
            <v>TATA</v>
          </cell>
          <cell r="H142">
            <v>7.7</v>
          </cell>
          <cell r="I142" t="str">
            <v>SAE</v>
          </cell>
          <cell r="J142">
            <v>67</v>
          </cell>
          <cell r="K142">
            <v>2</v>
          </cell>
          <cell r="L142">
            <v>390</v>
          </cell>
          <cell r="M142">
            <v>385</v>
          </cell>
          <cell r="O142" t="str">
            <v>B83445</v>
          </cell>
          <cell r="P142">
            <v>0</v>
          </cell>
          <cell r="Q142">
            <v>46250</v>
          </cell>
          <cell r="R142" t="str">
            <v>DC/47</v>
          </cell>
          <cell r="T142" t="str">
            <v>6521 6404 8277</v>
          </cell>
          <cell r="U142">
            <v>87</v>
          </cell>
          <cell r="V142">
            <v>33930</v>
          </cell>
          <cell r="X142"/>
        </row>
        <row r="143">
          <cell r="A143" t="str">
            <v>AUG</v>
          </cell>
          <cell r="B143">
            <v>550803</v>
          </cell>
          <cell r="C143" t="str">
            <v>ROLL</v>
          </cell>
          <cell r="D143">
            <v>47</v>
          </cell>
          <cell r="E143">
            <v>46245</v>
          </cell>
          <cell r="F143" t="str">
            <v>SELF</v>
          </cell>
          <cell r="G143" t="str">
            <v>TATA</v>
          </cell>
          <cell r="H143">
            <v>7.7</v>
          </cell>
          <cell r="I143" t="str">
            <v>SAE</v>
          </cell>
          <cell r="J143">
            <v>67</v>
          </cell>
          <cell r="K143">
            <v>2</v>
          </cell>
          <cell r="L143">
            <v>370</v>
          </cell>
          <cell r="M143">
            <v>362</v>
          </cell>
          <cell r="N143"/>
          <cell r="O143" t="str">
            <v>B83445</v>
          </cell>
          <cell r="P143">
            <v>0</v>
          </cell>
          <cell r="Q143">
            <v>46250</v>
          </cell>
          <cell r="R143" t="str">
            <v>DC/47</v>
          </cell>
          <cell r="S143"/>
          <cell r="T143" t="str">
            <v>6521 6404 8277</v>
          </cell>
          <cell r="U143">
            <v>87</v>
          </cell>
          <cell r="V143">
            <v>32190</v>
          </cell>
          <cell r="W143"/>
          <cell r="X143"/>
        </row>
        <row r="144">
          <cell r="A144" t="str">
            <v>AUG</v>
          </cell>
          <cell r="B144">
            <v>550804</v>
          </cell>
          <cell r="C144" t="str">
            <v>ROLL</v>
          </cell>
          <cell r="D144">
            <v>47</v>
          </cell>
          <cell r="E144">
            <v>46245</v>
          </cell>
          <cell r="F144" t="str">
            <v>SELF</v>
          </cell>
          <cell r="G144" t="str">
            <v>TATA</v>
          </cell>
          <cell r="H144">
            <v>7.7</v>
          </cell>
          <cell r="I144" t="str">
            <v>SAE</v>
          </cell>
          <cell r="J144">
            <v>67</v>
          </cell>
          <cell r="K144">
            <v>2</v>
          </cell>
          <cell r="L144">
            <v>390</v>
          </cell>
          <cell r="M144">
            <v>388</v>
          </cell>
          <cell r="O144" t="str">
            <v>B83445</v>
          </cell>
          <cell r="P144">
            <v>0</v>
          </cell>
          <cell r="Q144">
            <v>46250</v>
          </cell>
          <cell r="R144" t="str">
            <v>DC/47</v>
          </cell>
          <cell r="T144" t="str">
            <v>6521 6404 8277</v>
          </cell>
          <cell r="U144">
            <v>87</v>
          </cell>
          <cell r="V144">
            <v>33930</v>
          </cell>
          <cell r="X144"/>
        </row>
        <row r="145">
          <cell r="A145" t="str">
            <v>AUG</v>
          </cell>
          <cell r="B145">
            <v>550805</v>
          </cell>
          <cell r="C145" t="str">
            <v>ROLL</v>
          </cell>
          <cell r="D145">
            <v>47</v>
          </cell>
          <cell r="E145">
            <v>46245</v>
          </cell>
          <cell r="F145" t="str">
            <v>SELF</v>
          </cell>
          <cell r="G145" t="str">
            <v>TATA</v>
          </cell>
          <cell r="H145">
            <v>7.7</v>
          </cell>
          <cell r="I145" t="str">
            <v>SAE</v>
          </cell>
          <cell r="J145">
            <v>67</v>
          </cell>
          <cell r="K145">
            <v>2</v>
          </cell>
          <cell r="L145">
            <v>370</v>
          </cell>
          <cell r="M145">
            <v>362</v>
          </cell>
          <cell r="O145" t="str">
            <v>B83445</v>
          </cell>
          <cell r="P145">
            <v>0</v>
          </cell>
          <cell r="Q145">
            <v>46250</v>
          </cell>
          <cell r="R145" t="str">
            <v>DC/47</v>
          </cell>
          <cell r="T145" t="str">
            <v>6521 6404 8277</v>
          </cell>
          <cell r="U145">
            <v>87</v>
          </cell>
          <cell r="V145">
            <v>32190</v>
          </cell>
          <cell r="X145"/>
        </row>
        <row r="146">
          <cell r="E146"/>
          <cell r="J146" t="str">
            <v/>
          </cell>
          <cell r="K146" t="str">
            <v/>
          </cell>
          <cell r="L146">
            <v>1960</v>
          </cell>
          <cell r="M146">
            <v>1930</v>
          </cell>
          <cell r="N146">
            <v>1960</v>
          </cell>
          <cell r="O146">
            <v>1875</v>
          </cell>
          <cell r="P146" t="str">
            <v/>
          </cell>
          <cell r="Q146" t="str">
            <v/>
          </cell>
          <cell r="R146" t="str">
            <v/>
          </cell>
          <cell r="T146" t="str">
            <v/>
          </cell>
          <cell r="U146"/>
          <cell r="V146"/>
          <cell r="X146"/>
        </row>
        <row r="147">
          <cell r="E147"/>
          <cell r="J147" t="str">
            <v/>
          </cell>
          <cell r="K147" t="str">
            <v/>
          </cell>
          <cell r="L147"/>
          <cell r="M147" t="str">
            <v>Self</v>
          </cell>
          <cell r="N147" t="str">
            <v>CO.</v>
          </cell>
          <cell r="O147" t="str">
            <v>SHREE BAVISI</v>
          </cell>
          <cell r="P147" t="str">
            <v/>
          </cell>
          <cell r="Q147" t="str">
            <v/>
          </cell>
          <cell r="R147" t="str">
            <v/>
          </cell>
          <cell r="T147" t="str">
            <v/>
          </cell>
          <cell r="U147"/>
          <cell r="V147"/>
          <cell r="X147"/>
        </row>
        <row r="148">
          <cell r="A148" t="str">
            <v>REPEAT</v>
          </cell>
          <cell r="B148" t="str">
            <v>400801R</v>
          </cell>
          <cell r="C148" t="str">
            <v>PNR</v>
          </cell>
          <cell r="D148" t="str">
            <v>541 SRAM</v>
          </cell>
          <cell r="E148">
            <v>46245</v>
          </cell>
          <cell r="F148" t="str">
            <v>SELF</v>
          </cell>
          <cell r="G148" t="str">
            <v>JSPL</v>
          </cell>
          <cell r="H148">
            <v>16.3</v>
          </cell>
          <cell r="I148" t="str">
            <v>EN31</v>
          </cell>
          <cell r="J148">
            <v>69</v>
          </cell>
          <cell r="K148">
            <v>2</v>
          </cell>
          <cell r="L148">
            <v>2471</v>
          </cell>
          <cell r="M148"/>
          <cell r="N148"/>
          <cell r="O148">
            <v>4617427</v>
          </cell>
          <cell r="P148">
            <v>80</v>
          </cell>
          <cell r="Q148">
            <v>46252</v>
          </cell>
          <cell r="R148" t="str">
            <v>DC/49</v>
          </cell>
          <cell r="T148" t="str">
            <v>6721 6518 6329</v>
          </cell>
          <cell r="U148">
            <v>69</v>
          </cell>
          <cell r="V148">
            <v>170499</v>
          </cell>
          <cell r="X148"/>
        </row>
        <row r="149">
          <cell r="A149" t="str">
            <v>REPEAT</v>
          </cell>
          <cell r="B149" t="str">
            <v>400802R</v>
          </cell>
          <cell r="C149" t="str">
            <v>PNR</v>
          </cell>
          <cell r="D149" t="str">
            <v>541 SRAM</v>
          </cell>
          <cell r="E149">
            <v>46245</v>
          </cell>
          <cell r="F149" t="str">
            <v>SELF</v>
          </cell>
          <cell r="G149" t="str">
            <v>JSPL</v>
          </cell>
          <cell r="H149">
            <v>16.3</v>
          </cell>
          <cell r="I149" t="str">
            <v>EN31</v>
          </cell>
          <cell r="J149">
            <v>68</v>
          </cell>
          <cell r="K149">
            <v>2</v>
          </cell>
          <cell r="L149">
            <v>2489</v>
          </cell>
          <cell r="M149"/>
          <cell r="N149"/>
          <cell r="O149">
            <v>4617428</v>
          </cell>
          <cell r="P149">
            <v>78</v>
          </cell>
          <cell r="Q149">
            <v>46252</v>
          </cell>
          <cell r="R149" t="str">
            <v>DC/48</v>
          </cell>
          <cell r="T149" t="str">
            <v>6021 6508 2985</v>
          </cell>
          <cell r="U149">
            <v>69</v>
          </cell>
          <cell r="V149">
            <v>171741</v>
          </cell>
          <cell r="X149"/>
        </row>
        <row r="150">
          <cell r="J150" t="str">
            <v/>
          </cell>
          <cell r="K150" t="str">
            <v/>
          </cell>
          <cell r="L150">
            <v>4960</v>
          </cell>
          <cell r="M150"/>
          <cell r="N150">
            <v>4960</v>
          </cell>
          <cell r="O150">
            <v>4975</v>
          </cell>
          <cell r="P150" t="str">
            <v/>
          </cell>
          <cell r="Q150" t="str">
            <v/>
          </cell>
          <cell r="R150" t="str">
            <v/>
          </cell>
          <cell r="T150" t="str">
            <v/>
          </cell>
          <cell r="U150"/>
          <cell r="V150"/>
          <cell r="X150"/>
        </row>
        <row r="151">
          <cell r="E151"/>
          <cell r="J151" t="str">
            <v/>
          </cell>
          <cell r="K151" t="str">
            <v/>
          </cell>
          <cell r="L151"/>
          <cell r="M151" t="str">
            <v>Self</v>
          </cell>
          <cell r="N151" t="str">
            <v>CO.</v>
          </cell>
          <cell r="O151" t="str">
            <v>PRAMUKH</v>
          </cell>
          <cell r="P151" t="str">
            <v/>
          </cell>
          <cell r="Q151" t="str">
            <v/>
          </cell>
          <cell r="R151" t="str">
            <v/>
          </cell>
          <cell r="T151" t="str">
            <v/>
          </cell>
          <cell r="U151"/>
          <cell r="V151"/>
          <cell r="X151"/>
        </row>
        <row r="152">
          <cell r="A152" t="str">
            <v>REPEAT</v>
          </cell>
          <cell r="B152" t="str">
            <v>400803R</v>
          </cell>
          <cell r="C152" t="str">
            <v>PNR</v>
          </cell>
          <cell r="D152" t="str">
            <v>573 SRAM</v>
          </cell>
          <cell r="E152">
            <v>46252</v>
          </cell>
          <cell r="F152" t="str">
            <v>SELF</v>
          </cell>
          <cell r="G152" t="str">
            <v>JSPL</v>
          </cell>
          <cell r="H152">
            <v>22.3</v>
          </cell>
          <cell r="I152" t="str">
            <v>EN31</v>
          </cell>
          <cell r="J152">
            <v>70</v>
          </cell>
          <cell r="K152">
            <v>2</v>
          </cell>
          <cell r="L152">
            <v>2480</v>
          </cell>
          <cell r="M152">
            <v>2489</v>
          </cell>
          <cell r="N152"/>
          <cell r="O152">
            <v>4617428</v>
          </cell>
          <cell r="P152">
            <v>80</v>
          </cell>
          <cell r="Q152">
            <v>46258</v>
          </cell>
          <cell r="R152" t="str">
            <v>DC/51</v>
          </cell>
          <cell r="T152" t="str">
            <v>6721 6942 1200</v>
          </cell>
          <cell r="U152">
            <v>69</v>
          </cell>
          <cell r="V152">
            <v>171120</v>
          </cell>
          <cell r="X152"/>
        </row>
        <row r="153">
          <cell r="E153"/>
          <cell r="J153" t="str">
            <v/>
          </cell>
          <cell r="K153" t="str">
            <v/>
          </cell>
          <cell r="L153">
            <v>2480</v>
          </cell>
          <cell r="M153"/>
          <cell r="N153">
            <v>2480</v>
          </cell>
          <cell r="O153"/>
          <cell r="P153" t="str">
            <v/>
          </cell>
          <cell r="Q153" t="str">
            <v/>
          </cell>
          <cell r="R153" t="str">
            <v/>
          </cell>
          <cell r="T153" t="str">
            <v/>
          </cell>
          <cell r="U153"/>
          <cell r="V153"/>
          <cell r="X153"/>
        </row>
        <row r="154">
          <cell r="E154"/>
          <cell r="J154" t="str">
            <v/>
          </cell>
          <cell r="K154" t="str">
            <v/>
          </cell>
          <cell r="L154"/>
          <cell r="M154" t="str">
            <v>Self</v>
          </cell>
          <cell r="N154" t="str">
            <v>CO.</v>
          </cell>
          <cell r="O154"/>
          <cell r="P154" t="str">
            <v/>
          </cell>
          <cell r="Q154" t="str">
            <v/>
          </cell>
          <cell r="R154" t="str">
            <v/>
          </cell>
          <cell r="T154" t="str">
            <v/>
          </cell>
          <cell r="U154"/>
          <cell r="V154"/>
          <cell r="X154"/>
        </row>
        <row r="155">
          <cell r="A155" t="str">
            <v>AUG</v>
          </cell>
          <cell r="B155">
            <v>260801</v>
          </cell>
          <cell r="C155" t="str">
            <v>DEEP</v>
          </cell>
          <cell r="D155" t="str">
            <v>GT/475</v>
          </cell>
          <cell r="E155">
            <v>46254</v>
          </cell>
          <cell r="F155" t="str">
            <v>OVER</v>
          </cell>
          <cell r="G155" t="str">
            <v>TATA</v>
          </cell>
          <cell r="H155">
            <v>13</v>
          </cell>
          <cell r="I155" t="str">
            <v>EN31</v>
          </cell>
          <cell r="J155">
            <v>71</v>
          </cell>
          <cell r="K155">
            <v>2</v>
          </cell>
          <cell r="L155">
            <v>2005</v>
          </cell>
          <cell r="M155">
            <v>1992</v>
          </cell>
          <cell r="O155" t="str">
            <v>B83699</v>
          </cell>
          <cell r="P155">
            <v>80</v>
          </cell>
          <cell r="Q155">
            <v>46258</v>
          </cell>
          <cell r="R155" t="str">
            <v>DC/50</v>
          </cell>
          <cell r="T155" t="str">
            <v>6421 6895 8656</v>
          </cell>
          <cell r="U155">
            <v>72.55</v>
          </cell>
          <cell r="V155">
            <v>145462.75</v>
          </cell>
          <cell r="X155"/>
        </row>
        <row r="156">
          <cell r="A156" t="str">
            <v>AUG</v>
          </cell>
          <cell r="B156">
            <v>260802</v>
          </cell>
          <cell r="C156" t="str">
            <v>DEEP</v>
          </cell>
          <cell r="D156" t="str">
            <v>GT/475</v>
          </cell>
          <cell r="E156">
            <v>46254</v>
          </cell>
          <cell r="F156" t="str">
            <v>OVER</v>
          </cell>
          <cell r="G156" t="str">
            <v>TATA</v>
          </cell>
          <cell r="H156">
            <v>13</v>
          </cell>
          <cell r="I156" t="str">
            <v>EN31</v>
          </cell>
          <cell r="J156">
            <v>72</v>
          </cell>
          <cell r="K156">
            <v>2</v>
          </cell>
          <cell r="L156">
            <v>2025</v>
          </cell>
          <cell r="M156">
            <v>2014</v>
          </cell>
          <cell r="O156" t="str">
            <v>B83699</v>
          </cell>
          <cell r="P156">
            <v>80</v>
          </cell>
          <cell r="Q156">
            <v>46258</v>
          </cell>
          <cell r="R156" t="str">
            <v>DC/50</v>
          </cell>
          <cell r="T156" t="str">
            <v>6421 6895 8656</v>
          </cell>
          <cell r="U156">
            <v>72.55</v>
          </cell>
          <cell r="V156">
            <v>146913.75</v>
          </cell>
          <cell r="X156"/>
        </row>
        <row r="157">
          <cell r="A157" t="str">
            <v>AUG</v>
          </cell>
          <cell r="B157">
            <v>260803</v>
          </cell>
          <cell r="C157" t="str">
            <v>DEEP</v>
          </cell>
          <cell r="D157" t="str">
            <v>GT/475</v>
          </cell>
          <cell r="E157">
            <v>46254</v>
          </cell>
          <cell r="F157" t="str">
            <v>OVER</v>
          </cell>
          <cell r="G157" t="str">
            <v>TATA</v>
          </cell>
          <cell r="H157">
            <v>13</v>
          </cell>
          <cell r="I157" t="str">
            <v>EN31</v>
          </cell>
          <cell r="J157">
            <v>75</v>
          </cell>
          <cell r="K157">
            <v>2</v>
          </cell>
          <cell r="L157">
            <v>2015</v>
          </cell>
          <cell r="M157">
            <v>2006</v>
          </cell>
          <cell r="O157" t="str">
            <v>B83699</v>
          </cell>
          <cell r="P157">
            <v>83</v>
          </cell>
          <cell r="Q157">
            <v>46265</v>
          </cell>
          <cell r="R157" t="str">
            <v>DC/53</v>
          </cell>
          <cell r="T157" t="str">
            <v>6121 7300 5120</v>
          </cell>
          <cell r="U157">
            <v>72.55</v>
          </cell>
          <cell r="V157">
            <v>146188.25</v>
          </cell>
          <cell r="X157"/>
        </row>
        <row r="158">
          <cell r="A158" t="str">
            <v>AUG</v>
          </cell>
          <cell r="B158">
            <v>260804</v>
          </cell>
          <cell r="C158" t="str">
            <v>DEEP</v>
          </cell>
          <cell r="D158" t="str">
            <v>GT/475</v>
          </cell>
          <cell r="E158">
            <v>46254</v>
          </cell>
          <cell r="F158" t="str">
            <v>OVER</v>
          </cell>
          <cell r="G158" t="str">
            <v>TATA</v>
          </cell>
          <cell r="H158">
            <v>13</v>
          </cell>
          <cell r="I158" t="str">
            <v>EN31</v>
          </cell>
          <cell r="J158">
            <v>76</v>
          </cell>
          <cell r="K158">
            <v>2</v>
          </cell>
          <cell r="L158">
            <v>2015</v>
          </cell>
          <cell r="M158">
            <v>2006</v>
          </cell>
          <cell r="O158" t="str">
            <v>B83699</v>
          </cell>
          <cell r="P158">
            <v>80</v>
          </cell>
          <cell r="Q158">
            <v>46265</v>
          </cell>
          <cell r="R158" t="str">
            <v>DC/53</v>
          </cell>
          <cell r="T158" t="str">
            <v>6121 7300 5120</v>
          </cell>
          <cell r="U158">
            <v>72.55</v>
          </cell>
          <cell r="V158">
            <v>146188.25</v>
          </cell>
          <cell r="X158"/>
        </row>
        <row r="159">
          <cell r="E159"/>
          <cell r="J159" t="str">
            <v/>
          </cell>
          <cell r="K159" t="str">
            <v/>
          </cell>
          <cell r="L159">
            <v>8060</v>
          </cell>
          <cell r="M159">
            <v>8018</v>
          </cell>
          <cell r="N159"/>
          <cell r="O159">
            <v>8060</v>
          </cell>
          <cell r="P159" t="str">
            <v/>
          </cell>
          <cell r="Q159" t="str">
            <v/>
          </cell>
          <cell r="R159" t="str">
            <v/>
          </cell>
          <cell r="T159" t="str">
            <v/>
          </cell>
          <cell r="U159"/>
          <cell r="V159"/>
          <cell r="X159"/>
        </row>
        <row r="160">
          <cell r="E160"/>
          <cell r="J160" t="str">
            <v/>
          </cell>
          <cell r="K160" t="str">
            <v/>
          </cell>
          <cell r="L160"/>
          <cell r="M160" t="str">
            <v>Self</v>
          </cell>
          <cell r="N160" t="str">
            <v>CO.</v>
          </cell>
          <cell r="O160" t="str">
            <v>MADHAV</v>
          </cell>
          <cell r="P160" t="str">
            <v/>
          </cell>
          <cell r="Q160" t="str">
            <v/>
          </cell>
          <cell r="R160" t="str">
            <v/>
          </cell>
          <cell r="T160" t="str">
            <v/>
          </cell>
          <cell r="U160"/>
          <cell r="V160"/>
          <cell r="X160"/>
        </row>
        <row r="161">
          <cell r="A161" t="str">
            <v>AUG</v>
          </cell>
          <cell r="B161">
            <v>400804</v>
          </cell>
          <cell r="C161" t="str">
            <v>PNR</v>
          </cell>
          <cell r="D161" t="str">
            <v>M4</v>
          </cell>
          <cell r="E161">
            <v>46256</v>
          </cell>
          <cell r="F161" t="str">
            <v>SELF</v>
          </cell>
          <cell r="G161" t="str">
            <v>JSPL</v>
          </cell>
          <cell r="H161">
            <v>18.100000000000001</v>
          </cell>
          <cell r="I161" t="str">
            <v>EN31</v>
          </cell>
          <cell r="J161">
            <v>73</v>
          </cell>
          <cell r="K161">
            <v>2</v>
          </cell>
          <cell r="L161">
            <v>1370</v>
          </cell>
          <cell r="P161">
            <v>76</v>
          </cell>
          <cell r="Q161">
            <v>46258</v>
          </cell>
          <cell r="R161" t="str">
            <v>DC/52</v>
          </cell>
          <cell r="T161" t="str">
            <v>6721 6942 1200</v>
          </cell>
          <cell r="U161">
            <v>78</v>
          </cell>
          <cell r="V161">
            <v>106860</v>
          </cell>
          <cell r="X161"/>
        </row>
        <row r="162">
          <cell r="A162" t="str">
            <v>AUG</v>
          </cell>
          <cell r="B162">
            <v>400805</v>
          </cell>
          <cell r="C162" t="str">
            <v>PNR</v>
          </cell>
          <cell r="D162" t="str">
            <v>M4</v>
          </cell>
          <cell r="E162">
            <v>46256</v>
          </cell>
          <cell r="F162" t="str">
            <v>SELF</v>
          </cell>
          <cell r="G162" t="str">
            <v>JSPL</v>
          </cell>
          <cell r="H162">
            <v>12</v>
          </cell>
          <cell r="I162" t="str">
            <v>EN31</v>
          </cell>
          <cell r="J162">
            <v>73</v>
          </cell>
          <cell r="K162">
            <v>2</v>
          </cell>
          <cell r="L162">
            <v>818</v>
          </cell>
          <cell r="P162">
            <v>80</v>
          </cell>
          <cell r="Q162">
            <v>46258</v>
          </cell>
          <cell r="R162" t="str">
            <v>DC/52</v>
          </cell>
          <cell r="T162" t="str">
            <v>6721 6942 1200</v>
          </cell>
          <cell r="U162">
            <v>78</v>
          </cell>
          <cell r="V162">
            <v>63804</v>
          </cell>
          <cell r="X162"/>
        </row>
        <row r="163">
          <cell r="E163"/>
          <cell r="J163" t="str">
            <v/>
          </cell>
          <cell r="K163" t="str">
            <v/>
          </cell>
          <cell r="L163">
            <v>2188</v>
          </cell>
          <cell r="M163"/>
          <cell r="N163">
            <v>2188</v>
          </cell>
          <cell r="O163"/>
          <cell r="P163" t="str">
            <v/>
          </cell>
          <cell r="Q163" t="str">
            <v/>
          </cell>
          <cell r="R163" t="str">
            <v/>
          </cell>
          <cell r="T163" t="str">
            <v/>
          </cell>
          <cell r="U163"/>
          <cell r="V163"/>
          <cell r="X163"/>
        </row>
        <row r="164">
          <cell r="E164"/>
          <cell r="J164" t="str">
            <v/>
          </cell>
          <cell r="K164" t="str">
            <v/>
          </cell>
          <cell r="L164"/>
          <cell r="M164" t="str">
            <v>Self</v>
          </cell>
          <cell r="N164" t="str">
            <v>CO.</v>
          </cell>
          <cell r="O164"/>
          <cell r="P164" t="str">
            <v/>
          </cell>
          <cell r="Q164" t="str">
            <v/>
          </cell>
          <cell r="R164" t="str">
            <v/>
          </cell>
          <cell r="T164" t="str">
            <v/>
          </cell>
          <cell r="U164"/>
          <cell r="V164"/>
          <cell r="X164"/>
        </row>
        <row r="165">
          <cell r="A165" t="str">
            <v>AUG</v>
          </cell>
          <cell r="B165">
            <v>910801</v>
          </cell>
          <cell r="C165" t="str">
            <v>BC</v>
          </cell>
          <cell r="D165" t="str">
            <v>OJW/17</v>
          </cell>
          <cell r="E165">
            <v>46257</v>
          </cell>
          <cell r="F165" t="str">
            <v>MBBPL</v>
          </cell>
          <cell r="G165" t="str">
            <v>BPSL</v>
          </cell>
          <cell r="H165">
            <v>16.3</v>
          </cell>
          <cell r="I165" t="str">
            <v>EN31</v>
          </cell>
          <cell r="J165">
            <v>74</v>
          </cell>
          <cell r="K165">
            <v>2</v>
          </cell>
          <cell r="L165">
            <v>1475</v>
          </cell>
          <cell r="M165">
            <v>1467</v>
          </cell>
          <cell r="N165">
            <v>1472</v>
          </cell>
          <cell r="O165" t="str">
            <v>E263099</v>
          </cell>
          <cell r="P165">
            <v>85</v>
          </cell>
          <cell r="Q165" t="str">
            <v/>
          </cell>
          <cell r="R165" t="str">
            <v/>
          </cell>
          <cell r="T165" t="str">
            <v/>
          </cell>
          <cell r="U165">
            <v>75</v>
          </cell>
          <cell r="V165">
            <v>110625</v>
          </cell>
          <cell r="X165"/>
        </row>
        <row r="166">
          <cell r="E166"/>
          <cell r="J166" t="str">
            <v/>
          </cell>
          <cell r="K166" t="str">
            <v/>
          </cell>
          <cell r="L166">
            <v>1475</v>
          </cell>
          <cell r="M166">
            <v>1467</v>
          </cell>
          <cell r="N166"/>
          <cell r="O166"/>
          <cell r="P166" t="str">
            <v/>
          </cell>
          <cell r="Q166" t="str">
            <v/>
          </cell>
          <cell r="R166" t="str">
            <v/>
          </cell>
          <cell r="T166" t="str">
            <v/>
          </cell>
          <cell r="U166"/>
          <cell r="V166"/>
          <cell r="X166"/>
        </row>
        <row r="167">
          <cell r="E167"/>
          <cell r="J167" t="str">
            <v/>
          </cell>
          <cell r="K167" t="str">
            <v/>
          </cell>
          <cell r="L167"/>
          <cell r="M167" t="str">
            <v>Self</v>
          </cell>
          <cell r="N167" t="str">
            <v>CO.</v>
          </cell>
          <cell r="O167"/>
          <cell r="P167" t="str">
            <v/>
          </cell>
          <cell r="Q167" t="str">
            <v/>
          </cell>
          <cell r="R167" t="str">
            <v/>
          </cell>
          <cell r="T167" t="str">
            <v/>
          </cell>
          <cell r="U167"/>
          <cell r="V167"/>
          <cell r="X167"/>
        </row>
        <row r="168">
          <cell r="A168" t="str">
            <v>AUG</v>
          </cell>
          <cell r="B168">
            <v>940801</v>
          </cell>
          <cell r="C168" t="str">
            <v>SCR</v>
          </cell>
          <cell r="D168">
            <v>1136</v>
          </cell>
          <cell r="E168">
            <v>46259</v>
          </cell>
          <cell r="F168" t="str">
            <v>OVER</v>
          </cell>
          <cell r="G168" t="str">
            <v>TATA</v>
          </cell>
          <cell r="H168">
            <v>10</v>
          </cell>
          <cell r="I168">
            <v>4140</v>
          </cell>
          <cell r="J168">
            <v>77</v>
          </cell>
          <cell r="K168">
            <v>2</v>
          </cell>
          <cell r="L168">
            <v>2040</v>
          </cell>
          <cell r="M168">
            <v>2028</v>
          </cell>
          <cell r="N168"/>
          <cell r="O168" t="str">
            <v>B84700</v>
          </cell>
          <cell r="P168">
            <v>83</v>
          </cell>
          <cell r="Q168">
            <v>46283</v>
          </cell>
          <cell r="R168" t="str">
            <v>DC/56</v>
          </cell>
          <cell r="T168" t="str">
            <v>6621 8395 7621</v>
          </cell>
          <cell r="U168">
            <v>86</v>
          </cell>
          <cell r="V168">
            <v>175440</v>
          </cell>
          <cell r="X168"/>
        </row>
        <row r="169">
          <cell r="E169"/>
          <cell r="J169" t="str">
            <v/>
          </cell>
          <cell r="K169" t="str">
            <v/>
          </cell>
          <cell r="L169">
            <v>2040</v>
          </cell>
          <cell r="M169">
            <v>2028</v>
          </cell>
          <cell r="N169">
            <v>2040</v>
          </cell>
          <cell r="O169">
            <v>2040</v>
          </cell>
          <cell r="P169" t="str">
            <v/>
          </cell>
          <cell r="Q169" t="str">
            <v/>
          </cell>
          <cell r="R169" t="str">
            <v/>
          </cell>
          <cell r="T169" t="str">
            <v/>
          </cell>
          <cell r="U169"/>
          <cell r="V169"/>
          <cell r="X169"/>
        </row>
        <row r="170">
          <cell r="E170"/>
          <cell r="J170" t="str">
            <v/>
          </cell>
          <cell r="K170" t="str">
            <v/>
          </cell>
          <cell r="L170"/>
          <cell r="M170" t="str">
            <v>Self</v>
          </cell>
          <cell r="N170" t="str">
            <v>CO.</v>
          </cell>
          <cell r="O170" t="str">
            <v>MADHAV</v>
          </cell>
          <cell r="P170" t="str">
            <v/>
          </cell>
          <cell r="Q170" t="str">
            <v/>
          </cell>
          <cell r="R170" t="str">
            <v/>
          </cell>
          <cell r="T170" t="str">
            <v/>
          </cell>
          <cell r="U170"/>
          <cell r="V170"/>
          <cell r="X170"/>
        </row>
        <row r="171">
          <cell r="A171" t="str">
            <v>AUG</v>
          </cell>
          <cell r="B171">
            <v>650801</v>
          </cell>
          <cell r="C171" t="str">
            <v>MLN</v>
          </cell>
          <cell r="D171">
            <v>5</v>
          </cell>
          <cell r="E171">
            <v>46262</v>
          </cell>
          <cell r="F171" t="str">
            <v>OVER</v>
          </cell>
          <cell r="G171" t="str">
            <v>TATA</v>
          </cell>
          <cell r="H171">
            <v>17.5</v>
          </cell>
          <cell r="I171" t="str">
            <v>EN31</v>
          </cell>
          <cell r="J171">
            <v>80</v>
          </cell>
          <cell r="K171">
            <v>2</v>
          </cell>
          <cell r="L171">
            <v>1980</v>
          </cell>
          <cell r="M171">
            <v>1962</v>
          </cell>
          <cell r="O171" t="str">
            <v>B84936</v>
          </cell>
          <cell r="P171">
            <v>82</v>
          </cell>
          <cell r="Q171">
            <v>46279</v>
          </cell>
          <cell r="R171" t="str">
            <v>DC/55</v>
          </cell>
          <cell r="T171" t="str">
            <v>6121 8139 4346</v>
          </cell>
          <cell r="U171">
            <v>75</v>
          </cell>
          <cell r="V171">
            <v>148500</v>
          </cell>
          <cell r="X171"/>
        </row>
        <row r="172">
          <cell r="A172" t="str">
            <v>AUG</v>
          </cell>
          <cell r="B172">
            <v>650802</v>
          </cell>
          <cell r="C172" t="str">
            <v>MLN</v>
          </cell>
          <cell r="D172">
            <v>5</v>
          </cell>
          <cell r="E172">
            <v>46262</v>
          </cell>
          <cell r="F172" t="str">
            <v>OVER</v>
          </cell>
          <cell r="G172" t="str">
            <v>TATA</v>
          </cell>
          <cell r="H172">
            <v>17.5</v>
          </cell>
          <cell r="I172" t="str">
            <v>EN31</v>
          </cell>
          <cell r="J172">
            <v>82</v>
          </cell>
          <cell r="K172">
            <v>1</v>
          </cell>
          <cell r="L172">
            <v>2000</v>
          </cell>
          <cell r="M172">
            <v>1984</v>
          </cell>
          <cell r="O172" t="str">
            <v>B84936</v>
          </cell>
          <cell r="P172">
            <v>89</v>
          </cell>
          <cell r="Q172">
            <v>46294</v>
          </cell>
          <cell r="R172" t="str">
            <v>DC/58</v>
          </cell>
          <cell r="T172" t="str">
            <v>6921 9144 4789</v>
          </cell>
          <cell r="U172">
            <v>75</v>
          </cell>
          <cell r="V172">
            <v>150000</v>
          </cell>
          <cell r="X172"/>
        </row>
        <row r="173">
          <cell r="A173" t="str">
            <v>AUG</v>
          </cell>
          <cell r="B173">
            <v>650803</v>
          </cell>
          <cell r="C173" t="str">
            <v>MLN</v>
          </cell>
          <cell r="D173">
            <v>5</v>
          </cell>
          <cell r="E173">
            <v>46262</v>
          </cell>
          <cell r="F173" t="str">
            <v>OVER</v>
          </cell>
          <cell r="G173" t="str">
            <v>TATA</v>
          </cell>
          <cell r="H173">
            <v>17.5</v>
          </cell>
          <cell r="I173" t="str">
            <v>EN31</v>
          </cell>
          <cell r="J173">
            <v>81</v>
          </cell>
          <cell r="K173">
            <v>1</v>
          </cell>
          <cell r="L173">
            <v>1980</v>
          </cell>
          <cell r="M173">
            <v>1966</v>
          </cell>
          <cell r="O173" t="str">
            <v>B84936</v>
          </cell>
          <cell r="P173">
            <v>88</v>
          </cell>
          <cell r="Q173">
            <v>46284</v>
          </cell>
          <cell r="R173" t="str">
            <v>DC/57</v>
          </cell>
          <cell r="T173" t="str">
            <v>6221 8462 3930</v>
          </cell>
          <cell r="U173">
            <v>75</v>
          </cell>
          <cell r="V173">
            <v>148500</v>
          </cell>
          <cell r="X173"/>
        </row>
        <row r="174">
          <cell r="A174" t="str">
            <v>AUG</v>
          </cell>
          <cell r="B174">
            <v>650804</v>
          </cell>
          <cell r="C174" t="str">
            <v>MLN</v>
          </cell>
          <cell r="D174">
            <v>5</v>
          </cell>
          <cell r="E174">
            <v>46262</v>
          </cell>
          <cell r="F174" t="str">
            <v>OVER</v>
          </cell>
          <cell r="G174" t="str">
            <v>TATA</v>
          </cell>
          <cell r="H174">
            <v>17.5</v>
          </cell>
          <cell r="I174" t="str">
            <v>EN31</v>
          </cell>
          <cell r="J174">
            <v>79</v>
          </cell>
          <cell r="K174">
            <v>2</v>
          </cell>
          <cell r="L174">
            <v>1965</v>
          </cell>
          <cell r="M174">
            <v>1947</v>
          </cell>
          <cell r="O174" t="str">
            <v>B84936</v>
          </cell>
          <cell r="P174">
            <v>84</v>
          </cell>
          <cell r="Q174">
            <v>46265</v>
          </cell>
          <cell r="R174" t="str">
            <v>DC/54</v>
          </cell>
          <cell r="T174" t="str">
            <v>6621 7360 0483</v>
          </cell>
          <cell r="U174">
            <v>75</v>
          </cell>
          <cell r="V174">
            <v>147375</v>
          </cell>
          <cell r="X174"/>
        </row>
        <row r="175">
          <cell r="A175" t="str">
            <v>AUG</v>
          </cell>
          <cell r="B175">
            <v>650805</v>
          </cell>
          <cell r="C175" t="str">
            <v>MLN</v>
          </cell>
          <cell r="D175">
            <v>5</v>
          </cell>
          <cell r="E175">
            <v>46262</v>
          </cell>
          <cell r="F175" t="str">
            <v>OVER</v>
          </cell>
          <cell r="G175" t="str">
            <v>TATA</v>
          </cell>
          <cell r="H175">
            <v>17.5</v>
          </cell>
          <cell r="I175" t="str">
            <v>EN31</v>
          </cell>
          <cell r="J175">
            <v>78</v>
          </cell>
          <cell r="K175">
            <v>2</v>
          </cell>
          <cell r="L175">
            <v>1985</v>
          </cell>
          <cell r="M175">
            <v>1975</v>
          </cell>
          <cell r="O175" t="str">
            <v>B84936</v>
          </cell>
          <cell r="P175">
            <v>88</v>
          </cell>
          <cell r="Q175">
            <v>46265</v>
          </cell>
          <cell r="R175" t="str">
            <v>DC/54</v>
          </cell>
          <cell r="T175" t="str">
            <v>6621 7360 0483</v>
          </cell>
          <cell r="U175">
            <v>75</v>
          </cell>
          <cell r="V175">
            <v>148875</v>
          </cell>
          <cell r="X175"/>
        </row>
        <row r="176">
          <cell r="E176"/>
          <cell r="J176" t="str">
            <v/>
          </cell>
          <cell r="K176" t="str">
            <v/>
          </cell>
          <cell r="L176">
            <v>9910</v>
          </cell>
          <cell r="M176">
            <v>9834</v>
          </cell>
          <cell r="N176">
            <v>9910</v>
          </cell>
          <cell r="O176">
            <v>9910</v>
          </cell>
          <cell r="P176" t="str">
            <v/>
          </cell>
          <cell r="Q176" t="str">
            <v/>
          </cell>
          <cell r="R176" t="str">
            <v/>
          </cell>
          <cell r="T176" t="str">
            <v/>
          </cell>
          <cell r="U176"/>
          <cell r="V176"/>
          <cell r="X176"/>
        </row>
        <row r="177">
          <cell r="E177"/>
          <cell r="J177" t="str">
            <v/>
          </cell>
          <cell r="K177" t="str">
            <v/>
          </cell>
          <cell r="L177"/>
          <cell r="M177" t="str">
            <v>Self</v>
          </cell>
          <cell r="N177" t="str">
            <v>CO.</v>
          </cell>
          <cell r="O177" t="str">
            <v>MADHAV</v>
          </cell>
          <cell r="P177" t="str">
            <v/>
          </cell>
          <cell r="Q177" t="str">
            <v/>
          </cell>
          <cell r="R177" t="str">
            <v/>
          </cell>
          <cell r="T177" t="str">
            <v/>
          </cell>
          <cell r="U177"/>
          <cell r="V177"/>
          <cell r="X177"/>
        </row>
        <row r="178">
          <cell r="A178"/>
          <cell r="B178"/>
          <cell r="C178"/>
          <cell r="D178"/>
          <cell r="E178"/>
          <cell r="F178"/>
          <cell r="G178"/>
          <cell r="H178"/>
          <cell r="I178"/>
          <cell r="J178" t="str">
            <v/>
          </cell>
          <cell r="K178" t="str">
            <v/>
          </cell>
          <cell r="L178"/>
          <cell r="M178"/>
          <cell r="O178"/>
          <cell r="P178" t="str">
            <v/>
          </cell>
          <cell r="Q178" t="str">
            <v/>
          </cell>
          <cell r="R178" t="str">
            <v/>
          </cell>
          <cell r="S178"/>
          <cell r="T178" t="str">
            <v/>
          </cell>
          <cell r="U178"/>
          <cell r="V178"/>
          <cell r="X178"/>
        </row>
        <row r="179">
          <cell r="A179" t="str">
            <v>SEP</v>
          </cell>
          <cell r="B179">
            <v>940901</v>
          </cell>
          <cell r="C179" t="str">
            <v>SCR</v>
          </cell>
          <cell r="D179">
            <v>1507</v>
          </cell>
          <cell r="E179">
            <v>46288</v>
          </cell>
          <cell r="F179" t="str">
            <v>METAL</v>
          </cell>
          <cell r="G179" t="str">
            <v>JSPL</v>
          </cell>
          <cell r="H179">
            <v>10</v>
          </cell>
          <cell r="I179">
            <v>4140</v>
          </cell>
          <cell r="J179" t="str">
            <v/>
          </cell>
          <cell r="K179" t="str">
            <v/>
          </cell>
          <cell r="L179">
            <v>1975</v>
          </cell>
          <cell r="O179">
            <v>4619114</v>
          </cell>
          <cell r="P179" t="str">
            <v/>
          </cell>
          <cell r="Q179" t="str">
            <v/>
          </cell>
          <cell r="R179" t="str">
            <v/>
          </cell>
          <cell r="T179" t="str">
            <v/>
          </cell>
          <cell r="U179">
            <v>86</v>
          </cell>
          <cell r="V179">
            <v>169850</v>
          </cell>
          <cell r="X179"/>
        </row>
        <row r="180">
          <cell r="E180"/>
          <cell r="J180" t="str">
            <v/>
          </cell>
          <cell r="K180" t="str">
            <v/>
          </cell>
          <cell r="L180">
            <v>1975</v>
          </cell>
          <cell r="M180"/>
          <cell r="N180">
            <v>1975</v>
          </cell>
          <cell r="O180">
            <v>1980</v>
          </cell>
          <cell r="P180" t="str">
            <v/>
          </cell>
          <cell r="Q180" t="str">
            <v/>
          </cell>
          <cell r="R180" t="str">
            <v/>
          </cell>
          <cell r="T180" t="str">
            <v/>
          </cell>
          <cell r="U180"/>
          <cell r="V180"/>
          <cell r="X180"/>
        </row>
        <row r="181">
          <cell r="E181"/>
          <cell r="J181" t="str">
            <v/>
          </cell>
          <cell r="K181" t="str">
            <v/>
          </cell>
          <cell r="L181"/>
          <cell r="M181" t="str">
            <v>Self</v>
          </cell>
          <cell r="N181" t="str">
            <v>CO.</v>
          </cell>
          <cell r="O181" t="str">
            <v>SARDAR</v>
          </cell>
          <cell r="P181" t="str">
            <v/>
          </cell>
          <cell r="Q181" t="str">
            <v/>
          </cell>
          <cell r="R181" t="str">
            <v/>
          </cell>
          <cell r="T181" t="str">
            <v/>
          </cell>
          <cell r="U181"/>
          <cell r="V181"/>
          <cell r="X181"/>
        </row>
        <row r="182">
          <cell r="E182"/>
          <cell r="J182" t="str">
            <v/>
          </cell>
          <cell r="K182" t="str">
            <v/>
          </cell>
          <cell r="P182" t="str">
            <v/>
          </cell>
          <cell r="Q182" t="str">
            <v/>
          </cell>
          <cell r="R182" t="str">
            <v/>
          </cell>
          <cell r="T182" t="str">
            <v/>
          </cell>
          <cell r="U182"/>
          <cell r="V182"/>
          <cell r="X182"/>
        </row>
        <row r="183">
          <cell r="E183"/>
          <cell r="J183" t="str">
            <v/>
          </cell>
          <cell r="K183" t="str">
            <v/>
          </cell>
          <cell r="P183" t="str">
            <v/>
          </cell>
          <cell r="Q183" t="str">
            <v/>
          </cell>
          <cell r="R183" t="str">
            <v/>
          </cell>
          <cell r="T183" t="str">
            <v/>
          </cell>
          <cell r="U183"/>
          <cell r="V183"/>
          <cell r="X183"/>
        </row>
        <row r="184">
          <cell r="E184"/>
          <cell r="J184" t="str">
            <v/>
          </cell>
          <cell r="K184" t="str">
            <v/>
          </cell>
          <cell r="P184" t="str">
            <v/>
          </cell>
          <cell r="Q184" t="str">
            <v/>
          </cell>
          <cell r="R184" t="str">
            <v/>
          </cell>
          <cell r="T184" t="str">
            <v/>
          </cell>
          <cell r="U184"/>
          <cell r="V184"/>
          <cell r="X184"/>
        </row>
        <row r="185">
          <cell r="E185"/>
          <cell r="J185" t="str">
            <v/>
          </cell>
          <cell r="K185" t="str">
            <v/>
          </cell>
          <cell r="P185" t="str">
            <v/>
          </cell>
          <cell r="Q185" t="str">
            <v/>
          </cell>
          <cell r="R185" t="str">
            <v/>
          </cell>
          <cell r="T185" t="str">
            <v/>
          </cell>
          <cell r="U185"/>
          <cell r="V185"/>
          <cell r="X185"/>
        </row>
        <row r="186">
          <cell r="E186"/>
          <cell r="J186" t="str">
            <v/>
          </cell>
          <cell r="K186" t="str">
            <v/>
          </cell>
          <cell r="P186" t="str">
            <v/>
          </cell>
          <cell r="Q186" t="str">
            <v/>
          </cell>
          <cell r="R186" t="str">
            <v/>
          </cell>
          <cell r="T186" t="str">
            <v/>
          </cell>
          <cell r="U186"/>
          <cell r="V186"/>
          <cell r="X186"/>
        </row>
        <row r="187">
          <cell r="E187"/>
          <cell r="J187" t="str">
            <v/>
          </cell>
          <cell r="K187" t="str">
            <v/>
          </cell>
          <cell r="P187" t="str">
            <v/>
          </cell>
          <cell r="Q187" t="str">
            <v/>
          </cell>
          <cell r="R187" t="str">
            <v/>
          </cell>
          <cell r="T187" t="str">
            <v/>
          </cell>
          <cell r="U187"/>
          <cell r="V187"/>
          <cell r="X187"/>
        </row>
        <row r="188">
          <cell r="E188"/>
          <cell r="J188" t="str">
            <v/>
          </cell>
          <cell r="K188" t="str">
            <v/>
          </cell>
          <cell r="P188" t="str">
            <v/>
          </cell>
          <cell r="Q188" t="str">
            <v/>
          </cell>
          <cell r="R188" t="str">
            <v/>
          </cell>
          <cell r="T188" t="str">
            <v/>
          </cell>
          <cell r="U188"/>
          <cell r="V188"/>
          <cell r="X188"/>
        </row>
        <row r="189">
          <cell r="E189"/>
          <cell r="J189" t="str">
            <v/>
          </cell>
          <cell r="K189" t="str">
            <v/>
          </cell>
          <cell r="P189" t="str">
            <v/>
          </cell>
          <cell r="Q189" t="str">
            <v/>
          </cell>
          <cell r="R189" t="str">
            <v/>
          </cell>
          <cell r="T189" t="str">
            <v/>
          </cell>
          <cell r="U189"/>
          <cell r="V189"/>
          <cell r="X189"/>
        </row>
        <row r="190">
          <cell r="E190"/>
          <cell r="J190" t="str">
            <v/>
          </cell>
          <cell r="K190" t="str">
            <v/>
          </cell>
          <cell r="P190" t="str">
            <v/>
          </cell>
          <cell r="Q190" t="str">
            <v/>
          </cell>
          <cell r="R190" t="str">
            <v/>
          </cell>
          <cell r="T190" t="str">
            <v/>
          </cell>
          <cell r="U190"/>
          <cell r="V190"/>
          <cell r="X190"/>
        </row>
        <row r="191">
          <cell r="E191"/>
          <cell r="J191" t="str">
            <v/>
          </cell>
          <cell r="K191" t="str">
            <v/>
          </cell>
          <cell r="P191" t="str">
            <v/>
          </cell>
          <cell r="Q191" t="str">
            <v/>
          </cell>
          <cell r="R191" t="str">
            <v/>
          </cell>
          <cell r="T191" t="str">
            <v/>
          </cell>
          <cell r="U191"/>
          <cell r="V191"/>
          <cell r="X191"/>
        </row>
        <row r="192">
          <cell r="E192"/>
          <cell r="J192" t="str">
            <v/>
          </cell>
          <cell r="K192" t="str">
            <v/>
          </cell>
          <cell r="P192" t="str">
            <v/>
          </cell>
          <cell r="Q192" t="str">
            <v/>
          </cell>
          <cell r="R192" t="str">
            <v/>
          </cell>
          <cell r="T192" t="str">
            <v/>
          </cell>
          <cell r="U192"/>
          <cell r="V192"/>
          <cell r="X192"/>
        </row>
        <row r="193">
          <cell r="E193"/>
          <cell r="J193" t="str">
            <v/>
          </cell>
          <cell r="K193" t="str">
            <v/>
          </cell>
          <cell r="P193" t="str">
            <v/>
          </cell>
          <cell r="Q193" t="str">
            <v/>
          </cell>
          <cell r="R193" t="str">
            <v/>
          </cell>
          <cell r="T193" t="str">
            <v/>
          </cell>
          <cell r="U193"/>
          <cell r="V193"/>
          <cell r="X193"/>
        </row>
        <row r="194">
          <cell r="E194"/>
          <cell r="J194" t="str">
            <v/>
          </cell>
          <cell r="K194" t="str">
            <v/>
          </cell>
          <cell r="P194" t="str">
            <v/>
          </cell>
          <cell r="Q194" t="str">
            <v/>
          </cell>
          <cell r="R194" t="str">
            <v/>
          </cell>
          <cell r="T194" t="str">
            <v/>
          </cell>
          <cell r="U194"/>
          <cell r="V194"/>
          <cell r="X194"/>
        </row>
        <row r="195">
          <cell r="E195"/>
          <cell r="J195" t="str">
            <v/>
          </cell>
          <cell r="K195" t="str">
            <v/>
          </cell>
          <cell r="P195" t="str">
            <v/>
          </cell>
          <cell r="Q195" t="str">
            <v/>
          </cell>
          <cell r="R195" t="str">
            <v/>
          </cell>
          <cell r="T195" t="str">
            <v/>
          </cell>
          <cell r="U195"/>
          <cell r="V195"/>
          <cell r="X195"/>
        </row>
        <row r="196">
          <cell r="E196"/>
          <cell r="J196" t="str">
            <v/>
          </cell>
          <cell r="K196" t="str">
            <v/>
          </cell>
          <cell r="P196" t="str">
            <v/>
          </cell>
          <cell r="Q196" t="str">
            <v/>
          </cell>
          <cell r="R196" t="str">
            <v/>
          </cell>
          <cell r="T196" t="str">
            <v/>
          </cell>
          <cell r="U196"/>
          <cell r="V196"/>
          <cell r="X196"/>
        </row>
        <row r="197">
          <cell r="E197"/>
          <cell r="J197" t="str">
            <v/>
          </cell>
          <cell r="K197" t="str">
            <v/>
          </cell>
          <cell r="P197" t="str">
            <v/>
          </cell>
          <cell r="Q197" t="str">
            <v/>
          </cell>
          <cell r="R197" t="str">
            <v/>
          </cell>
          <cell r="T197" t="str">
            <v/>
          </cell>
          <cell r="U197"/>
          <cell r="V197"/>
          <cell r="X197"/>
        </row>
        <row r="198">
          <cell r="E198"/>
          <cell r="J198" t="str">
            <v/>
          </cell>
          <cell r="K198" t="str">
            <v/>
          </cell>
          <cell r="P198" t="str">
            <v/>
          </cell>
          <cell r="Q198" t="str">
            <v/>
          </cell>
          <cell r="R198" t="str">
            <v/>
          </cell>
          <cell r="T198" t="str">
            <v/>
          </cell>
          <cell r="U198"/>
          <cell r="V198"/>
          <cell r="X198"/>
        </row>
        <row r="199">
          <cell r="E199"/>
          <cell r="J199" t="str">
            <v/>
          </cell>
          <cell r="K199" t="str">
            <v/>
          </cell>
          <cell r="P199" t="str">
            <v/>
          </cell>
          <cell r="Q199" t="str">
            <v/>
          </cell>
          <cell r="R199" t="str">
            <v/>
          </cell>
          <cell r="T199" t="str">
            <v/>
          </cell>
          <cell r="U199"/>
          <cell r="V199"/>
          <cell r="X199"/>
        </row>
        <row r="200">
          <cell r="E200"/>
          <cell r="J200" t="str">
            <v/>
          </cell>
          <cell r="K200" t="str">
            <v/>
          </cell>
          <cell r="P200" t="str">
            <v/>
          </cell>
          <cell r="Q200" t="str">
            <v/>
          </cell>
          <cell r="R200" t="str">
            <v/>
          </cell>
          <cell r="T200" t="str">
            <v/>
          </cell>
          <cell r="U200"/>
          <cell r="V200"/>
          <cell r="X200"/>
        </row>
        <row r="201">
          <cell r="E201"/>
          <cell r="J201" t="str">
            <v/>
          </cell>
          <cell r="K201" t="str">
            <v/>
          </cell>
          <cell r="P201" t="str">
            <v/>
          </cell>
          <cell r="Q201" t="str">
            <v/>
          </cell>
          <cell r="R201" t="str">
            <v/>
          </cell>
          <cell r="T201" t="str">
            <v/>
          </cell>
          <cell r="U201"/>
          <cell r="V201"/>
          <cell r="X201"/>
        </row>
        <row r="202">
          <cell r="E202"/>
          <cell r="J202" t="str">
            <v/>
          </cell>
          <cell r="K202" t="str">
            <v/>
          </cell>
          <cell r="P202" t="str">
            <v/>
          </cell>
          <cell r="Q202" t="str">
            <v/>
          </cell>
          <cell r="R202" t="str">
            <v/>
          </cell>
          <cell r="T202" t="str">
            <v/>
          </cell>
          <cell r="U202"/>
          <cell r="V202"/>
          <cell r="X202"/>
        </row>
        <row r="203">
          <cell r="E203"/>
          <cell r="J203" t="str">
            <v/>
          </cell>
          <cell r="K203" t="str">
            <v/>
          </cell>
          <cell r="P203" t="str">
            <v/>
          </cell>
          <cell r="Q203" t="str">
            <v/>
          </cell>
          <cell r="R203" t="str">
            <v/>
          </cell>
          <cell r="T203" t="str">
            <v/>
          </cell>
          <cell r="U203"/>
          <cell r="V203"/>
          <cell r="X203"/>
        </row>
        <row r="204">
          <cell r="E204"/>
          <cell r="J204" t="str">
            <v/>
          </cell>
          <cell r="K204" t="str">
            <v/>
          </cell>
          <cell r="P204" t="str">
            <v/>
          </cell>
          <cell r="Q204" t="str">
            <v/>
          </cell>
          <cell r="R204" t="str">
            <v/>
          </cell>
          <cell r="T204" t="str">
            <v/>
          </cell>
          <cell r="U204"/>
          <cell r="V204"/>
          <cell r="X204"/>
        </row>
        <row r="205">
          <cell r="E205"/>
          <cell r="J205" t="str">
            <v/>
          </cell>
          <cell r="K205" t="str">
            <v/>
          </cell>
          <cell r="P205" t="str">
            <v/>
          </cell>
          <cell r="Q205" t="str">
            <v/>
          </cell>
          <cell r="R205" t="str">
            <v/>
          </cell>
          <cell r="T205" t="str">
            <v/>
          </cell>
          <cell r="U205"/>
          <cell r="V205"/>
          <cell r="X205"/>
        </row>
        <row r="206">
          <cell r="E206"/>
          <cell r="J206" t="str">
            <v/>
          </cell>
          <cell r="K206" t="str">
            <v/>
          </cell>
          <cell r="P206" t="str">
            <v/>
          </cell>
          <cell r="Q206" t="str">
            <v/>
          </cell>
          <cell r="R206" t="str">
            <v/>
          </cell>
          <cell r="T206" t="str">
            <v/>
          </cell>
          <cell r="U206"/>
          <cell r="V206"/>
          <cell r="X206"/>
        </row>
        <row r="207">
          <cell r="A207"/>
          <cell r="B207"/>
          <cell r="C207"/>
          <cell r="D207"/>
          <cell r="E207"/>
          <cell r="F207"/>
          <cell r="G207"/>
          <cell r="H207"/>
          <cell r="I207"/>
          <cell r="J207" t="str">
            <v/>
          </cell>
          <cell r="K207" t="str">
            <v/>
          </cell>
          <cell r="L207"/>
          <cell r="M207"/>
          <cell r="N207"/>
          <cell r="O207"/>
          <cell r="P207" t="str">
            <v/>
          </cell>
          <cell r="Q207" t="str">
            <v/>
          </cell>
          <cell r="R207" t="str">
            <v/>
          </cell>
          <cell r="S207"/>
          <cell r="T207" t="str">
            <v/>
          </cell>
          <cell r="U207"/>
          <cell r="V207"/>
          <cell r="W207"/>
          <cell r="X207"/>
        </row>
        <row r="208">
          <cell r="E208"/>
          <cell r="J208" t="str">
            <v/>
          </cell>
          <cell r="K208" t="str">
            <v/>
          </cell>
          <cell r="P208" t="str">
            <v/>
          </cell>
          <cell r="Q208" t="str">
            <v/>
          </cell>
          <cell r="R208" t="str">
            <v/>
          </cell>
          <cell r="T208" t="str">
            <v/>
          </cell>
          <cell r="U208"/>
          <cell r="V208"/>
          <cell r="X208"/>
        </row>
        <row r="209">
          <cell r="E209"/>
          <cell r="J209" t="str">
            <v/>
          </cell>
          <cell r="K209" t="str">
            <v/>
          </cell>
          <cell r="P209" t="str">
            <v/>
          </cell>
          <cell r="Q209" t="str">
            <v/>
          </cell>
          <cell r="R209" t="str">
            <v/>
          </cell>
          <cell r="T209" t="str">
            <v/>
          </cell>
          <cell r="U209"/>
          <cell r="V209"/>
          <cell r="X209"/>
        </row>
        <row r="210">
          <cell r="E210"/>
          <cell r="J210" t="str">
            <v/>
          </cell>
          <cell r="K210" t="str">
            <v/>
          </cell>
          <cell r="P210" t="str">
            <v/>
          </cell>
          <cell r="Q210" t="str">
            <v/>
          </cell>
          <cell r="R210" t="str">
            <v/>
          </cell>
          <cell r="T210" t="str">
            <v/>
          </cell>
          <cell r="U210"/>
          <cell r="V210"/>
          <cell r="X210"/>
        </row>
        <row r="211">
          <cell r="E211"/>
          <cell r="J211" t="str">
            <v/>
          </cell>
          <cell r="K211" t="str">
            <v/>
          </cell>
          <cell r="P211" t="str">
            <v/>
          </cell>
          <cell r="Q211" t="str">
            <v/>
          </cell>
          <cell r="R211" t="str">
            <v/>
          </cell>
          <cell r="T211" t="str">
            <v/>
          </cell>
          <cell r="U211"/>
          <cell r="V211"/>
          <cell r="X211"/>
        </row>
        <row r="212">
          <cell r="A212"/>
          <cell r="B212"/>
          <cell r="C212"/>
          <cell r="D212"/>
          <cell r="E212"/>
          <cell r="F212"/>
          <cell r="G212"/>
          <cell r="H212"/>
          <cell r="I212"/>
          <cell r="J212" t="str">
            <v/>
          </cell>
          <cell r="K212" t="str">
            <v/>
          </cell>
          <cell r="L212"/>
          <cell r="M212"/>
          <cell r="N212"/>
          <cell r="O212"/>
          <cell r="P212" t="str">
            <v/>
          </cell>
          <cell r="Q212" t="str">
            <v/>
          </cell>
          <cell r="R212" t="str">
            <v/>
          </cell>
          <cell r="S212"/>
          <cell r="T212" t="str">
            <v/>
          </cell>
          <cell r="U212"/>
          <cell r="V212"/>
          <cell r="W212"/>
          <cell r="X212"/>
        </row>
        <row r="213">
          <cell r="E213"/>
          <cell r="J213" t="str">
            <v/>
          </cell>
          <cell r="K213" t="str">
            <v/>
          </cell>
          <cell r="P213" t="str">
            <v/>
          </cell>
          <cell r="Q213" t="str">
            <v/>
          </cell>
          <cell r="R213" t="str">
            <v/>
          </cell>
          <cell r="T213" t="str">
            <v/>
          </cell>
          <cell r="U213"/>
          <cell r="V213"/>
          <cell r="X213"/>
        </row>
        <row r="214">
          <cell r="E214"/>
          <cell r="J214" t="str">
            <v/>
          </cell>
          <cell r="K214" t="str">
            <v/>
          </cell>
          <cell r="P214" t="str">
            <v/>
          </cell>
          <cell r="Q214" t="str">
            <v/>
          </cell>
          <cell r="R214" t="str">
            <v/>
          </cell>
          <cell r="T214" t="str">
            <v/>
          </cell>
          <cell r="U214"/>
          <cell r="V214"/>
          <cell r="X214"/>
        </row>
        <row r="215">
          <cell r="E215"/>
          <cell r="J215" t="str">
            <v/>
          </cell>
          <cell r="K215" t="str">
            <v/>
          </cell>
          <cell r="P215" t="str">
            <v/>
          </cell>
          <cell r="Q215" t="str">
            <v/>
          </cell>
          <cell r="R215" t="str">
            <v/>
          </cell>
          <cell r="T215" t="str">
            <v/>
          </cell>
          <cell r="U215"/>
          <cell r="V215"/>
          <cell r="X215"/>
        </row>
        <row r="216">
          <cell r="E216"/>
          <cell r="J216" t="str">
            <v/>
          </cell>
          <cell r="K216" t="str">
            <v/>
          </cell>
          <cell r="P216" t="str">
            <v/>
          </cell>
          <cell r="Q216" t="str">
            <v/>
          </cell>
          <cell r="R216" t="str">
            <v/>
          </cell>
          <cell r="T216" t="str">
            <v/>
          </cell>
          <cell r="U216"/>
          <cell r="V216"/>
          <cell r="X216"/>
        </row>
        <row r="217">
          <cell r="E217"/>
          <cell r="J217" t="str">
            <v/>
          </cell>
          <cell r="K217" t="str">
            <v/>
          </cell>
          <cell r="P217" t="str">
            <v/>
          </cell>
          <cell r="Q217" t="str">
            <v/>
          </cell>
          <cell r="R217" t="str">
            <v/>
          </cell>
          <cell r="T217" t="str">
            <v/>
          </cell>
          <cell r="U217"/>
          <cell r="V217"/>
          <cell r="X217"/>
        </row>
        <row r="218">
          <cell r="E218"/>
          <cell r="J218" t="str">
            <v/>
          </cell>
          <cell r="K218" t="str">
            <v/>
          </cell>
          <cell r="P218" t="str">
            <v/>
          </cell>
          <cell r="Q218" t="str">
            <v/>
          </cell>
          <cell r="R218" t="str">
            <v/>
          </cell>
          <cell r="T218" t="str">
            <v/>
          </cell>
          <cell r="U218"/>
          <cell r="V218"/>
          <cell r="X218"/>
        </row>
        <row r="219">
          <cell r="E219"/>
          <cell r="J219" t="str">
            <v/>
          </cell>
          <cell r="K219" t="str">
            <v/>
          </cell>
          <cell r="P219" t="str">
            <v/>
          </cell>
          <cell r="Q219" t="str">
            <v/>
          </cell>
          <cell r="R219" t="str">
            <v/>
          </cell>
          <cell r="T219" t="str">
            <v/>
          </cell>
          <cell r="U219"/>
          <cell r="V219"/>
          <cell r="X219"/>
        </row>
        <row r="220">
          <cell r="E220"/>
          <cell r="J220" t="str">
            <v/>
          </cell>
          <cell r="K220" t="str">
            <v/>
          </cell>
          <cell r="P220" t="str">
            <v/>
          </cell>
          <cell r="Q220" t="str">
            <v/>
          </cell>
          <cell r="R220" t="str">
            <v/>
          </cell>
          <cell r="T220" t="str">
            <v/>
          </cell>
          <cell r="U220"/>
          <cell r="V220"/>
          <cell r="X220"/>
        </row>
        <row r="221">
          <cell r="E221"/>
          <cell r="J221" t="str">
            <v/>
          </cell>
          <cell r="K221" t="str">
            <v/>
          </cell>
          <cell r="P221" t="str">
            <v/>
          </cell>
          <cell r="Q221" t="str">
            <v/>
          </cell>
          <cell r="R221" t="str">
            <v/>
          </cell>
          <cell r="T221" t="str">
            <v/>
          </cell>
          <cell r="U221"/>
          <cell r="V221"/>
          <cell r="X221"/>
        </row>
        <row r="222">
          <cell r="E222"/>
          <cell r="J222" t="str">
            <v/>
          </cell>
          <cell r="K222" t="str">
            <v/>
          </cell>
          <cell r="P222" t="str">
            <v/>
          </cell>
          <cell r="Q222" t="str">
            <v/>
          </cell>
          <cell r="R222" t="str">
            <v/>
          </cell>
          <cell r="T222" t="str">
            <v/>
          </cell>
          <cell r="U222"/>
          <cell r="V222"/>
          <cell r="X222"/>
        </row>
        <row r="223">
          <cell r="E223"/>
          <cell r="J223" t="str">
            <v/>
          </cell>
          <cell r="K223" t="str">
            <v/>
          </cell>
          <cell r="P223" t="str">
            <v/>
          </cell>
          <cell r="Q223" t="str">
            <v/>
          </cell>
          <cell r="R223" t="str">
            <v/>
          </cell>
          <cell r="T223" t="str">
            <v/>
          </cell>
          <cell r="U223"/>
          <cell r="V223"/>
          <cell r="X223"/>
        </row>
        <row r="224">
          <cell r="E224"/>
          <cell r="J224" t="str">
            <v/>
          </cell>
          <cell r="K224" t="str">
            <v/>
          </cell>
          <cell r="P224" t="str">
            <v/>
          </cell>
          <cell r="Q224" t="str">
            <v/>
          </cell>
          <cell r="R224" t="str">
            <v/>
          </cell>
          <cell r="T224" t="str">
            <v/>
          </cell>
          <cell r="U224"/>
          <cell r="V224"/>
          <cell r="X224"/>
        </row>
        <row r="225">
          <cell r="E225"/>
          <cell r="J225" t="str">
            <v/>
          </cell>
          <cell r="K225" t="str">
            <v/>
          </cell>
          <cell r="P225" t="str">
            <v/>
          </cell>
          <cell r="Q225" t="str">
            <v/>
          </cell>
          <cell r="R225" t="str">
            <v/>
          </cell>
          <cell r="T225" t="str">
            <v/>
          </cell>
          <cell r="U225"/>
          <cell r="V225"/>
          <cell r="X225"/>
        </row>
        <row r="226">
          <cell r="E226"/>
          <cell r="J226" t="str">
            <v/>
          </cell>
          <cell r="K226" t="str">
            <v/>
          </cell>
          <cell r="P226" t="str">
            <v/>
          </cell>
          <cell r="Q226" t="str">
            <v/>
          </cell>
          <cell r="R226" t="str">
            <v/>
          </cell>
          <cell r="T226" t="str">
            <v/>
          </cell>
          <cell r="U226"/>
          <cell r="V226"/>
          <cell r="X226"/>
        </row>
        <row r="227">
          <cell r="E227"/>
          <cell r="J227" t="str">
            <v/>
          </cell>
          <cell r="K227" t="str">
            <v/>
          </cell>
          <cell r="P227" t="str">
            <v/>
          </cell>
          <cell r="Q227" t="str">
            <v/>
          </cell>
          <cell r="R227" t="str">
            <v/>
          </cell>
          <cell r="T227" t="str">
            <v/>
          </cell>
          <cell r="U227"/>
          <cell r="V227"/>
          <cell r="X227"/>
        </row>
        <row r="228">
          <cell r="E228"/>
          <cell r="J228" t="str">
            <v/>
          </cell>
          <cell r="K228" t="str">
            <v/>
          </cell>
          <cell r="P228" t="str">
            <v/>
          </cell>
          <cell r="Q228" t="str">
            <v/>
          </cell>
          <cell r="R228" t="str">
            <v/>
          </cell>
          <cell r="T228" t="str">
            <v/>
          </cell>
          <cell r="U228"/>
          <cell r="V228"/>
          <cell r="X228"/>
        </row>
        <row r="229">
          <cell r="E229"/>
          <cell r="J229" t="str">
            <v/>
          </cell>
          <cell r="K229" t="str">
            <v/>
          </cell>
          <cell r="P229" t="str">
            <v/>
          </cell>
          <cell r="Q229" t="str">
            <v/>
          </cell>
          <cell r="R229" t="str">
            <v/>
          </cell>
          <cell r="T229" t="str">
            <v/>
          </cell>
          <cell r="U229"/>
          <cell r="V229"/>
          <cell r="X229"/>
        </row>
        <row r="230">
          <cell r="E230"/>
          <cell r="J230" t="str">
            <v/>
          </cell>
          <cell r="K230" t="str">
            <v/>
          </cell>
          <cell r="P230" t="str">
            <v/>
          </cell>
          <cell r="Q230" t="str">
            <v/>
          </cell>
          <cell r="R230" t="str">
            <v/>
          </cell>
          <cell r="T230" t="str">
            <v/>
          </cell>
          <cell r="U230"/>
          <cell r="V230"/>
          <cell r="X230"/>
        </row>
        <row r="231">
          <cell r="E231"/>
          <cell r="J231" t="str">
            <v/>
          </cell>
          <cell r="K231" t="str">
            <v/>
          </cell>
          <cell r="P231" t="str">
            <v/>
          </cell>
          <cell r="Q231" t="str">
            <v/>
          </cell>
          <cell r="R231" t="str">
            <v/>
          </cell>
          <cell r="T231" t="str">
            <v/>
          </cell>
          <cell r="U231"/>
          <cell r="V231"/>
          <cell r="X231"/>
        </row>
        <row r="232">
          <cell r="E232"/>
          <cell r="J232" t="str">
            <v/>
          </cell>
          <cell r="K232" t="str">
            <v/>
          </cell>
          <cell r="P232" t="str">
            <v/>
          </cell>
          <cell r="Q232" t="str">
            <v/>
          </cell>
          <cell r="R232" t="str">
            <v/>
          </cell>
          <cell r="T232" t="str">
            <v/>
          </cell>
          <cell r="U232"/>
          <cell r="V232"/>
          <cell r="X232"/>
        </row>
        <row r="233">
          <cell r="E233"/>
          <cell r="J233" t="str">
            <v/>
          </cell>
          <cell r="K233" t="str">
            <v/>
          </cell>
          <cell r="P233" t="str">
            <v/>
          </cell>
          <cell r="Q233" t="str">
            <v/>
          </cell>
          <cell r="R233" t="str">
            <v/>
          </cell>
          <cell r="T233" t="str">
            <v/>
          </cell>
          <cell r="U233"/>
          <cell r="V233"/>
          <cell r="X233"/>
        </row>
        <row r="234">
          <cell r="E234"/>
          <cell r="J234" t="str">
            <v/>
          </cell>
          <cell r="K234" t="str">
            <v/>
          </cell>
          <cell r="P234" t="str">
            <v/>
          </cell>
          <cell r="Q234" t="str">
            <v/>
          </cell>
          <cell r="R234" t="str">
            <v/>
          </cell>
          <cell r="T234" t="str">
            <v/>
          </cell>
          <cell r="U234"/>
          <cell r="V234"/>
          <cell r="X234"/>
        </row>
        <row r="235">
          <cell r="E235"/>
          <cell r="J235" t="str">
            <v/>
          </cell>
          <cell r="K235" t="str">
            <v/>
          </cell>
          <cell r="P235" t="str">
            <v/>
          </cell>
          <cell r="Q235" t="str">
            <v/>
          </cell>
          <cell r="R235" t="str">
            <v/>
          </cell>
          <cell r="T235" t="str">
            <v/>
          </cell>
          <cell r="U235"/>
          <cell r="V235"/>
          <cell r="X235"/>
        </row>
        <row r="236">
          <cell r="E236"/>
          <cell r="J236" t="str">
            <v/>
          </cell>
          <cell r="K236" t="str">
            <v/>
          </cell>
          <cell r="P236" t="str">
            <v/>
          </cell>
          <cell r="Q236" t="str">
            <v/>
          </cell>
          <cell r="R236" t="str">
            <v/>
          </cell>
          <cell r="T236" t="str">
            <v/>
          </cell>
          <cell r="U236"/>
          <cell r="V236"/>
          <cell r="X236"/>
        </row>
        <row r="237">
          <cell r="E237"/>
          <cell r="J237" t="str">
            <v/>
          </cell>
          <cell r="K237" t="str">
            <v/>
          </cell>
          <cell r="P237" t="str">
            <v/>
          </cell>
          <cell r="Q237" t="str">
            <v/>
          </cell>
          <cell r="R237" t="str">
            <v/>
          </cell>
          <cell r="T237" t="str">
            <v/>
          </cell>
          <cell r="U237"/>
          <cell r="V237"/>
          <cell r="X237"/>
        </row>
        <row r="238">
          <cell r="E238"/>
          <cell r="J238" t="str">
            <v/>
          </cell>
          <cell r="K238" t="str">
            <v/>
          </cell>
          <cell r="P238" t="str">
            <v/>
          </cell>
          <cell r="Q238" t="str">
            <v/>
          </cell>
          <cell r="R238" t="str">
            <v/>
          </cell>
          <cell r="T238" t="str">
            <v/>
          </cell>
          <cell r="U238"/>
          <cell r="V238"/>
          <cell r="X238"/>
        </row>
        <row r="239">
          <cell r="E239"/>
          <cell r="J239" t="str">
            <v/>
          </cell>
          <cell r="K239" t="str">
            <v/>
          </cell>
          <cell r="P239" t="str">
            <v/>
          </cell>
          <cell r="Q239" t="str">
            <v/>
          </cell>
          <cell r="R239" t="str">
            <v/>
          </cell>
          <cell r="T239" t="str">
            <v/>
          </cell>
          <cell r="U239"/>
          <cell r="V239"/>
          <cell r="X239"/>
        </row>
        <row r="240">
          <cell r="E240"/>
          <cell r="J240" t="str">
            <v/>
          </cell>
          <cell r="K240" t="str">
            <v/>
          </cell>
          <cell r="P240" t="str">
            <v/>
          </cell>
          <cell r="Q240" t="str">
            <v/>
          </cell>
          <cell r="R240" t="str">
            <v/>
          </cell>
          <cell r="T240" t="str">
            <v/>
          </cell>
          <cell r="U240"/>
          <cell r="V240"/>
          <cell r="X240"/>
        </row>
        <row r="241">
          <cell r="E241"/>
          <cell r="J241" t="str">
            <v/>
          </cell>
          <cell r="K241" t="str">
            <v/>
          </cell>
          <cell r="P241" t="str">
            <v/>
          </cell>
          <cell r="Q241" t="str">
            <v/>
          </cell>
          <cell r="R241" t="str">
            <v/>
          </cell>
          <cell r="T241" t="str">
            <v/>
          </cell>
          <cell r="U241"/>
          <cell r="V241"/>
          <cell r="X241"/>
        </row>
        <row r="242">
          <cell r="E242"/>
          <cell r="J242" t="str">
            <v/>
          </cell>
          <cell r="K242" t="str">
            <v/>
          </cell>
          <cell r="P242" t="str">
            <v/>
          </cell>
          <cell r="Q242" t="str">
            <v/>
          </cell>
          <cell r="R242" t="str">
            <v/>
          </cell>
          <cell r="T242" t="str">
            <v/>
          </cell>
          <cell r="U242"/>
          <cell r="V242"/>
          <cell r="X242"/>
        </row>
        <row r="243">
          <cell r="E243"/>
          <cell r="J243" t="str">
            <v/>
          </cell>
          <cell r="K243" t="str">
            <v/>
          </cell>
          <cell r="P243" t="str">
            <v/>
          </cell>
          <cell r="Q243" t="str">
            <v/>
          </cell>
          <cell r="R243" t="str">
            <v/>
          </cell>
          <cell r="T243" t="str">
            <v/>
          </cell>
          <cell r="U243"/>
          <cell r="V243"/>
          <cell r="X243"/>
        </row>
        <row r="244">
          <cell r="E244"/>
          <cell r="J244" t="str">
            <v/>
          </cell>
          <cell r="K244" t="str">
            <v/>
          </cell>
          <cell r="P244" t="str">
            <v/>
          </cell>
          <cell r="Q244" t="str">
            <v/>
          </cell>
          <cell r="R244" t="str">
            <v/>
          </cell>
          <cell r="T244" t="str">
            <v/>
          </cell>
          <cell r="U244"/>
          <cell r="V244"/>
          <cell r="X244"/>
        </row>
        <row r="245">
          <cell r="E245"/>
          <cell r="J245" t="str">
            <v/>
          </cell>
          <cell r="K245" t="str">
            <v/>
          </cell>
          <cell r="P245" t="str">
            <v/>
          </cell>
          <cell r="Q245" t="str">
            <v/>
          </cell>
          <cell r="R245" t="str">
            <v/>
          </cell>
          <cell r="T245" t="str">
            <v/>
          </cell>
          <cell r="U245"/>
          <cell r="V245"/>
          <cell r="X245"/>
        </row>
        <row r="246">
          <cell r="E246"/>
          <cell r="J246" t="str">
            <v/>
          </cell>
          <cell r="K246" t="str">
            <v/>
          </cell>
          <cell r="P246" t="str">
            <v/>
          </cell>
          <cell r="Q246" t="str">
            <v/>
          </cell>
          <cell r="R246" t="str">
            <v/>
          </cell>
          <cell r="T246" t="str">
            <v/>
          </cell>
          <cell r="U246"/>
          <cell r="V246"/>
          <cell r="X246"/>
        </row>
        <row r="247">
          <cell r="E247"/>
          <cell r="J247" t="str">
            <v/>
          </cell>
          <cell r="K247" t="str">
            <v/>
          </cell>
          <cell r="P247" t="str">
            <v/>
          </cell>
          <cell r="Q247" t="str">
            <v/>
          </cell>
          <cell r="R247" t="str">
            <v/>
          </cell>
          <cell r="T247" t="str">
            <v/>
          </cell>
          <cell r="U247"/>
          <cell r="V247"/>
          <cell r="X247"/>
        </row>
        <row r="248">
          <cell r="E248"/>
          <cell r="J248" t="str">
            <v/>
          </cell>
          <cell r="K248" t="str">
            <v/>
          </cell>
          <cell r="P248" t="str">
            <v/>
          </cell>
          <cell r="Q248" t="str">
            <v/>
          </cell>
          <cell r="R248" t="str">
            <v/>
          </cell>
          <cell r="T248" t="str">
            <v/>
          </cell>
          <cell r="U248"/>
          <cell r="V248"/>
          <cell r="X248"/>
        </row>
        <row r="249">
          <cell r="E249"/>
          <cell r="J249" t="str">
            <v/>
          </cell>
          <cell r="K249" t="str">
            <v/>
          </cell>
          <cell r="P249" t="str">
            <v/>
          </cell>
          <cell r="Q249" t="str">
            <v/>
          </cell>
          <cell r="R249" t="str">
            <v/>
          </cell>
          <cell r="T249" t="str">
            <v/>
          </cell>
          <cell r="U249"/>
          <cell r="V249"/>
          <cell r="X249"/>
        </row>
        <row r="250">
          <cell r="E250"/>
          <cell r="J250" t="str">
            <v/>
          </cell>
          <cell r="K250" t="str">
            <v/>
          </cell>
          <cell r="P250" t="str">
            <v/>
          </cell>
          <cell r="Q250" t="str">
            <v/>
          </cell>
          <cell r="R250" t="str">
            <v/>
          </cell>
          <cell r="T250" t="str">
            <v/>
          </cell>
          <cell r="U250"/>
          <cell r="V250"/>
          <cell r="X250"/>
        </row>
        <row r="251">
          <cell r="A251"/>
          <cell r="B251"/>
          <cell r="C251"/>
          <cell r="D251"/>
          <cell r="E251"/>
          <cell r="F251"/>
          <cell r="G251"/>
          <cell r="H251"/>
          <cell r="I251"/>
          <cell r="J251" t="str">
            <v/>
          </cell>
          <cell r="K251" t="str">
            <v/>
          </cell>
          <cell r="L251"/>
          <cell r="M251"/>
          <cell r="N251"/>
          <cell r="O251"/>
          <cell r="P251" t="str">
            <v/>
          </cell>
          <cell r="Q251" t="str">
            <v/>
          </cell>
          <cell r="R251" t="str">
            <v/>
          </cell>
          <cell r="S251"/>
          <cell r="T251" t="str">
            <v/>
          </cell>
          <cell r="U251"/>
          <cell r="V251"/>
          <cell r="W251"/>
          <cell r="X251"/>
        </row>
        <row r="252">
          <cell r="E252"/>
          <cell r="J252" t="str">
            <v/>
          </cell>
          <cell r="K252" t="str">
            <v/>
          </cell>
          <cell r="P252" t="str">
            <v/>
          </cell>
          <cell r="Q252" t="str">
            <v/>
          </cell>
          <cell r="R252" t="str">
            <v/>
          </cell>
          <cell r="T252" t="str">
            <v/>
          </cell>
          <cell r="U252"/>
          <cell r="V252"/>
          <cell r="X252"/>
        </row>
        <row r="253">
          <cell r="E253"/>
          <cell r="J253" t="str">
            <v/>
          </cell>
          <cell r="K253" t="str">
            <v/>
          </cell>
          <cell r="P253" t="str">
            <v/>
          </cell>
          <cell r="Q253" t="str">
            <v/>
          </cell>
          <cell r="R253" t="str">
            <v/>
          </cell>
          <cell r="T253" t="str">
            <v/>
          </cell>
          <cell r="U253"/>
          <cell r="V253"/>
          <cell r="X253"/>
        </row>
        <row r="254">
          <cell r="E254"/>
          <cell r="J254" t="str">
            <v/>
          </cell>
          <cell r="K254" t="str">
            <v/>
          </cell>
          <cell r="P254" t="str">
            <v/>
          </cell>
          <cell r="Q254" t="str">
            <v/>
          </cell>
          <cell r="R254" t="str">
            <v/>
          </cell>
          <cell r="T254" t="str">
            <v/>
          </cell>
          <cell r="U254"/>
          <cell r="V254"/>
          <cell r="X254"/>
        </row>
        <row r="255">
          <cell r="E255"/>
          <cell r="J255" t="str">
            <v/>
          </cell>
          <cell r="K255" t="str">
            <v/>
          </cell>
          <cell r="P255" t="str">
            <v/>
          </cell>
          <cell r="Q255" t="str">
            <v/>
          </cell>
          <cell r="R255" t="str">
            <v/>
          </cell>
          <cell r="T255" t="str">
            <v/>
          </cell>
          <cell r="U255"/>
          <cell r="V255"/>
          <cell r="X255"/>
        </row>
        <row r="256">
          <cell r="E256"/>
          <cell r="J256" t="str">
            <v/>
          </cell>
          <cell r="K256" t="str">
            <v/>
          </cell>
          <cell r="P256" t="str">
            <v/>
          </cell>
          <cell r="Q256" t="str">
            <v/>
          </cell>
          <cell r="R256" t="str">
            <v/>
          </cell>
          <cell r="T256" t="str">
            <v/>
          </cell>
          <cell r="U256"/>
          <cell r="V256"/>
          <cell r="X256"/>
        </row>
        <row r="257">
          <cell r="E257"/>
          <cell r="J257" t="str">
            <v/>
          </cell>
          <cell r="K257" t="str">
            <v/>
          </cell>
          <cell r="P257" t="str">
            <v/>
          </cell>
          <cell r="Q257" t="str">
            <v/>
          </cell>
          <cell r="R257" t="str">
            <v/>
          </cell>
          <cell r="T257" t="str">
            <v/>
          </cell>
          <cell r="U257"/>
          <cell r="V257"/>
          <cell r="X257"/>
        </row>
        <row r="258">
          <cell r="E258"/>
          <cell r="J258" t="str">
            <v/>
          </cell>
          <cell r="K258" t="str">
            <v/>
          </cell>
          <cell r="P258" t="str">
            <v/>
          </cell>
          <cell r="Q258" t="str">
            <v/>
          </cell>
          <cell r="R258" t="str">
            <v/>
          </cell>
          <cell r="T258" t="str">
            <v/>
          </cell>
          <cell r="U258"/>
          <cell r="V258"/>
          <cell r="X258"/>
        </row>
        <row r="259">
          <cell r="E259"/>
          <cell r="J259" t="str">
            <v/>
          </cell>
          <cell r="K259" t="str">
            <v/>
          </cell>
          <cell r="P259" t="str">
            <v/>
          </cell>
          <cell r="Q259" t="str">
            <v/>
          </cell>
          <cell r="R259" t="str">
            <v/>
          </cell>
          <cell r="T259" t="str">
            <v/>
          </cell>
          <cell r="U259"/>
          <cell r="V259"/>
          <cell r="X259"/>
        </row>
        <row r="260">
          <cell r="E260"/>
          <cell r="J260" t="str">
            <v/>
          </cell>
          <cell r="K260" t="str">
            <v/>
          </cell>
          <cell r="P260" t="str">
            <v/>
          </cell>
          <cell r="Q260" t="str">
            <v/>
          </cell>
          <cell r="R260" t="str">
            <v/>
          </cell>
          <cell r="T260" t="str">
            <v/>
          </cell>
          <cell r="U260"/>
          <cell r="V260"/>
          <cell r="X260"/>
        </row>
        <row r="261">
          <cell r="E261"/>
          <cell r="J261" t="str">
            <v/>
          </cell>
          <cell r="K261" t="str">
            <v/>
          </cell>
          <cell r="P261" t="str">
            <v/>
          </cell>
          <cell r="Q261" t="str">
            <v/>
          </cell>
          <cell r="R261" t="str">
            <v/>
          </cell>
          <cell r="T261" t="str">
            <v/>
          </cell>
          <cell r="U261"/>
          <cell r="V261"/>
          <cell r="X261"/>
        </row>
        <row r="262">
          <cell r="E262"/>
          <cell r="J262" t="str">
            <v/>
          </cell>
          <cell r="K262" t="str">
            <v/>
          </cell>
          <cell r="P262" t="str">
            <v/>
          </cell>
          <cell r="Q262" t="str">
            <v/>
          </cell>
          <cell r="R262" t="str">
            <v/>
          </cell>
          <cell r="T262" t="str">
            <v/>
          </cell>
          <cell r="U262"/>
          <cell r="V262"/>
          <cell r="X262"/>
        </row>
        <row r="263">
          <cell r="E263"/>
          <cell r="J263" t="str">
            <v/>
          </cell>
          <cell r="K263" t="str">
            <v/>
          </cell>
          <cell r="P263" t="str">
            <v/>
          </cell>
          <cell r="Q263" t="str">
            <v/>
          </cell>
          <cell r="R263" t="str">
            <v/>
          </cell>
          <cell r="T263" t="str">
            <v/>
          </cell>
          <cell r="U263"/>
          <cell r="V263"/>
          <cell r="X263"/>
        </row>
        <row r="264">
          <cell r="E264"/>
          <cell r="J264" t="str">
            <v/>
          </cell>
          <cell r="K264" t="str">
            <v/>
          </cell>
          <cell r="P264" t="str">
            <v/>
          </cell>
          <cell r="Q264" t="str">
            <v/>
          </cell>
          <cell r="R264" t="str">
            <v/>
          </cell>
          <cell r="T264" t="str">
            <v/>
          </cell>
          <cell r="U264"/>
          <cell r="V264"/>
          <cell r="X264"/>
        </row>
        <row r="265">
          <cell r="E265"/>
          <cell r="J265" t="str">
            <v/>
          </cell>
          <cell r="K265" t="str">
            <v/>
          </cell>
          <cell r="P265" t="str">
            <v/>
          </cell>
          <cell r="Q265" t="str">
            <v/>
          </cell>
          <cell r="R265" t="str">
            <v/>
          </cell>
          <cell r="T265" t="str">
            <v/>
          </cell>
          <cell r="U265"/>
          <cell r="V265"/>
          <cell r="X265"/>
        </row>
        <row r="266">
          <cell r="E266"/>
          <cell r="J266" t="str">
            <v/>
          </cell>
          <cell r="K266" t="str">
            <v/>
          </cell>
          <cell r="P266" t="str">
            <v/>
          </cell>
          <cell r="Q266" t="str">
            <v/>
          </cell>
          <cell r="R266" t="str">
            <v/>
          </cell>
          <cell r="T266" t="str">
            <v/>
          </cell>
          <cell r="U266"/>
          <cell r="V266"/>
          <cell r="X266"/>
        </row>
        <row r="267">
          <cell r="E267"/>
          <cell r="J267" t="str">
            <v/>
          </cell>
          <cell r="K267" t="str">
            <v/>
          </cell>
          <cell r="P267" t="str">
            <v/>
          </cell>
          <cell r="Q267" t="str">
            <v/>
          </cell>
          <cell r="R267" t="str">
            <v/>
          </cell>
          <cell r="T267" t="str">
            <v/>
          </cell>
          <cell r="U267"/>
          <cell r="V267"/>
          <cell r="X267"/>
        </row>
        <row r="268">
          <cell r="E268"/>
          <cell r="J268" t="str">
            <v/>
          </cell>
          <cell r="K268" t="str">
            <v/>
          </cell>
          <cell r="P268" t="str">
            <v/>
          </cell>
          <cell r="Q268" t="str">
            <v/>
          </cell>
          <cell r="R268" t="str">
            <v/>
          </cell>
          <cell r="T268" t="str">
            <v/>
          </cell>
          <cell r="U268"/>
          <cell r="V268"/>
          <cell r="X268"/>
        </row>
        <row r="269">
          <cell r="E269"/>
          <cell r="J269" t="str">
            <v/>
          </cell>
          <cell r="K269" t="str">
            <v/>
          </cell>
          <cell r="P269" t="str">
            <v/>
          </cell>
          <cell r="Q269" t="str">
            <v/>
          </cell>
          <cell r="R269" t="str">
            <v/>
          </cell>
          <cell r="T269" t="str">
            <v/>
          </cell>
          <cell r="U269"/>
          <cell r="V269"/>
          <cell r="X269"/>
        </row>
        <row r="270">
          <cell r="A270"/>
          <cell r="B270"/>
          <cell r="C270"/>
          <cell r="D270"/>
          <cell r="E270"/>
          <cell r="F270"/>
          <cell r="G270"/>
          <cell r="H270"/>
          <cell r="I270"/>
          <cell r="J270" t="str">
            <v/>
          </cell>
          <cell r="K270" t="str">
            <v/>
          </cell>
          <cell r="L270"/>
          <cell r="M270"/>
          <cell r="N270"/>
          <cell r="O270"/>
          <cell r="P270" t="str">
            <v/>
          </cell>
          <cell r="Q270" t="str">
            <v/>
          </cell>
          <cell r="R270" t="str">
            <v/>
          </cell>
          <cell r="S270"/>
          <cell r="T270" t="str">
            <v/>
          </cell>
          <cell r="U270"/>
          <cell r="V270"/>
          <cell r="W270"/>
          <cell r="X270"/>
        </row>
        <row r="271">
          <cell r="E271"/>
          <cell r="J271" t="str">
            <v/>
          </cell>
          <cell r="K271" t="str">
            <v/>
          </cell>
          <cell r="P271" t="str">
            <v/>
          </cell>
          <cell r="Q271" t="str">
            <v/>
          </cell>
          <cell r="R271" t="str">
            <v/>
          </cell>
          <cell r="T271" t="str">
            <v/>
          </cell>
          <cell r="U271"/>
          <cell r="V271"/>
          <cell r="X271"/>
        </row>
        <row r="272">
          <cell r="E272"/>
          <cell r="J272" t="str">
            <v/>
          </cell>
          <cell r="K272" t="str">
            <v/>
          </cell>
          <cell r="P272" t="str">
            <v/>
          </cell>
          <cell r="Q272" t="str">
            <v/>
          </cell>
          <cell r="R272" t="str">
            <v/>
          </cell>
          <cell r="T272" t="str">
            <v/>
          </cell>
          <cell r="U272"/>
          <cell r="V272"/>
          <cell r="X272"/>
        </row>
        <row r="273">
          <cell r="E273"/>
          <cell r="J273" t="str">
            <v/>
          </cell>
          <cell r="K273" t="str">
            <v/>
          </cell>
          <cell r="P273" t="str">
            <v/>
          </cell>
          <cell r="Q273" t="str">
            <v/>
          </cell>
          <cell r="R273" t="str">
            <v/>
          </cell>
          <cell r="T273" t="str">
            <v/>
          </cell>
          <cell r="U273"/>
          <cell r="V273"/>
          <cell r="X273"/>
        </row>
        <row r="274">
          <cell r="E274"/>
          <cell r="J274" t="str">
            <v/>
          </cell>
          <cell r="K274" t="str">
            <v/>
          </cell>
          <cell r="P274" t="str">
            <v/>
          </cell>
          <cell r="Q274" t="str">
            <v/>
          </cell>
          <cell r="R274" t="str">
            <v/>
          </cell>
          <cell r="T274" t="str">
            <v/>
          </cell>
          <cell r="U274"/>
          <cell r="V274"/>
          <cell r="X274"/>
        </row>
        <row r="275">
          <cell r="E275"/>
          <cell r="J275" t="str">
            <v/>
          </cell>
          <cell r="K275" t="str">
            <v/>
          </cell>
          <cell r="P275" t="str">
            <v/>
          </cell>
          <cell r="Q275" t="str">
            <v/>
          </cell>
          <cell r="R275" t="str">
            <v/>
          </cell>
          <cell r="T275" t="str">
            <v/>
          </cell>
          <cell r="U275"/>
          <cell r="V275"/>
          <cell r="X275"/>
        </row>
        <row r="276">
          <cell r="E276"/>
          <cell r="J276" t="str">
            <v/>
          </cell>
          <cell r="K276" t="str">
            <v/>
          </cell>
          <cell r="P276" t="str">
            <v/>
          </cell>
          <cell r="Q276" t="str">
            <v/>
          </cell>
          <cell r="R276" t="str">
            <v/>
          </cell>
          <cell r="T276" t="str">
            <v/>
          </cell>
          <cell r="U276"/>
          <cell r="V276"/>
          <cell r="X276"/>
        </row>
        <row r="277">
          <cell r="E277"/>
          <cell r="J277" t="str">
            <v/>
          </cell>
          <cell r="K277" t="str">
            <v/>
          </cell>
          <cell r="P277" t="str">
            <v/>
          </cell>
          <cell r="Q277" t="str">
            <v/>
          </cell>
          <cell r="R277" t="str">
            <v/>
          </cell>
          <cell r="T277" t="str">
            <v/>
          </cell>
          <cell r="U277"/>
          <cell r="V277"/>
          <cell r="X277"/>
        </row>
        <row r="278">
          <cell r="E278"/>
          <cell r="J278" t="str">
            <v/>
          </cell>
          <cell r="K278" t="str">
            <v/>
          </cell>
          <cell r="P278" t="str">
            <v/>
          </cell>
          <cell r="Q278" t="str">
            <v/>
          </cell>
          <cell r="R278" t="str">
            <v/>
          </cell>
          <cell r="T278" t="str">
            <v/>
          </cell>
          <cell r="U278"/>
          <cell r="V278"/>
          <cell r="X278"/>
        </row>
        <row r="279">
          <cell r="E279"/>
          <cell r="J279" t="str">
            <v/>
          </cell>
          <cell r="K279" t="str">
            <v/>
          </cell>
          <cell r="P279" t="str">
            <v/>
          </cell>
          <cell r="Q279" t="str">
            <v/>
          </cell>
          <cell r="R279" t="str">
            <v/>
          </cell>
          <cell r="T279" t="str">
            <v/>
          </cell>
          <cell r="U279"/>
          <cell r="V279"/>
          <cell r="X279"/>
        </row>
        <row r="280">
          <cell r="E280"/>
          <cell r="J280" t="str">
            <v/>
          </cell>
          <cell r="K280" t="str">
            <v/>
          </cell>
          <cell r="P280" t="str">
            <v/>
          </cell>
          <cell r="Q280" t="str">
            <v/>
          </cell>
          <cell r="R280" t="str">
            <v/>
          </cell>
          <cell r="T280" t="str">
            <v/>
          </cell>
          <cell r="U280"/>
          <cell r="V280"/>
          <cell r="X280"/>
        </row>
        <row r="281">
          <cell r="E281"/>
          <cell r="J281" t="str">
            <v/>
          </cell>
          <cell r="K281" t="str">
            <v/>
          </cell>
          <cell r="P281" t="str">
            <v/>
          </cell>
          <cell r="Q281" t="str">
            <v/>
          </cell>
          <cell r="R281" t="str">
            <v/>
          </cell>
          <cell r="T281" t="str">
            <v/>
          </cell>
          <cell r="U281"/>
          <cell r="V281"/>
          <cell r="X281"/>
        </row>
        <row r="282">
          <cell r="E282"/>
          <cell r="J282" t="str">
            <v/>
          </cell>
          <cell r="K282" t="str">
            <v/>
          </cell>
          <cell r="P282" t="str">
            <v/>
          </cell>
          <cell r="Q282" t="str">
            <v/>
          </cell>
          <cell r="R282" t="str">
            <v/>
          </cell>
          <cell r="T282" t="str">
            <v/>
          </cell>
          <cell r="U282"/>
          <cell r="V282"/>
          <cell r="X282"/>
        </row>
        <row r="283">
          <cell r="E283"/>
          <cell r="J283" t="str">
            <v/>
          </cell>
          <cell r="K283" t="str">
            <v/>
          </cell>
          <cell r="P283" t="str">
            <v/>
          </cell>
          <cell r="Q283" t="str">
            <v/>
          </cell>
          <cell r="R283" t="str">
            <v/>
          </cell>
          <cell r="T283" t="str">
            <v/>
          </cell>
          <cell r="U283"/>
          <cell r="V283"/>
          <cell r="X283"/>
        </row>
        <row r="284">
          <cell r="E284"/>
          <cell r="J284" t="str">
            <v/>
          </cell>
          <cell r="K284" t="str">
            <v/>
          </cell>
          <cell r="P284" t="str">
            <v/>
          </cell>
          <cell r="Q284" t="str">
            <v/>
          </cell>
          <cell r="R284" t="str">
            <v/>
          </cell>
          <cell r="T284" t="str">
            <v/>
          </cell>
          <cell r="U284"/>
          <cell r="V284"/>
          <cell r="X284"/>
        </row>
        <row r="285">
          <cell r="E285"/>
          <cell r="J285" t="str">
            <v/>
          </cell>
          <cell r="K285" t="str">
            <v/>
          </cell>
          <cell r="P285" t="str">
            <v/>
          </cell>
          <cell r="Q285" t="str">
            <v/>
          </cell>
          <cell r="R285" t="str">
            <v/>
          </cell>
          <cell r="T285" t="str">
            <v/>
          </cell>
          <cell r="U285"/>
          <cell r="V285"/>
          <cell r="X285"/>
        </row>
        <row r="286">
          <cell r="E286"/>
          <cell r="J286" t="str">
            <v/>
          </cell>
          <cell r="K286" t="str">
            <v/>
          </cell>
          <cell r="P286" t="str">
            <v/>
          </cell>
          <cell r="Q286" t="str">
            <v/>
          </cell>
          <cell r="R286" t="str">
            <v/>
          </cell>
          <cell r="T286" t="str">
            <v/>
          </cell>
          <cell r="U286"/>
          <cell r="V286"/>
          <cell r="X286"/>
        </row>
        <row r="287">
          <cell r="E287"/>
          <cell r="J287" t="str">
            <v/>
          </cell>
          <cell r="K287" t="str">
            <v/>
          </cell>
          <cell r="P287" t="str">
            <v/>
          </cell>
          <cell r="Q287" t="str">
            <v/>
          </cell>
          <cell r="R287" t="str">
            <v/>
          </cell>
          <cell r="T287" t="str">
            <v/>
          </cell>
          <cell r="U287"/>
          <cell r="V287"/>
          <cell r="X287"/>
        </row>
        <row r="288">
          <cell r="E288"/>
          <cell r="J288" t="str">
            <v/>
          </cell>
          <cell r="K288" t="str">
            <v/>
          </cell>
          <cell r="P288" t="str">
            <v/>
          </cell>
          <cell r="Q288" t="str">
            <v/>
          </cell>
          <cell r="R288" t="str">
            <v/>
          </cell>
          <cell r="T288" t="str">
            <v/>
          </cell>
          <cell r="U288"/>
          <cell r="V288"/>
          <cell r="X288"/>
        </row>
        <row r="289">
          <cell r="E289"/>
          <cell r="J289" t="str">
            <v/>
          </cell>
          <cell r="K289" t="str">
            <v/>
          </cell>
          <cell r="P289" t="str">
            <v/>
          </cell>
          <cell r="Q289" t="str">
            <v/>
          </cell>
          <cell r="R289" t="str">
            <v/>
          </cell>
          <cell r="T289" t="str">
            <v/>
          </cell>
          <cell r="U289"/>
          <cell r="V289"/>
          <cell r="X289"/>
        </row>
        <row r="290">
          <cell r="E290"/>
          <cell r="J290" t="str">
            <v/>
          </cell>
          <cell r="K290" t="str">
            <v/>
          </cell>
          <cell r="P290" t="str">
            <v/>
          </cell>
          <cell r="Q290" t="str">
            <v/>
          </cell>
          <cell r="R290" t="str">
            <v/>
          </cell>
          <cell r="T290" t="str">
            <v/>
          </cell>
          <cell r="U290"/>
          <cell r="V290"/>
          <cell r="X290"/>
        </row>
        <row r="291">
          <cell r="E291"/>
          <cell r="J291" t="str">
            <v/>
          </cell>
          <cell r="K291" t="str">
            <v/>
          </cell>
          <cell r="P291" t="str">
            <v/>
          </cell>
          <cell r="Q291" t="str">
            <v/>
          </cell>
          <cell r="R291" t="str">
            <v/>
          </cell>
          <cell r="T291" t="str">
            <v/>
          </cell>
          <cell r="U291"/>
          <cell r="V291"/>
          <cell r="X291"/>
        </row>
        <row r="292">
          <cell r="E292"/>
          <cell r="J292" t="str">
            <v/>
          </cell>
          <cell r="K292" t="str">
            <v/>
          </cell>
          <cell r="P292" t="str">
            <v/>
          </cell>
          <cell r="Q292" t="str">
            <v/>
          </cell>
          <cell r="R292" t="str">
            <v/>
          </cell>
          <cell r="T292" t="str">
            <v/>
          </cell>
          <cell r="U292"/>
          <cell r="V292"/>
          <cell r="X292"/>
        </row>
        <row r="293">
          <cell r="E293"/>
          <cell r="J293" t="str">
            <v/>
          </cell>
          <cell r="K293" t="str">
            <v/>
          </cell>
          <cell r="P293" t="str">
            <v/>
          </cell>
          <cell r="Q293" t="str">
            <v/>
          </cell>
          <cell r="R293" t="str">
            <v/>
          </cell>
          <cell r="T293" t="str">
            <v/>
          </cell>
          <cell r="U293"/>
          <cell r="V293"/>
          <cell r="X293"/>
        </row>
        <row r="294">
          <cell r="E294"/>
          <cell r="J294" t="str">
            <v/>
          </cell>
          <cell r="K294" t="str">
            <v/>
          </cell>
          <cell r="P294" t="str">
            <v/>
          </cell>
          <cell r="Q294" t="str">
            <v/>
          </cell>
          <cell r="R294" t="str">
            <v/>
          </cell>
          <cell r="T294" t="str">
            <v/>
          </cell>
          <cell r="U294"/>
          <cell r="V294"/>
          <cell r="X294"/>
        </row>
        <row r="295">
          <cell r="E295"/>
          <cell r="J295" t="str">
            <v/>
          </cell>
          <cell r="K295" t="str">
            <v/>
          </cell>
          <cell r="P295" t="str">
            <v/>
          </cell>
          <cell r="Q295" t="str">
            <v/>
          </cell>
          <cell r="R295" t="str">
            <v/>
          </cell>
          <cell r="T295" t="str">
            <v/>
          </cell>
          <cell r="U295"/>
          <cell r="V295"/>
          <cell r="X295"/>
        </row>
        <row r="296">
          <cell r="E296"/>
          <cell r="J296" t="str">
            <v/>
          </cell>
          <cell r="K296" t="str">
            <v/>
          </cell>
          <cell r="P296" t="str">
            <v/>
          </cell>
          <cell r="Q296" t="str">
            <v/>
          </cell>
          <cell r="R296" t="str">
            <v/>
          </cell>
          <cell r="T296" t="str">
            <v/>
          </cell>
          <cell r="U296"/>
          <cell r="V296"/>
          <cell r="X296"/>
        </row>
        <row r="297">
          <cell r="E297"/>
          <cell r="J297" t="str">
            <v/>
          </cell>
          <cell r="K297" t="str">
            <v/>
          </cell>
          <cell r="P297" t="str">
            <v/>
          </cell>
          <cell r="Q297" t="str">
            <v/>
          </cell>
          <cell r="R297" t="str">
            <v/>
          </cell>
          <cell r="T297" t="str">
            <v/>
          </cell>
          <cell r="U297"/>
          <cell r="V297"/>
          <cell r="X297"/>
        </row>
        <row r="298">
          <cell r="E298"/>
          <cell r="J298" t="str">
            <v/>
          </cell>
          <cell r="K298" t="str">
            <v/>
          </cell>
          <cell r="P298" t="str">
            <v/>
          </cell>
          <cell r="Q298" t="str">
            <v/>
          </cell>
          <cell r="R298" t="str">
            <v/>
          </cell>
          <cell r="T298" t="str">
            <v/>
          </cell>
          <cell r="U298"/>
          <cell r="V298"/>
          <cell r="X298"/>
        </row>
        <row r="299">
          <cell r="E299"/>
          <cell r="J299" t="str">
            <v/>
          </cell>
          <cell r="K299" t="str">
            <v/>
          </cell>
          <cell r="P299" t="str">
            <v/>
          </cell>
          <cell r="Q299" t="str">
            <v/>
          </cell>
          <cell r="R299" t="str">
            <v/>
          </cell>
          <cell r="T299" t="str">
            <v/>
          </cell>
          <cell r="U299"/>
          <cell r="V299"/>
          <cell r="X299"/>
        </row>
        <row r="300">
          <cell r="E300"/>
          <cell r="J300" t="str">
            <v/>
          </cell>
          <cell r="K300" t="str">
            <v/>
          </cell>
          <cell r="P300" t="str">
            <v/>
          </cell>
          <cell r="Q300" t="str">
            <v/>
          </cell>
          <cell r="R300" t="str">
            <v/>
          </cell>
          <cell r="T300" t="str">
            <v/>
          </cell>
          <cell r="U300"/>
          <cell r="V300"/>
          <cell r="X300"/>
        </row>
        <row r="301">
          <cell r="E301"/>
          <cell r="J301" t="str">
            <v/>
          </cell>
          <cell r="K301" t="str">
            <v/>
          </cell>
          <cell r="P301" t="str">
            <v/>
          </cell>
          <cell r="Q301" t="str">
            <v/>
          </cell>
          <cell r="R301" t="str">
            <v/>
          </cell>
          <cell r="T301" t="str">
            <v/>
          </cell>
          <cell r="U301"/>
          <cell r="V301"/>
          <cell r="X301"/>
        </row>
        <row r="302">
          <cell r="E302"/>
          <cell r="J302" t="str">
            <v/>
          </cell>
          <cell r="K302" t="str">
            <v/>
          </cell>
          <cell r="P302" t="str">
            <v/>
          </cell>
          <cell r="Q302" t="str">
            <v/>
          </cell>
          <cell r="R302" t="str">
            <v/>
          </cell>
          <cell r="T302" t="str">
            <v/>
          </cell>
          <cell r="U302"/>
          <cell r="V302"/>
          <cell r="X302"/>
        </row>
        <row r="303">
          <cell r="E303"/>
          <cell r="J303" t="str">
            <v/>
          </cell>
          <cell r="K303" t="str">
            <v/>
          </cell>
          <cell r="P303" t="str">
            <v/>
          </cell>
          <cell r="Q303" t="str">
            <v/>
          </cell>
          <cell r="R303" t="str">
            <v/>
          </cell>
          <cell r="T303" t="str">
            <v/>
          </cell>
          <cell r="U303"/>
          <cell r="V303"/>
          <cell r="X303"/>
        </row>
        <row r="304">
          <cell r="E304"/>
          <cell r="J304" t="str">
            <v/>
          </cell>
          <cell r="K304" t="str">
            <v/>
          </cell>
          <cell r="P304" t="str">
            <v/>
          </cell>
          <cell r="Q304" t="str">
            <v/>
          </cell>
          <cell r="R304" t="str">
            <v/>
          </cell>
          <cell r="T304" t="str">
            <v/>
          </cell>
          <cell r="U304"/>
          <cell r="V304"/>
          <cell r="X304"/>
        </row>
        <row r="305">
          <cell r="A305"/>
          <cell r="B305"/>
          <cell r="C305"/>
          <cell r="D305"/>
          <cell r="E305"/>
          <cell r="F305"/>
          <cell r="G305"/>
          <cell r="H305"/>
          <cell r="I305"/>
          <cell r="J305" t="str">
            <v/>
          </cell>
          <cell r="K305" t="str">
            <v/>
          </cell>
          <cell r="L305"/>
          <cell r="M305"/>
          <cell r="N305"/>
          <cell r="O305"/>
          <cell r="P305" t="str">
            <v/>
          </cell>
          <cell r="Q305" t="str">
            <v/>
          </cell>
          <cell r="R305" t="str">
            <v/>
          </cell>
          <cell r="S305"/>
          <cell r="T305" t="str">
            <v/>
          </cell>
          <cell r="U305"/>
          <cell r="V305"/>
          <cell r="W305"/>
          <cell r="X305"/>
        </row>
        <row r="306">
          <cell r="E306"/>
          <cell r="J306" t="str">
            <v/>
          </cell>
          <cell r="K306" t="str">
            <v/>
          </cell>
          <cell r="P306" t="str">
            <v/>
          </cell>
          <cell r="Q306" t="str">
            <v/>
          </cell>
          <cell r="R306" t="str">
            <v/>
          </cell>
          <cell r="T306" t="str">
            <v/>
          </cell>
          <cell r="U306"/>
          <cell r="V306"/>
          <cell r="X306"/>
        </row>
      </sheetData>
      <sheetData sheetId="6">
        <row r="401">
          <cell r="K401" t="str">
            <v>ALLOY PLANING</v>
          </cell>
        </row>
        <row r="402">
          <cell r="K402" t="str">
            <v>BALL</v>
          </cell>
          <cell r="L402"/>
          <cell r="M402"/>
          <cell r="N402" t="str">
            <v>LD DT</v>
          </cell>
        </row>
        <row r="403">
          <cell r="K403">
            <v>46216</v>
          </cell>
          <cell r="L403">
            <v>15</v>
          </cell>
          <cell r="M403"/>
          <cell r="N403"/>
        </row>
        <row r="404">
          <cell r="K404"/>
          <cell r="L404">
            <v>15</v>
          </cell>
          <cell r="M404"/>
          <cell r="N404"/>
        </row>
        <row r="405">
          <cell r="K405"/>
          <cell r="L405"/>
          <cell r="M405"/>
          <cell r="N405"/>
        </row>
        <row r="406">
          <cell r="K406"/>
        </row>
        <row r="407">
          <cell r="K407"/>
          <cell r="L407">
            <v>16.5</v>
          </cell>
          <cell r="N407"/>
        </row>
        <row r="408">
          <cell r="K408"/>
          <cell r="L408">
            <v>16.5</v>
          </cell>
          <cell r="N408"/>
        </row>
        <row r="409">
          <cell r="K409"/>
          <cell r="L409">
            <v>16.5</v>
          </cell>
          <cell r="N409"/>
        </row>
        <row r="410">
          <cell r="K410"/>
          <cell r="L410">
            <v>9</v>
          </cell>
          <cell r="N410"/>
        </row>
        <row r="411">
          <cell r="K411"/>
          <cell r="L411">
            <v>9</v>
          </cell>
          <cell r="N411"/>
        </row>
        <row r="412">
          <cell r="K412"/>
          <cell r="L412">
            <v>10</v>
          </cell>
          <cell r="N412"/>
        </row>
        <row r="413">
          <cell r="K413"/>
          <cell r="L413">
            <v>11</v>
          </cell>
          <cell r="N413"/>
        </row>
        <row r="414">
          <cell r="K414"/>
          <cell r="L414">
            <v>11</v>
          </cell>
          <cell r="N414"/>
        </row>
        <row r="415">
          <cell r="K415"/>
          <cell r="L415"/>
          <cell r="M415"/>
          <cell r="N415"/>
        </row>
        <row r="416">
          <cell r="K416"/>
          <cell r="L416"/>
          <cell r="M416"/>
          <cell r="N416"/>
        </row>
        <row r="417">
          <cell r="K417"/>
          <cell r="L417"/>
          <cell r="M417"/>
          <cell r="N417"/>
        </row>
        <row r="418">
          <cell r="K418"/>
          <cell r="L418"/>
          <cell r="M418"/>
          <cell r="N418"/>
        </row>
        <row r="419">
          <cell r="K419"/>
          <cell r="L419"/>
          <cell r="M419"/>
          <cell r="N419"/>
        </row>
        <row r="420">
          <cell r="K420"/>
          <cell r="L420"/>
          <cell r="M420"/>
          <cell r="N420"/>
        </row>
        <row r="421">
          <cell r="K421"/>
          <cell r="L421"/>
          <cell r="M421"/>
          <cell r="N421"/>
        </row>
        <row r="422">
          <cell r="K422"/>
          <cell r="L422"/>
          <cell r="M422"/>
          <cell r="N422"/>
        </row>
      </sheetData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C0BDAD-D321-4963-8F46-61C87F5B2FB5}" name="TableDispatch" displayName="TableDispatch" ref="A2:AA129" totalsRowShown="0" headerRowDxfId="29" dataDxfId="28">
  <autoFilter ref="A2:AA129" xr:uid="{E3C0BDAD-D321-4963-8F46-61C87F5B2FB5}"/>
  <tableColumns count="27">
    <tableColumn id="1" xr3:uid="{BF3948B9-7B9B-4BF4-988F-02AC8C6A1777}" name="Mth" dataDxfId="27"/>
    <tableColumn id="2" xr3:uid="{F3EBC488-2C10-43DE-A6AF-1484AEB0D431}" name="Date" dataDxfId="26"/>
    <tableColumn id="3" xr3:uid="{9A8586CF-6C0C-4F60-A0B2-8FC3E0331B7D}" name="Ch No." dataDxfId="25"/>
    <tableColumn id="4" xr3:uid="{C491A1FB-5425-474D-9B77-A18A68A252FD}" name="Load No." dataDxfId="24"/>
    <tableColumn id="5" xr3:uid="{EB0B1385-AE27-4DF1-A004-EF0F5772BA88}" name="Fc No" dataDxfId="23"/>
    <tableColumn id="6" xr3:uid="{6841CE70-30FD-4A47-8F1F-83E062C66CF4}" name="Party" dataDxfId="22"/>
    <tableColumn id="7" xr3:uid="{3CD39099-BAD4-4B2E-A8B5-0336A2678DD6}" name="Size" dataDxfId="21"/>
    <tableColumn id="8" xr3:uid="{CE63D1A1-1A07-42A0-BE4F-6529E76827D8}" name="Mat" dataDxfId="20"/>
    <tableColumn id="9" xr3:uid="{5FA17774-011D-4FE8-AEFC-2590B96E41AB}" name="Uniq Id" dataDxfId="19"/>
    <tableColumn id="10" xr3:uid="{7C8A5075-5B32-4DCF-82C3-738C7ED6F28D}" name="Wgt /Pc" dataDxfId="18"/>
    <tableColumn id="11" xr3:uid="{A5A06E44-3E51-4750-A943-2070D2DC4E27}" name="Co." dataDxfId="17"/>
    <tableColumn id="12" xr3:uid="{83DBB181-F79D-4955-ABEE-953A55DD2B71}" name="HEAT NO" dataDxfId="16"/>
    <tableColumn id="13" xr3:uid="{071583FE-239B-4A6E-BB37-95102D61D760}" name="HRB" dataDxfId="15"/>
    <tableColumn id="14" xr3:uid="{B13D2FBF-5B74-4892-8B74-DDE96A343726}" name="Delivery Date" dataDxfId="14"/>
    <tableColumn id="15" xr3:uid="{F29C2720-5EB2-413E-823D-B3B348BA67E6}" name="Our Ch No." dataDxfId="13"/>
    <tableColumn id="16" xr3:uid="{CE69A74C-7768-4780-BDBB-C3C726C7D245}" name="Material Value" dataDxfId="12"/>
    <tableColumn id="17" xr3:uid="{B24FB43D-1082-4BD8-9591-4487C89D0E53}" name="Jobwork Value" dataDxfId="11"/>
    <tableColumn id="18" xr3:uid="{9BE5794D-96E7-46E1-84A7-3A4A9BD0647C}" name="Eway Bill Out" dataDxfId="10"/>
    <tableColumn id="19" xr3:uid="{3EB985D3-FFB6-4ABE-9AF3-AD06D12D1375}" name="Anku" dataDxfId="9"/>
    <tableColumn id="20" xr3:uid="{412577B5-5BE5-4624-A778-8617F970BBA0}" name="SAMPLE DATE" dataDxfId="8">
      <calculatedColumnFormula>VLOOKUP($I3,Inward,22,0)</calculatedColumnFormula>
    </tableColumn>
    <tableColumn id="21" xr3:uid="{141B0960-DE19-49ED-AF13-E88FC1E06B45}" name="DECARB" dataDxfId="7">
      <calculatedColumnFormula>VLOOKUP($I3,Inward,23,0)</calculatedColumnFormula>
    </tableColumn>
    <tableColumn id="22" xr3:uid="{2092739A-6FE9-4D65-899C-DDA3C00DC0AE}" name="Rate" dataDxfId="6"/>
    <tableColumn id="23" xr3:uid="{AD331271-16E2-4947-9FA1-1EDD6FBD2839}" name="Bhadu" dataDxfId="5"/>
    <tableColumn id="24" xr3:uid="{1B7B564D-E3C9-427C-927D-716363FD6A3F}" name="AMOUNT" dataDxfId="4"/>
    <tableColumn id="25" xr3:uid="{E9148E59-4685-451A-B320-0F669C0DCDF2}" name="Bill No" dataDxfId="3"/>
    <tableColumn id="26" xr3:uid="{E69C1AB0-CC96-41C4-BE09-2E42E5D0DBF0}" name="Column1" dataDxfId="2"/>
    <tableColumn id="27" xr3:uid="{8FAB472E-D4B0-4543-9608-DDD432A8C92F}" name="Column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purchase@skasteel.com" TargetMode="Externa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mailto:steelhouse.r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.xml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B3:M38"/>
  <sheetViews>
    <sheetView topLeftCell="A10" zoomScale="85" zoomScaleNormal="85" workbookViewId="0">
      <selection activeCell="D20" sqref="D20"/>
    </sheetView>
  </sheetViews>
  <sheetFormatPr defaultRowHeight="15" x14ac:dyDescent="0.25"/>
  <cols>
    <col min="4" max="4" width="28.42578125" customWidth="1"/>
  </cols>
  <sheetData>
    <row r="3" spans="2:13" x14ac:dyDescent="0.25">
      <c r="C3" s="220">
        <v>32</v>
      </c>
      <c r="D3" s="86" t="s">
        <v>0</v>
      </c>
      <c r="E3" s="86" t="s">
        <v>1</v>
      </c>
      <c r="F3" s="86" t="s">
        <v>2</v>
      </c>
    </row>
    <row r="4" spans="2:13" x14ac:dyDescent="0.25">
      <c r="C4" s="220">
        <v>33</v>
      </c>
      <c r="D4" s="86" t="s">
        <v>3</v>
      </c>
      <c r="E4" s="86" t="s">
        <v>4</v>
      </c>
      <c r="F4" s="86"/>
      <c r="I4" t="s">
        <v>5</v>
      </c>
      <c r="J4">
        <v>3</v>
      </c>
      <c r="K4">
        <v>6</v>
      </c>
    </row>
    <row r="5" spans="2:13" x14ac:dyDescent="0.25">
      <c r="C5" s="220">
        <v>34</v>
      </c>
      <c r="D5" s="86" t="s">
        <v>6</v>
      </c>
      <c r="E5" s="86" t="s">
        <v>7</v>
      </c>
      <c r="F5" s="86" t="s">
        <v>8</v>
      </c>
      <c r="I5" s="86" t="s">
        <v>9</v>
      </c>
      <c r="J5">
        <v>2</v>
      </c>
      <c r="K5">
        <v>3</v>
      </c>
    </row>
    <row r="6" spans="2:13" x14ac:dyDescent="0.25">
      <c r="B6" t="s">
        <v>10</v>
      </c>
      <c r="C6" s="220">
        <v>35</v>
      </c>
      <c r="D6" s="86" t="s">
        <v>11</v>
      </c>
      <c r="E6" s="86" t="s">
        <v>12</v>
      </c>
      <c r="F6" s="86" t="s">
        <v>13</v>
      </c>
      <c r="I6" s="86" t="s">
        <v>14</v>
      </c>
      <c r="J6">
        <v>1</v>
      </c>
      <c r="K6">
        <v>2</v>
      </c>
      <c r="M6">
        <v>100</v>
      </c>
    </row>
    <row r="7" spans="2:13" x14ac:dyDescent="0.25">
      <c r="C7" s="220">
        <v>39</v>
      </c>
      <c r="D7" s="86" t="s">
        <v>15</v>
      </c>
      <c r="E7" s="86" t="s">
        <v>16</v>
      </c>
      <c r="F7" s="86" t="s">
        <v>17</v>
      </c>
      <c r="I7" s="86" t="s">
        <v>18</v>
      </c>
      <c r="J7">
        <v>1</v>
      </c>
      <c r="K7">
        <v>2</v>
      </c>
      <c r="M7">
        <v>-31</v>
      </c>
    </row>
    <row r="8" spans="2:13" x14ac:dyDescent="0.25">
      <c r="B8" s="109" t="s">
        <v>19</v>
      </c>
      <c r="C8" s="220">
        <v>40</v>
      </c>
      <c r="D8" s="86" t="s">
        <v>20</v>
      </c>
      <c r="E8" s="86" t="s">
        <v>21</v>
      </c>
      <c r="F8" s="86"/>
      <c r="I8" s="86" t="s">
        <v>22</v>
      </c>
      <c r="J8">
        <v>3</v>
      </c>
      <c r="K8">
        <v>5</v>
      </c>
      <c r="M8">
        <f>SUM(M6:M7)</f>
        <v>69</v>
      </c>
    </row>
    <row r="9" spans="2:13" x14ac:dyDescent="0.25">
      <c r="B9" t="s">
        <v>23</v>
      </c>
      <c r="C9" s="220">
        <v>43</v>
      </c>
      <c r="D9" s="86" t="s">
        <v>24</v>
      </c>
      <c r="E9" s="86" t="s">
        <v>25</v>
      </c>
      <c r="F9" s="86"/>
      <c r="I9" s="86" t="s">
        <v>26</v>
      </c>
      <c r="J9">
        <v>1</v>
      </c>
      <c r="K9">
        <v>2</v>
      </c>
    </row>
    <row r="10" spans="2:13" x14ac:dyDescent="0.25">
      <c r="B10" t="s">
        <v>27</v>
      </c>
      <c r="C10" s="220">
        <v>46</v>
      </c>
      <c r="D10" s="86" t="s">
        <v>28</v>
      </c>
      <c r="E10" s="86" t="s">
        <v>29</v>
      </c>
      <c r="F10" s="86" t="s">
        <v>30</v>
      </c>
      <c r="I10" s="86" t="s">
        <v>31</v>
      </c>
      <c r="J10">
        <v>2</v>
      </c>
      <c r="K10">
        <v>3</v>
      </c>
    </row>
    <row r="11" spans="2:13" x14ac:dyDescent="0.25">
      <c r="C11" s="220">
        <v>47</v>
      </c>
      <c r="D11" s="86" t="s">
        <v>32</v>
      </c>
      <c r="E11" s="86" t="s">
        <v>33</v>
      </c>
      <c r="F11" s="86"/>
      <c r="I11" s="86"/>
    </row>
    <row r="12" spans="2:13" x14ac:dyDescent="0.25">
      <c r="C12" s="220">
        <v>49</v>
      </c>
      <c r="D12" s="86" t="s">
        <v>34</v>
      </c>
      <c r="E12" s="86" t="s">
        <v>35</v>
      </c>
      <c r="F12" s="86" t="s">
        <v>36</v>
      </c>
      <c r="I12" s="86" t="s">
        <v>37</v>
      </c>
      <c r="J12">
        <v>1</v>
      </c>
      <c r="K12">
        <v>3</v>
      </c>
    </row>
    <row r="13" spans="2:13" x14ac:dyDescent="0.25">
      <c r="C13" s="220">
        <v>50</v>
      </c>
      <c r="D13" s="86" t="s">
        <v>38</v>
      </c>
      <c r="E13" s="86" t="s">
        <v>39</v>
      </c>
      <c r="F13" s="86"/>
      <c r="I13" s="86" t="s">
        <v>40</v>
      </c>
      <c r="J13">
        <v>1</v>
      </c>
      <c r="K13">
        <v>2</v>
      </c>
    </row>
    <row r="14" spans="2:13" x14ac:dyDescent="0.25">
      <c r="B14" t="s">
        <v>41</v>
      </c>
      <c r="C14" s="220">
        <v>51</v>
      </c>
      <c r="D14" s="86" t="s">
        <v>42</v>
      </c>
      <c r="E14" s="86" t="s">
        <v>43</v>
      </c>
      <c r="F14" s="86" t="s">
        <v>44</v>
      </c>
      <c r="I14" s="86" t="s">
        <v>45</v>
      </c>
      <c r="J14">
        <v>5</v>
      </c>
      <c r="K14">
        <v>7</v>
      </c>
    </row>
    <row r="15" spans="2:13" x14ac:dyDescent="0.25">
      <c r="B15" t="s">
        <v>46</v>
      </c>
      <c r="C15" s="220">
        <v>55</v>
      </c>
      <c r="D15" s="86" t="s">
        <v>47</v>
      </c>
      <c r="E15" s="86" t="s">
        <v>48</v>
      </c>
      <c r="F15" s="86" t="s">
        <v>49</v>
      </c>
      <c r="I15" s="86" t="s">
        <v>50</v>
      </c>
      <c r="J15">
        <v>2</v>
      </c>
      <c r="K15">
        <v>3</v>
      </c>
    </row>
    <row r="16" spans="2:13" x14ac:dyDescent="0.25">
      <c r="C16" s="220">
        <v>59</v>
      </c>
      <c r="D16" s="86" t="s">
        <v>51</v>
      </c>
      <c r="E16" s="86" t="s">
        <v>52</v>
      </c>
      <c r="F16" s="86" t="s">
        <v>53</v>
      </c>
      <c r="I16" s="86" t="s">
        <v>54</v>
      </c>
      <c r="J16">
        <v>10</v>
      </c>
      <c r="K16">
        <v>15</v>
      </c>
    </row>
    <row r="17" spans="2:11" x14ac:dyDescent="0.25">
      <c r="B17" t="s">
        <v>55</v>
      </c>
      <c r="C17" s="220">
        <v>60</v>
      </c>
      <c r="D17" s="86" t="s">
        <v>56</v>
      </c>
      <c r="E17" s="86" t="s">
        <v>57</v>
      </c>
      <c r="F17" s="86" t="s">
        <v>58</v>
      </c>
      <c r="J17">
        <v>1</v>
      </c>
    </row>
    <row r="18" spans="2:11" x14ac:dyDescent="0.25">
      <c r="B18" t="s">
        <v>59</v>
      </c>
      <c r="C18" s="220">
        <v>64</v>
      </c>
      <c r="D18" s="86" t="s">
        <v>60</v>
      </c>
      <c r="E18" s="86" t="s">
        <v>61</v>
      </c>
      <c r="F18" s="86" t="s">
        <v>62</v>
      </c>
      <c r="J18">
        <f>SUM(J4:J17)</f>
        <v>33</v>
      </c>
      <c r="K18">
        <f>SUM(K4:K17)</f>
        <v>53</v>
      </c>
    </row>
    <row r="19" spans="2:11" x14ac:dyDescent="0.25">
      <c r="B19" t="s">
        <v>63</v>
      </c>
      <c r="C19" s="220">
        <v>67</v>
      </c>
      <c r="D19" s="86" t="s">
        <v>64</v>
      </c>
      <c r="E19" s="86" t="s">
        <v>65</v>
      </c>
      <c r="F19" s="86" t="s">
        <v>66</v>
      </c>
    </row>
    <row r="20" spans="2:11" x14ac:dyDescent="0.25">
      <c r="C20" s="220">
        <v>70</v>
      </c>
      <c r="D20" s="86" t="s">
        <v>67</v>
      </c>
      <c r="E20" s="86" t="s">
        <v>68</v>
      </c>
      <c r="F20" s="86" t="s">
        <v>69</v>
      </c>
    </row>
    <row r="21" spans="2:11" x14ac:dyDescent="0.25">
      <c r="C21" s="68">
        <v>71</v>
      </c>
      <c r="D21" s="86" t="s">
        <v>70</v>
      </c>
      <c r="E21" s="86" t="s">
        <v>71</v>
      </c>
      <c r="F21" s="86" t="s">
        <v>72</v>
      </c>
    </row>
    <row r="22" spans="2:11" x14ac:dyDescent="0.25">
      <c r="C22" s="220">
        <v>72</v>
      </c>
      <c r="D22" s="86" t="s">
        <v>73</v>
      </c>
      <c r="E22" s="86" t="s">
        <v>74</v>
      </c>
      <c r="F22" s="86" t="s">
        <v>75</v>
      </c>
    </row>
    <row r="23" spans="2:11" x14ac:dyDescent="0.25">
      <c r="C23" s="220">
        <v>73</v>
      </c>
      <c r="D23" s="86" t="s">
        <v>76</v>
      </c>
      <c r="E23" s="86" t="s">
        <v>77</v>
      </c>
      <c r="F23" s="86"/>
    </row>
    <row r="24" spans="2:11" x14ac:dyDescent="0.25">
      <c r="B24" t="s">
        <v>78</v>
      </c>
      <c r="C24" s="220">
        <v>74</v>
      </c>
      <c r="D24" s="86" t="s">
        <v>79</v>
      </c>
      <c r="E24" s="86" t="s">
        <v>80</v>
      </c>
      <c r="F24" s="86" t="s">
        <v>81</v>
      </c>
    </row>
    <row r="25" spans="2:11" x14ac:dyDescent="0.25">
      <c r="C25" s="220">
        <v>78</v>
      </c>
      <c r="D25" s="86" t="s">
        <v>82</v>
      </c>
      <c r="E25" s="86" t="s">
        <v>83</v>
      </c>
      <c r="F25" s="86"/>
    </row>
    <row r="26" spans="2:11" x14ac:dyDescent="0.25">
      <c r="B26" t="s">
        <v>84</v>
      </c>
      <c r="C26" s="220">
        <v>79</v>
      </c>
      <c r="D26" s="86" t="s">
        <v>85</v>
      </c>
      <c r="E26" s="86" t="s">
        <v>86</v>
      </c>
      <c r="F26" s="86" t="s">
        <v>87</v>
      </c>
    </row>
    <row r="27" spans="2:11" x14ac:dyDescent="0.25">
      <c r="C27" s="220">
        <v>82</v>
      </c>
      <c r="D27" s="86" t="s">
        <v>88</v>
      </c>
      <c r="E27" s="86" t="s">
        <v>89</v>
      </c>
      <c r="F27" s="86" t="s">
        <v>90</v>
      </c>
    </row>
    <row r="28" spans="2:11" x14ac:dyDescent="0.25">
      <c r="C28" s="220">
        <v>83</v>
      </c>
      <c r="D28" s="86" t="s">
        <v>91</v>
      </c>
      <c r="E28" s="86" t="s">
        <v>92</v>
      </c>
      <c r="F28" s="86" t="s">
        <v>93</v>
      </c>
    </row>
    <row r="29" spans="2:11" x14ac:dyDescent="0.25">
      <c r="C29" s="220">
        <v>84</v>
      </c>
      <c r="D29" s="86" t="s">
        <v>94</v>
      </c>
      <c r="E29" s="86" t="s">
        <v>95</v>
      </c>
      <c r="F29" s="86" t="s">
        <v>96</v>
      </c>
    </row>
    <row r="30" spans="2:11" x14ac:dyDescent="0.25">
      <c r="C30" s="68"/>
      <c r="D30" s="86"/>
      <c r="E30" s="86" t="s">
        <v>97</v>
      </c>
      <c r="F30" s="86" t="s">
        <v>97</v>
      </c>
    </row>
    <row r="31" spans="2:11" x14ac:dyDescent="0.25">
      <c r="C31" s="4">
        <v>85</v>
      </c>
      <c r="D31" t="s">
        <v>98</v>
      </c>
      <c r="E31" s="4" t="s">
        <v>99</v>
      </c>
      <c r="F31" t="s">
        <v>100</v>
      </c>
    </row>
    <row r="32" spans="2:11" x14ac:dyDescent="0.25">
      <c r="C32" s="68">
        <v>86</v>
      </c>
      <c r="D32" s="86" t="s">
        <v>101</v>
      </c>
      <c r="E32" s="86" t="s">
        <v>102</v>
      </c>
      <c r="F32" s="86" t="s">
        <v>103</v>
      </c>
    </row>
    <row r="33" spans="3:6" x14ac:dyDescent="0.25">
      <c r="C33" s="68">
        <v>87</v>
      </c>
      <c r="D33" s="86" t="s">
        <v>104</v>
      </c>
      <c r="E33" s="86" t="s">
        <v>105</v>
      </c>
      <c r="F33" s="86" t="s">
        <v>106</v>
      </c>
    </row>
    <row r="34" spans="3:6" x14ac:dyDescent="0.25">
      <c r="C34" s="68">
        <v>88</v>
      </c>
      <c r="D34" s="86" t="s">
        <v>107</v>
      </c>
      <c r="E34" s="86" t="s">
        <v>108</v>
      </c>
      <c r="F34" s="86" t="s">
        <v>109</v>
      </c>
    </row>
    <row r="35" spans="3:6" x14ac:dyDescent="0.25">
      <c r="C35" s="68">
        <v>89</v>
      </c>
      <c r="D35" s="86" t="s">
        <v>110</v>
      </c>
      <c r="E35" s="86"/>
      <c r="F35" s="86" t="s">
        <v>111</v>
      </c>
    </row>
    <row r="36" spans="3:6" x14ac:dyDescent="0.25">
      <c r="C36" s="68">
        <v>90</v>
      </c>
      <c r="D36" s="86" t="s">
        <v>112</v>
      </c>
      <c r="E36" s="86" t="s">
        <v>113</v>
      </c>
      <c r="F36" s="86"/>
    </row>
    <row r="37" spans="3:6" x14ac:dyDescent="0.25">
      <c r="C37" s="68"/>
      <c r="D37" s="86" t="s">
        <v>114</v>
      </c>
      <c r="E37" s="86" t="s">
        <v>115</v>
      </c>
      <c r="F37" s="86" t="s">
        <v>116</v>
      </c>
    </row>
    <row r="38" spans="3:6" x14ac:dyDescent="0.25">
      <c r="C38" s="86"/>
      <c r="D38" s="86"/>
      <c r="E38" s="86"/>
      <c r="F38" s="86"/>
    </row>
  </sheetData>
  <sortState xmlns:xlrd2="http://schemas.microsoft.com/office/spreadsheetml/2017/richdata2" ref="C4:F37">
    <sortCondition ref="D3"/>
  </sortState>
  <pageMargins left="0.7" right="0.7" top="0.75" bottom="0.75" header="0.3" footer="0.3"/>
  <pageSetup paperSize="9" orientation="portrait" horizontalDpi="4294967293" r:id="rId1"/>
  <headerFooter>
    <oddFooter>&amp;L_x000D_&amp;1#&amp;"Calibri"&amp;8&amp;K000000 Classified as 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  <pageSetUpPr fitToPage="1"/>
  </sheetPr>
  <dimension ref="A1:T1271"/>
  <sheetViews>
    <sheetView zoomScale="90" zoomScaleNormal="90" workbookViewId="0">
      <pane xSplit="1" ySplit="2" topLeftCell="B35" activePane="bottomRight" state="frozen"/>
      <selection pane="topRight" activeCell="D5" sqref="D5"/>
      <selection pane="bottomLeft" activeCell="D5" sqref="D5"/>
      <selection pane="bottomRight" activeCell="H38" sqref="H38"/>
    </sheetView>
  </sheetViews>
  <sheetFormatPr defaultRowHeight="15" x14ac:dyDescent="0.25"/>
  <cols>
    <col min="1" max="2" width="5.42578125" style="4" customWidth="1"/>
    <col min="3" max="3" width="7.42578125" style="4" customWidth="1"/>
    <col min="4" max="4" width="8.42578125" style="4" customWidth="1"/>
    <col min="5" max="5" width="8.42578125" style="99" customWidth="1"/>
    <col min="6" max="6" width="6.42578125" style="4" customWidth="1"/>
    <col min="7" max="7" width="9" style="4" customWidth="1"/>
    <col min="8" max="8" width="15.42578125" style="109" customWidth="1"/>
    <col min="9" max="9" width="6.42578125" customWidth="1"/>
    <col min="10" max="10" width="13.42578125" customWidth="1"/>
    <col min="11" max="11" width="9.42578125" bestFit="1" customWidth="1"/>
    <col min="12" max="12" width="12.42578125" customWidth="1"/>
    <col min="13" max="13" width="8.42578125" customWidth="1"/>
    <col min="14" max="14" width="8.42578125" style="4" customWidth="1"/>
    <col min="15" max="15" width="17.42578125" style="109" customWidth="1"/>
    <col min="16" max="16" width="8.42578125" customWidth="1"/>
    <col min="17" max="17" width="8.42578125" style="4" customWidth="1"/>
    <col min="18" max="18" width="12.42578125" customWidth="1"/>
    <col min="19" max="19" width="8.42578125" customWidth="1"/>
    <col min="20" max="20" width="9.42578125" bestFit="1" customWidth="1"/>
    <col min="21" max="21" width="17.42578125" customWidth="1"/>
    <col min="22" max="22" width="16" customWidth="1"/>
  </cols>
  <sheetData>
    <row r="1" spans="1:20" ht="18.75" x14ac:dyDescent="0.3">
      <c r="E1" s="184" t="s">
        <v>117</v>
      </c>
    </row>
    <row r="2" spans="1:20" s="95" customFormat="1" ht="30" customHeight="1" x14ac:dyDescent="0.25">
      <c r="A2" s="94" t="s">
        <v>118</v>
      </c>
      <c r="B2" s="92" t="s">
        <v>119</v>
      </c>
      <c r="C2" s="92" t="s">
        <v>120</v>
      </c>
      <c r="D2" s="92" t="s">
        <v>121</v>
      </c>
      <c r="E2" s="185" t="s">
        <v>122</v>
      </c>
      <c r="F2" s="92" t="s">
        <v>123</v>
      </c>
      <c r="G2" s="92" t="s">
        <v>124</v>
      </c>
      <c r="H2" s="178" t="s">
        <v>125</v>
      </c>
      <c r="I2" s="92" t="s">
        <v>126</v>
      </c>
      <c r="J2" s="92" t="s">
        <v>127</v>
      </c>
      <c r="K2" s="92" t="s">
        <v>128</v>
      </c>
      <c r="L2" s="94" t="s">
        <v>118</v>
      </c>
      <c r="M2" s="92" t="s">
        <v>122</v>
      </c>
      <c r="N2" s="92" t="s">
        <v>121</v>
      </c>
      <c r="O2" s="180" t="s">
        <v>129</v>
      </c>
      <c r="P2" s="92" t="s">
        <v>130</v>
      </c>
      <c r="Q2" s="93" t="s">
        <v>131</v>
      </c>
      <c r="R2" s="93" t="s">
        <v>132</v>
      </c>
      <c r="S2" s="93" t="s">
        <v>133</v>
      </c>
      <c r="T2" s="93" t="s">
        <v>134</v>
      </c>
    </row>
    <row r="3" spans="1:20" ht="15.75" thickBot="1" x14ac:dyDescent="0.3">
      <c r="A3" s="130"/>
      <c r="L3" s="91"/>
    </row>
    <row r="4" spans="1:20" ht="18" customHeight="1" x14ac:dyDescent="0.25">
      <c r="A4" s="204" t="s">
        <v>135</v>
      </c>
      <c r="B4" s="205">
        <v>95</v>
      </c>
      <c r="C4" s="205" t="e">
        <f>VLOOKUP($B4,Party,3,FALSE)</f>
        <v>#N/A</v>
      </c>
      <c r="D4" s="205" t="s">
        <v>136</v>
      </c>
      <c r="E4" s="209" t="e">
        <f>VLOOKUP($B4,Party,11,0)</f>
        <v>#N/A</v>
      </c>
      <c r="F4" s="205"/>
      <c r="G4" s="205"/>
      <c r="H4" s="205" t="e">
        <f>VLOOKUP($B4,Party,2,FALSE)</f>
        <v>#N/A</v>
      </c>
      <c r="I4" s="205"/>
      <c r="J4" s="205" t="e">
        <f>VLOOKUP($B4,Party,4,FALSE)</f>
        <v>#N/A</v>
      </c>
      <c r="K4" s="205"/>
      <c r="L4" s="205" t="e">
        <f>VLOOKUP($B4,Party,5,FALSE)</f>
        <v>#N/A</v>
      </c>
      <c r="M4" s="205"/>
      <c r="N4" s="205" t="e">
        <f>VLOOKUP($B4,Party,3,FALSE)</f>
        <v>#N/A</v>
      </c>
      <c r="O4" s="205" t="s">
        <v>97</v>
      </c>
      <c r="P4" s="205" t="e">
        <f>VLOOKUP($B4,Party,10,FALSE)</f>
        <v>#N/A</v>
      </c>
      <c r="Q4" s="205"/>
      <c r="R4" s="205" t="e">
        <f>VLOOKUP($B4,Party,6,FALSE)</f>
        <v>#N/A</v>
      </c>
      <c r="S4" s="205" t="e">
        <f>VLOOKUP($B4,Party,8,FALSE)</f>
        <v>#N/A</v>
      </c>
      <c r="T4" s="206"/>
    </row>
    <row r="5" spans="1:20" ht="15.75" thickBot="1" x14ac:dyDescent="0.3">
      <c r="A5" s="204" t="s">
        <v>135</v>
      </c>
      <c r="B5" s="207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 t="s">
        <v>126</v>
      </c>
      <c r="Q5" s="207" t="s">
        <v>137</v>
      </c>
      <c r="R5" s="207" t="e">
        <f>VLOOKUP($B4,Party,7,FALSE)</f>
        <v>#N/A</v>
      </c>
      <c r="S5" s="207" t="e">
        <f>VLOOKUP($B4,Party,9,FALSE)</f>
        <v>#N/A</v>
      </c>
      <c r="T5" s="208"/>
    </row>
    <row r="6" spans="1:20" x14ac:dyDescent="0.25">
      <c r="A6" s="203" t="s">
        <v>138</v>
      </c>
      <c r="B6" s="4">
        <v>95</v>
      </c>
      <c r="C6" s="4" t="s">
        <v>52</v>
      </c>
      <c r="D6" s="4">
        <v>158</v>
      </c>
      <c r="E6" s="183">
        <v>43521</v>
      </c>
      <c r="F6" s="4" t="s">
        <v>139</v>
      </c>
      <c r="G6" s="4" t="s">
        <v>140</v>
      </c>
      <c r="H6" s="151" t="s">
        <v>141</v>
      </c>
      <c r="J6">
        <v>16090</v>
      </c>
      <c r="L6" s="133"/>
      <c r="M6" s="201"/>
      <c r="O6" s="168"/>
      <c r="P6" s="150"/>
      <c r="Q6" s="150"/>
      <c r="S6" s="68"/>
      <c r="T6" s="186"/>
    </row>
    <row r="7" spans="1:20" x14ac:dyDescent="0.25">
      <c r="A7" s="202" t="s">
        <v>142</v>
      </c>
      <c r="B7" s="4">
        <v>95</v>
      </c>
      <c r="C7" s="4" t="s">
        <v>52</v>
      </c>
      <c r="D7" s="4">
        <v>161</v>
      </c>
      <c r="E7" s="183">
        <v>43529</v>
      </c>
      <c r="F7" s="4" t="s">
        <v>139</v>
      </c>
      <c r="G7" s="4" t="s">
        <v>140</v>
      </c>
      <c r="H7" s="151" t="s">
        <v>143</v>
      </c>
      <c r="J7">
        <v>11860</v>
      </c>
      <c r="L7" s="133"/>
      <c r="M7" s="201"/>
      <c r="O7" s="168"/>
      <c r="P7" s="150"/>
      <c r="Q7" s="150"/>
      <c r="S7" s="4"/>
      <c r="T7" s="186"/>
    </row>
    <row r="8" spans="1:20" ht="14.65" customHeight="1" x14ac:dyDescent="0.25">
      <c r="A8" s="204" t="s">
        <v>135</v>
      </c>
      <c r="B8" s="4">
        <v>95</v>
      </c>
      <c r="C8" s="4" t="s">
        <v>52</v>
      </c>
      <c r="D8" s="4">
        <v>1</v>
      </c>
      <c r="E8" s="183">
        <v>43558</v>
      </c>
      <c r="F8" s="4" t="s">
        <v>139</v>
      </c>
      <c r="G8" s="4" t="s">
        <v>140</v>
      </c>
      <c r="H8" s="151" t="s">
        <v>144</v>
      </c>
      <c r="J8">
        <v>5950</v>
      </c>
      <c r="L8" s="133"/>
      <c r="M8" s="183"/>
      <c r="O8" s="151"/>
      <c r="P8" s="150"/>
      <c r="Q8" s="150"/>
      <c r="S8" s="4"/>
      <c r="T8" s="186"/>
    </row>
    <row r="9" spans="1:20" x14ac:dyDescent="0.25">
      <c r="A9" s="204" t="s">
        <v>135</v>
      </c>
      <c r="B9" s="4">
        <v>95</v>
      </c>
      <c r="C9" s="4" t="s">
        <v>52</v>
      </c>
      <c r="D9" s="4">
        <v>2</v>
      </c>
      <c r="E9" s="183">
        <v>43558</v>
      </c>
      <c r="F9" s="4" t="s">
        <v>139</v>
      </c>
      <c r="G9" s="4" t="s">
        <v>140</v>
      </c>
      <c r="H9" s="151" t="s">
        <v>145</v>
      </c>
      <c r="J9">
        <v>6040</v>
      </c>
      <c r="L9" s="133"/>
      <c r="M9" s="183"/>
      <c r="O9" s="151"/>
      <c r="P9" s="150"/>
      <c r="Q9" s="150"/>
      <c r="S9" s="4"/>
      <c r="T9" s="186"/>
    </row>
    <row r="10" spans="1:20" x14ac:dyDescent="0.25">
      <c r="A10" s="204" t="s">
        <v>135</v>
      </c>
      <c r="B10" s="4">
        <v>95</v>
      </c>
      <c r="C10" s="4" t="s">
        <v>52</v>
      </c>
      <c r="D10" s="4">
        <v>3</v>
      </c>
      <c r="E10" s="183">
        <v>43558</v>
      </c>
      <c r="F10" s="4" t="s">
        <v>139</v>
      </c>
      <c r="G10" s="4" t="s">
        <v>140</v>
      </c>
      <c r="H10" s="151" t="s">
        <v>146</v>
      </c>
      <c r="J10">
        <v>6110</v>
      </c>
      <c r="L10" s="133"/>
      <c r="M10" s="183"/>
      <c r="P10" s="150"/>
      <c r="Q10" s="150"/>
      <c r="S10" s="4"/>
      <c r="T10" s="186"/>
    </row>
    <row r="11" spans="1:20" ht="14.65" customHeight="1" x14ac:dyDescent="0.25">
      <c r="A11" s="204" t="s">
        <v>135</v>
      </c>
      <c r="B11" s="4">
        <v>95</v>
      </c>
      <c r="C11" s="4" t="s">
        <v>52</v>
      </c>
      <c r="D11" s="4">
        <v>4</v>
      </c>
      <c r="E11" s="183">
        <v>43558</v>
      </c>
      <c r="F11" s="4" t="s">
        <v>139</v>
      </c>
      <c r="G11" s="4" t="s">
        <v>140</v>
      </c>
      <c r="H11" s="151" t="s">
        <v>147</v>
      </c>
      <c r="J11">
        <v>5650</v>
      </c>
      <c r="K11">
        <v>23750</v>
      </c>
      <c r="L11" s="133"/>
      <c r="M11" s="183"/>
      <c r="O11" s="168"/>
      <c r="P11" s="150"/>
      <c r="Q11" s="150"/>
      <c r="S11" s="4"/>
      <c r="T11" s="186"/>
    </row>
    <row r="12" spans="1:20" ht="14.65" customHeight="1" x14ac:dyDescent="0.25">
      <c r="A12" s="204" t="s">
        <v>135</v>
      </c>
      <c r="B12" s="4">
        <v>95</v>
      </c>
      <c r="C12" s="4" t="s">
        <v>52</v>
      </c>
      <c r="D12" s="4">
        <v>5</v>
      </c>
      <c r="E12" s="183">
        <v>43570</v>
      </c>
      <c r="F12" s="4" t="s">
        <v>139</v>
      </c>
      <c r="G12" s="4" t="s">
        <v>140</v>
      </c>
      <c r="H12" s="151" t="s">
        <v>148</v>
      </c>
      <c r="J12">
        <v>6530</v>
      </c>
      <c r="L12" s="133"/>
      <c r="M12" s="183"/>
      <c r="O12" s="168"/>
      <c r="P12" s="150"/>
      <c r="Q12" s="150"/>
      <c r="S12" s="4"/>
      <c r="T12" s="186"/>
    </row>
    <row r="13" spans="1:20" ht="14.65" customHeight="1" x14ac:dyDescent="0.25">
      <c r="A13" s="204" t="s">
        <v>135</v>
      </c>
      <c r="B13" s="4">
        <v>95</v>
      </c>
      <c r="C13" s="4" t="s">
        <v>52</v>
      </c>
      <c r="D13" s="4">
        <v>6</v>
      </c>
      <c r="E13" s="183">
        <v>43570</v>
      </c>
      <c r="F13" s="4" t="s">
        <v>139</v>
      </c>
      <c r="G13" s="4" t="s">
        <v>140</v>
      </c>
      <c r="H13" s="151" t="s">
        <v>148</v>
      </c>
      <c r="J13">
        <v>6910</v>
      </c>
      <c r="L13" s="133"/>
      <c r="M13" s="183"/>
      <c r="O13" s="168"/>
      <c r="P13" s="150"/>
      <c r="Q13" s="150"/>
      <c r="S13" s="4"/>
      <c r="T13" s="186"/>
    </row>
    <row r="14" spans="1:20" ht="14.65" customHeight="1" x14ac:dyDescent="0.25">
      <c r="A14" s="204" t="s">
        <v>135</v>
      </c>
      <c r="B14" s="4">
        <v>95</v>
      </c>
      <c r="C14" s="4" t="s">
        <v>52</v>
      </c>
      <c r="D14" s="4">
        <v>7</v>
      </c>
      <c r="E14" s="183">
        <v>43570</v>
      </c>
      <c r="F14" s="4" t="s">
        <v>139</v>
      </c>
      <c r="G14" s="4" t="s">
        <v>140</v>
      </c>
      <c r="H14" s="151" t="s">
        <v>148</v>
      </c>
      <c r="J14">
        <v>7320</v>
      </c>
      <c r="K14">
        <v>20760</v>
      </c>
      <c r="L14" s="133"/>
      <c r="M14" s="183"/>
      <c r="O14" s="168"/>
      <c r="P14" s="150"/>
      <c r="Q14" s="150"/>
      <c r="S14" s="4"/>
      <c r="T14" s="186"/>
    </row>
    <row r="15" spans="1:20" ht="14.65" customHeight="1" x14ac:dyDescent="0.25">
      <c r="A15" s="204" t="s">
        <v>135</v>
      </c>
      <c r="E15" s="183"/>
      <c r="H15" s="151"/>
      <c r="L15" s="133"/>
      <c r="M15" s="183"/>
      <c r="O15" s="151"/>
      <c r="P15" s="150"/>
      <c r="Q15" s="150"/>
      <c r="S15" s="4"/>
      <c r="T15" s="186"/>
    </row>
    <row r="16" spans="1:20" x14ac:dyDescent="0.25">
      <c r="A16" s="204" t="s">
        <v>135</v>
      </c>
      <c r="E16" s="183"/>
      <c r="H16" s="151"/>
      <c r="L16" s="133"/>
      <c r="M16" s="183"/>
      <c r="O16" s="151"/>
      <c r="P16" s="150"/>
      <c r="Q16" s="150"/>
      <c r="S16" s="4"/>
      <c r="T16" s="186"/>
    </row>
    <row r="17" spans="1:20" x14ac:dyDescent="0.25">
      <c r="A17" s="204" t="s">
        <v>135</v>
      </c>
      <c r="E17" s="183"/>
      <c r="H17" s="151"/>
      <c r="L17" s="133"/>
      <c r="M17" s="183"/>
      <c r="P17" s="150"/>
      <c r="Q17" s="150"/>
      <c r="S17" s="4"/>
      <c r="T17" s="186"/>
    </row>
    <row r="18" spans="1:20" ht="14.65" customHeight="1" x14ac:dyDescent="0.25">
      <c r="A18" s="204" t="s">
        <v>135</v>
      </c>
      <c r="E18" s="96"/>
      <c r="H18" s="168"/>
      <c r="L18" s="133"/>
      <c r="M18" s="183"/>
      <c r="O18" s="168"/>
      <c r="P18" s="150"/>
      <c r="Q18" s="150"/>
      <c r="S18" s="4"/>
      <c r="T18" s="186"/>
    </row>
    <row r="19" spans="1:20" x14ac:dyDescent="0.25">
      <c r="A19" s="204" t="s">
        <v>135</v>
      </c>
      <c r="H19" s="179" t="s">
        <v>149</v>
      </c>
      <c r="I19" s="140"/>
      <c r="J19" s="140">
        <f>SUM(J6:J18)</f>
        <v>72460</v>
      </c>
      <c r="K19" s="134"/>
      <c r="L19" s="133"/>
      <c r="M19" s="132"/>
      <c r="N19" s="131"/>
      <c r="O19" s="181" t="s">
        <v>150</v>
      </c>
      <c r="P19" s="140">
        <f>SUM(P6:P18)</f>
        <v>0</v>
      </c>
      <c r="Q19" s="137" t="e">
        <f>R4</f>
        <v>#N/A</v>
      </c>
      <c r="R19" s="138" t="e">
        <f>P19*Q19</f>
        <v>#N/A</v>
      </c>
      <c r="S19" s="566" t="s">
        <v>151</v>
      </c>
      <c r="T19" s="568">
        <f>SUM(T7:T18)</f>
        <v>0</v>
      </c>
    </row>
    <row r="20" spans="1:20" x14ac:dyDescent="0.25">
      <c r="A20" s="204" t="s">
        <v>135</v>
      </c>
      <c r="H20" s="179" t="s">
        <v>152</v>
      </c>
      <c r="I20" s="141"/>
      <c r="J20" s="141">
        <f>-P19</f>
        <v>0</v>
      </c>
      <c r="K20" s="132"/>
      <c r="L20" s="133"/>
      <c r="M20" s="132"/>
      <c r="N20" s="131"/>
      <c r="O20" s="182"/>
      <c r="P20" s="136" t="s">
        <v>153</v>
      </c>
      <c r="Q20" s="139">
        <v>0.18</v>
      </c>
      <c r="R20" s="138" t="e">
        <f>R19*Q20</f>
        <v>#N/A</v>
      </c>
      <c r="S20" s="567"/>
      <c r="T20" s="569"/>
    </row>
    <row r="21" spans="1:20" ht="15.75" thickBot="1" x14ac:dyDescent="0.3">
      <c r="A21" s="204" t="s">
        <v>135</v>
      </c>
      <c r="B21" s="169"/>
      <c r="C21" s="169"/>
      <c r="D21" s="169"/>
      <c r="E21" s="187"/>
      <c r="F21" s="169"/>
      <c r="G21" s="169"/>
      <c r="H21" s="188" t="s">
        <v>154</v>
      </c>
      <c r="I21" s="189"/>
      <c r="J21" s="190">
        <f>SUM(J19:J20)</f>
        <v>72460</v>
      </c>
      <c r="K21" s="191"/>
      <c r="L21" s="192"/>
      <c r="M21" s="191"/>
      <c r="N21" s="193"/>
      <c r="O21" s="194"/>
      <c r="P21" s="195" t="s">
        <v>155</v>
      </c>
      <c r="Q21" s="196"/>
      <c r="R21" s="197" t="e">
        <f>SUM(R19:R20)</f>
        <v>#N/A</v>
      </c>
      <c r="S21" s="198"/>
      <c r="T21" s="199"/>
    </row>
    <row r="22" spans="1:20" ht="15.75" thickBot="1" x14ac:dyDescent="0.3"/>
    <row r="23" spans="1:20" ht="14.65" customHeight="1" x14ac:dyDescent="0.25">
      <c r="A23" s="204" t="s">
        <v>135</v>
      </c>
      <c r="B23" s="205">
        <v>50</v>
      </c>
      <c r="C23" s="205" t="e">
        <f>VLOOKUP($B23,Party,3,FALSE)</f>
        <v>#N/A</v>
      </c>
      <c r="D23" s="205" t="s">
        <v>136</v>
      </c>
      <c r="E23" s="209" t="e">
        <f>VLOOKUP($B23,Party,11,0)</f>
        <v>#N/A</v>
      </c>
      <c r="F23" s="205"/>
      <c r="G23" s="205"/>
      <c r="H23" s="205" t="e">
        <f>VLOOKUP($B23,Party,2,FALSE)</f>
        <v>#N/A</v>
      </c>
      <c r="I23" s="205"/>
      <c r="J23" s="205" t="e">
        <f>VLOOKUP($B23,Party,4,FALSE)</f>
        <v>#N/A</v>
      </c>
      <c r="K23" s="205"/>
      <c r="L23" s="205" t="e">
        <f>VLOOKUP($B23,Party,5,FALSE)</f>
        <v>#N/A</v>
      </c>
      <c r="M23" s="205"/>
      <c r="N23" s="205" t="e">
        <f>VLOOKUP($B23,Party,3,FALSE)</f>
        <v>#N/A</v>
      </c>
      <c r="O23" s="205" t="s">
        <v>97</v>
      </c>
      <c r="P23" s="205" t="e">
        <f>VLOOKUP($B23,Party,10,FALSE)</f>
        <v>#N/A</v>
      </c>
      <c r="Q23" s="205"/>
      <c r="R23" s="205" t="e">
        <f>VLOOKUP($B23,Party,6,FALSE)</f>
        <v>#N/A</v>
      </c>
      <c r="S23" s="205" t="e">
        <f>VLOOKUP($B23,Party,8,FALSE)</f>
        <v>#N/A</v>
      </c>
      <c r="T23" s="206"/>
    </row>
    <row r="24" spans="1:20" ht="15.75" thickBot="1" x14ac:dyDescent="0.3">
      <c r="A24" s="204" t="s">
        <v>135</v>
      </c>
      <c r="B24" s="207"/>
      <c r="C24" s="207"/>
      <c r="D24" s="207"/>
      <c r="E24" s="207"/>
      <c r="F24" s="207"/>
      <c r="G24" s="207"/>
      <c r="H24" s="207"/>
      <c r="I24" s="207"/>
      <c r="J24" s="207"/>
      <c r="K24" s="207"/>
      <c r="L24" s="207"/>
      <c r="M24" s="207"/>
      <c r="N24" s="207"/>
      <c r="O24" s="207"/>
      <c r="P24" s="207" t="s">
        <v>126</v>
      </c>
      <c r="Q24" s="207" t="s">
        <v>137</v>
      </c>
      <c r="R24" s="207" t="e">
        <f>VLOOKUP($B23,Party,7,FALSE)</f>
        <v>#N/A</v>
      </c>
      <c r="S24" s="207" t="e">
        <f>VLOOKUP($B23,Party,9,FALSE)</f>
        <v>#N/A</v>
      </c>
      <c r="T24" s="208"/>
    </row>
    <row r="25" spans="1:20" x14ac:dyDescent="0.25">
      <c r="A25" s="200" t="s">
        <v>142</v>
      </c>
      <c r="B25" s="4">
        <v>65</v>
      </c>
      <c r="C25" s="4" t="s">
        <v>57</v>
      </c>
      <c r="D25" s="4">
        <v>91</v>
      </c>
      <c r="E25" s="183">
        <v>43550</v>
      </c>
      <c r="F25" s="4" t="s">
        <v>156</v>
      </c>
      <c r="G25" s="4" t="s">
        <v>157</v>
      </c>
      <c r="H25" s="151" t="s">
        <v>158</v>
      </c>
      <c r="J25">
        <v>5989</v>
      </c>
      <c r="L25" s="133"/>
      <c r="M25" s="96">
        <v>43558</v>
      </c>
      <c r="N25" s="172" t="s">
        <v>159</v>
      </c>
      <c r="O25" s="151" t="s">
        <v>160</v>
      </c>
      <c r="P25">
        <v>6100</v>
      </c>
      <c r="S25" s="68"/>
      <c r="T25" s="186"/>
    </row>
    <row r="26" spans="1:20" ht="14.65" customHeight="1" x14ac:dyDescent="0.25">
      <c r="A26" s="200" t="s">
        <v>142</v>
      </c>
      <c r="B26" s="4">
        <v>65</v>
      </c>
      <c r="C26" s="4" t="s">
        <v>57</v>
      </c>
      <c r="D26" s="4">
        <v>92</v>
      </c>
      <c r="E26" s="183">
        <v>43552</v>
      </c>
      <c r="F26" s="4" t="s">
        <v>156</v>
      </c>
      <c r="G26" s="4" t="s">
        <v>157</v>
      </c>
      <c r="H26" s="151" t="s">
        <v>160</v>
      </c>
      <c r="J26">
        <v>6100</v>
      </c>
      <c r="L26" s="133"/>
      <c r="M26" s="96"/>
      <c r="O26" s="151"/>
      <c r="S26" s="4"/>
      <c r="T26" s="186"/>
    </row>
    <row r="27" spans="1:20" ht="14.65" customHeight="1" x14ac:dyDescent="0.25">
      <c r="A27" s="204" t="s">
        <v>135</v>
      </c>
      <c r="E27" s="183"/>
      <c r="H27" s="151"/>
      <c r="L27" s="133"/>
      <c r="M27" s="96"/>
      <c r="S27" s="4"/>
      <c r="T27" s="186"/>
    </row>
    <row r="28" spans="1:20" x14ac:dyDescent="0.25">
      <c r="A28" s="204" t="s">
        <v>135</v>
      </c>
      <c r="E28" s="96"/>
      <c r="H28" s="168"/>
      <c r="L28" s="133"/>
      <c r="M28" s="96"/>
      <c r="O28" s="168"/>
      <c r="Q28" s="150"/>
      <c r="S28" s="4"/>
      <c r="T28" s="186"/>
    </row>
    <row r="29" spans="1:20" x14ac:dyDescent="0.25">
      <c r="A29" s="204" t="s">
        <v>135</v>
      </c>
      <c r="H29" s="179" t="s">
        <v>149</v>
      </c>
      <c r="I29" s="140"/>
      <c r="J29" s="140">
        <f>SUM(J25:J28)</f>
        <v>12089</v>
      </c>
      <c r="K29" s="134"/>
      <c r="L29" s="133"/>
      <c r="M29" s="132"/>
      <c r="N29" s="131"/>
      <c r="O29" s="181" t="s">
        <v>150</v>
      </c>
      <c r="P29" s="140">
        <f>SUM(P25:P28)</f>
        <v>6100</v>
      </c>
      <c r="Q29" s="137" t="e">
        <f>R23</f>
        <v>#N/A</v>
      </c>
      <c r="R29" s="138" t="e">
        <f>P29*Q29</f>
        <v>#N/A</v>
      </c>
      <c r="S29" s="566" t="s">
        <v>151</v>
      </c>
      <c r="T29" s="568">
        <f>SUM(T26:T28)</f>
        <v>0</v>
      </c>
    </row>
    <row r="30" spans="1:20" ht="14.65" customHeight="1" x14ac:dyDescent="0.25">
      <c r="A30" s="204" t="s">
        <v>135</v>
      </c>
      <c r="H30" s="179" t="s">
        <v>152</v>
      </c>
      <c r="I30" s="141"/>
      <c r="J30" s="141">
        <f>-P29</f>
        <v>-6100</v>
      </c>
      <c r="K30" s="132"/>
      <c r="L30" s="133"/>
      <c r="M30" s="132"/>
      <c r="N30" s="131"/>
      <c r="O30" s="182"/>
      <c r="P30" s="136" t="s">
        <v>153</v>
      </c>
      <c r="Q30" s="139">
        <v>0.18</v>
      </c>
      <c r="R30" s="138" t="e">
        <f>R29*Q30</f>
        <v>#N/A</v>
      </c>
      <c r="S30" s="567"/>
      <c r="T30" s="569"/>
    </row>
    <row r="31" spans="1:20" ht="15.75" thickBot="1" x14ac:dyDescent="0.3">
      <c r="A31" s="204" t="s">
        <v>135</v>
      </c>
      <c r="B31" s="169"/>
      <c r="C31" s="169"/>
      <c r="D31" s="169"/>
      <c r="E31" s="187"/>
      <c r="F31" s="169"/>
      <c r="G31" s="169"/>
      <c r="H31" s="188" t="s">
        <v>154</v>
      </c>
      <c r="I31" s="189"/>
      <c r="J31" s="190">
        <f>SUM(J29:J30)</f>
        <v>5989</v>
      </c>
      <c r="K31" s="191"/>
      <c r="L31" s="192"/>
      <c r="M31" s="191"/>
      <c r="N31" s="193"/>
      <c r="O31" s="194"/>
      <c r="P31" s="195" t="s">
        <v>155</v>
      </c>
      <c r="Q31" s="196"/>
      <c r="R31" s="197" t="e">
        <f>SUM(R29:R30)</f>
        <v>#N/A</v>
      </c>
      <c r="S31" s="198"/>
      <c r="T31" s="199"/>
    </row>
    <row r="32" spans="1:20" ht="15.75" thickBot="1" x14ac:dyDescent="0.3"/>
    <row r="33" spans="1:20" x14ac:dyDescent="0.25">
      <c r="A33" s="204" t="s">
        <v>135</v>
      </c>
      <c r="B33" s="205">
        <v>65</v>
      </c>
      <c r="C33" s="205" t="e">
        <f>VLOOKUP($B33,Party,3,FALSE)</f>
        <v>#N/A</v>
      </c>
      <c r="D33" s="205" t="s">
        <v>136</v>
      </c>
      <c r="E33" s="209" t="e">
        <f>VLOOKUP($B33,Party,11,0)</f>
        <v>#N/A</v>
      </c>
      <c r="F33" s="205"/>
      <c r="G33" s="205"/>
      <c r="H33" s="205" t="e">
        <f>VLOOKUP($B33,Party,2,FALSE)</f>
        <v>#N/A</v>
      </c>
      <c r="I33" s="205"/>
      <c r="J33" s="205" t="e">
        <f>VLOOKUP($B33,Party,4,FALSE)</f>
        <v>#N/A</v>
      </c>
      <c r="K33" s="205"/>
      <c r="L33" s="205" t="e">
        <f>VLOOKUP($B33,Party,5,FALSE)</f>
        <v>#N/A</v>
      </c>
      <c r="M33" s="205"/>
      <c r="N33" s="205" t="e">
        <f>VLOOKUP($B33,Party,3,FALSE)</f>
        <v>#N/A</v>
      </c>
      <c r="O33" s="205" t="s">
        <v>97</v>
      </c>
      <c r="P33" s="205" t="e">
        <f>VLOOKUP($B33,Party,10,FALSE)</f>
        <v>#N/A</v>
      </c>
      <c r="Q33" s="205"/>
      <c r="R33" s="205" t="e">
        <f>VLOOKUP($B33,Party,6,FALSE)</f>
        <v>#N/A</v>
      </c>
      <c r="S33" s="205" t="e">
        <f>VLOOKUP($B33,Party,8,FALSE)</f>
        <v>#N/A</v>
      </c>
      <c r="T33" s="206"/>
    </row>
    <row r="34" spans="1:20" ht="15.75" thickBot="1" x14ac:dyDescent="0.3">
      <c r="A34" s="204" t="s">
        <v>135</v>
      </c>
      <c r="B34" s="207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 t="s">
        <v>126</v>
      </c>
      <c r="Q34" s="207" t="s">
        <v>137</v>
      </c>
      <c r="R34" s="207" t="e">
        <f>VLOOKUP($B33,Party,7,FALSE)</f>
        <v>#N/A</v>
      </c>
      <c r="S34" s="207" t="e">
        <f>VLOOKUP($B33,Party,9,FALSE)</f>
        <v>#N/A</v>
      </c>
      <c r="T34" s="208"/>
    </row>
    <row r="35" spans="1:20" x14ac:dyDescent="0.25">
      <c r="A35" s="200" t="s">
        <v>142</v>
      </c>
      <c r="B35" s="4">
        <v>50</v>
      </c>
      <c r="C35" s="4" t="s">
        <v>102</v>
      </c>
      <c r="D35" s="4">
        <v>188</v>
      </c>
      <c r="E35" s="183">
        <v>43547</v>
      </c>
      <c r="H35" s="151" t="s">
        <v>161</v>
      </c>
      <c r="J35">
        <v>4090</v>
      </c>
      <c r="L35" s="133"/>
      <c r="M35" s="96">
        <v>43557</v>
      </c>
      <c r="N35" s="172" t="s">
        <v>162</v>
      </c>
      <c r="O35" s="151" t="s">
        <v>161</v>
      </c>
      <c r="P35">
        <v>4090</v>
      </c>
      <c r="S35" s="68"/>
      <c r="T35" s="186"/>
    </row>
    <row r="36" spans="1:20" x14ac:dyDescent="0.25">
      <c r="A36" s="200" t="s">
        <v>142</v>
      </c>
      <c r="B36" s="4">
        <v>50</v>
      </c>
      <c r="C36" s="4" t="s">
        <v>102</v>
      </c>
      <c r="D36" s="4">
        <v>189</v>
      </c>
      <c r="E36" s="99">
        <v>43547</v>
      </c>
      <c r="H36" s="109" t="s">
        <v>163</v>
      </c>
      <c r="J36">
        <v>3415</v>
      </c>
      <c r="L36" s="133"/>
      <c r="M36" s="96">
        <v>43557</v>
      </c>
      <c r="N36" s="172" t="s">
        <v>164</v>
      </c>
      <c r="O36" s="109" t="s">
        <v>163</v>
      </c>
      <c r="P36">
        <v>3415</v>
      </c>
      <c r="S36" s="4"/>
      <c r="T36" s="186"/>
    </row>
    <row r="37" spans="1:20" x14ac:dyDescent="0.25">
      <c r="A37" s="204" t="s">
        <v>135</v>
      </c>
      <c r="E37" s="183"/>
      <c r="H37" s="151"/>
      <c r="L37" s="133"/>
      <c r="M37" s="96"/>
      <c r="S37" s="4"/>
      <c r="T37" s="186"/>
    </row>
    <row r="38" spans="1:20" x14ac:dyDescent="0.25">
      <c r="A38" s="204" t="s">
        <v>135</v>
      </c>
      <c r="E38" s="96"/>
      <c r="H38" s="168"/>
      <c r="L38" s="133"/>
      <c r="M38" s="96"/>
      <c r="O38" s="168"/>
      <c r="Q38" s="150"/>
      <c r="S38" s="4"/>
      <c r="T38" s="186"/>
    </row>
    <row r="39" spans="1:20" x14ac:dyDescent="0.25">
      <c r="A39" s="204" t="s">
        <v>135</v>
      </c>
      <c r="H39" s="179" t="s">
        <v>149</v>
      </c>
      <c r="I39" s="140"/>
      <c r="J39" s="140">
        <f>SUM(J35:J38)</f>
        <v>7505</v>
      </c>
      <c r="K39" s="134"/>
      <c r="L39" s="133"/>
      <c r="M39" s="132"/>
      <c r="N39" s="131"/>
      <c r="O39" s="181" t="s">
        <v>150</v>
      </c>
      <c r="P39" s="140">
        <f>SUM(P35:P38)</f>
        <v>7505</v>
      </c>
      <c r="Q39" s="137" t="e">
        <f>R33</f>
        <v>#N/A</v>
      </c>
      <c r="R39" s="138" t="e">
        <f>P39*Q39</f>
        <v>#N/A</v>
      </c>
      <c r="S39" s="566" t="s">
        <v>151</v>
      </c>
      <c r="T39" s="568">
        <f>SUM(T36:T38)</f>
        <v>0</v>
      </c>
    </row>
    <row r="40" spans="1:20" ht="14.65" customHeight="1" x14ac:dyDescent="0.25">
      <c r="A40" s="204" t="s">
        <v>135</v>
      </c>
      <c r="H40" s="179" t="s">
        <v>152</v>
      </c>
      <c r="I40" s="141"/>
      <c r="J40" s="141">
        <f>-P39</f>
        <v>-7505</v>
      </c>
      <c r="K40" s="132"/>
      <c r="L40" s="133"/>
      <c r="M40" s="132"/>
      <c r="N40" s="131"/>
      <c r="O40" s="182"/>
      <c r="P40" s="136" t="s">
        <v>153</v>
      </c>
      <c r="Q40" s="139">
        <v>0.18</v>
      </c>
      <c r="R40" s="138" t="e">
        <f>R39*Q40</f>
        <v>#N/A</v>
      </c>
      <c r="S40" s="567"/>
      <c r="T40" s="569"/>
    </row>
    <row r="41" spans="1:20" ht="15.75" thickBot="1" x14ac:dyDescent="0.3">
      <c r="A41" s="204" t="s">
        <v>135</v>
      </c>
      <c r="B41" s="169"/>
      <c r="C41" s="169"/>
      <c r="D41" s="169"/>
      <c r="E41" s="187"/>
      <c r="F41" s="169"/>
      <c r="G41" s="169"/>
      <c r="H41" s="188" t="s">
        <v>154</v>
      </c>
      <c r="I41" s="189"/>
      <c r="J41" s="190">
        <f>SUM(J39:J40)</f>
        <v>0</v>
      </c>
      <c r="K41" s="191"/>
      <c r="L41" s="192"/>
      <c r="M41" s="191"/>
      <c r="N41" s="193"/>
      <c r="O41" s="194"/>
      <c r="P41" s="195" t="s">
        <v>155</v>
      </c>
      <c r="Q41" s="196"/>
      <c r="R41" s="197" t="e">
        <f>SUM(R39:R40)</f>
        <v>#N/A</v>
      </c>
      <c r="S41" s="198"/>
      <c r="T41" s="199"/>
    </row>
    <row r="42" spans="1:20" ht="15.75" thickBot="1" x14ac:dyDescent="0.3"/>
    <row r="43" spans="1:20" x14ac:dyDescent="0.25">
      <c r="A43" s="204" t="s">
        <v>135</v>
      </c>
      <c r="B43" s="205">
        <v>72</v>
      </c>
      <c r="C43" s="205" t="e">
        <f>VLOOKUP($B43,Party,3,FALSE)</f>
        <v>#N/A</v>
      </c>
      <c r="D43" s="205" t="s">
        <v>136</v>
      </c>
      <c r="E43" s="209" t="e">
        <f>VLOOKUP($B43,Party,11,0)</f>
        <v>#N/A</v>
      </c>
      <c r="F43" s="205"/>
      <c r="G43" s="205"/>
      <c r="H43" s="205" t="e">
        <f>VLOOKUP($B43,Party,2,FALSE)</f>
        <v>#N/A</v>
      </c>
      <c r="I43" s="205"/>
      <c r="J43" s="205" t="e">
        <f>VLOOKUP($B43,Party,4,FALSE)</f>
        <v>#N/A</v>
      </c>
      <c r="K43" s="205"/>
      <c r="L43" s="205" t="e">
        <f>VLOOKUP($B43,Party,5,FALSE)</f>
        <v>#N/A</v>
      </c>
      <c r="M43" s="205"/>
      <c r="N43" s="205" t="e">
        <f>VLOOKUP($B43,Party,3,FALSE)</f>
        <v>#N/A</v>
      </c>
      <c r="O43" s="205" t="s">
        <v>97</v>
      </c>
      <c r="P43" s="205" t="e">
        <f>VLOOKUP($B43,Party,10,FALSE)</f>
        <v>#N/A</v>
      </c>
      <c r="Q43" s="205"/>
      <c r="R43" s="205" t="e">
        <f>VLOOKUP($B43,Party,6,FALSE)</f>
        <v>#N/A</v>
      </c>
      <c r="S43" s="205" t="e">
        <f>VLOOKUP($B43,Party,8,FALSE)</f>
        <v>#N/A</v>
      </c>
      <c r="T43" s="206"/>
    </row>
    <row r="44" spans="1:20" ht="15.75" thickBot="1" x14ac:dyDescent="0.3">
      <c r="A44" s="204" t="s">
        <v>135</v>
      </c>
      <c r="B44" s="207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 t="s">
        <v>126</v>
      </c>
      <c r="Q44" s="207" t="s">
        <v>137</v>
      </c>
      <c r="R44" s="207" t="e">
        <f>VLOOKUP($B43,Party,7,FALSE)</f>
        <v>#N/A</v>
      </c>
      <c r="S44" s="207" t="e">
        <f>VLOOKUP($B43,Party,9,FALSE)</f>
        <v>#N/A</v>
      </c>
      <c r="T44" s="208"/>
    </row>
    <row r="45" spans="1:20" x14ac:dyDescent="0.25">
      <c r="A45" s="200" t="s">
        <v>142</v>
      </c>
      <c r="B45" s="4">
        <v>72</v>
      </c>
      <c r="C45" s="4" t="s">
        <v>86</v>
      </c>
      <c r="E45" s="183">
        <v>43519</v>
      </c>
      <c r="F45" s="4" t="s">
        <v>165</v>
      </c>
      <c r="G45" s="4" t="s">
        <v>165</v>
      </c>
      <c r="H45" s="151" t="s">
        <v>166</v>
      </c>
      <c r="J45">
        <v>18830</v>
      </c>
      <c r="L45" s="133"/>
      <c r="M45" s="96"/>
      <c r="N45" s="172"/>
      <c r="O45" s="151"/>
      <c r="S45" s="68"/>
      <c r="T45" s="186"/>
    </row>
    <row r="46" spans="1:20" x14ac:dyDescent="0.25">
      <c r="A46" s="204" t="s">
        <v>135</v>
      </c>
      <c r="L46" s="133"/>
      <c r="M46" s="96"/>
      <c r="N46" s="172"/>
      <c r="S46" s="4"/>
      <c r="T46" s="186"/>
    </row>
    <row r="47" spans="1:20" x14ac:dyDescent="0.25">
      <c r="A47" s="204" t="s">
        <v>135</v>
      </c>
      <c r="E47" s="183"/>
      <c r="H47" s="151"/>
      <c r="L47" s="133"/>
      <c r="M47" s="96"/>
      <c r="S47" s="4"/>
      <c r="T47" s="186"/>
    </row>
    <row r="48" spans="1:20" x14ac:dyDescent="0.25">
      <c r="A48" s="204" t="s">
        <v>135</v>
      </c>
      <c r="E48" s="96"/>
      <c r="H48" s="168"/>
      <c r="L48" s="133"/>
      <c r="M48" s="96"/>
      <c r="O48" s="168"/>
      <c r="Q48" s="150"/>
      <c r="S48" s="4"/>
      <c r="T48" s="186"/>
    </row>
    <row r="49" spans="1:20" x14ac:dyDescent="0.25">
      <c r="A49" s="204" t="s">
        <v>135</v>
      </c>
      <c r="H49" s="179" t="s">
        <v>149</v>
      </c>
      <c r="I49" s="140"/>
      <c r="J49" s="140">
        <f>SUM(J45:J48)</f>
        <v>18830</v>
      </c>
      <c r="K49" s="134"/>
      <c r="L49" s="133"/>
      <c r="M49" s="132"/>
      <c r="N49" s="131"/>
      <c r="O49" s="181" t="s">
        <v>150</v>
      </c>
      <c r="P49" s="140">
        <f>SUM(P45:P48)</f>
        <v>0</v>
      </c>
      <c r="Q49" s="137" t="e">
        <f>R43</f>
        <v>#N/A</v>
      </c>
      <c r="R49" s="138" t="e">
        <f>P49*Q49</f>
        <v>#N/A</v>
      </c>
      <c r="S49" s="566" t="s">
        <v>151</v>
      </c>
      <c r="T49" s="568">
        <f>SUM(T46:T48)</f>
        <v>0</v>
      </c>
    </row>
    <row r="50" spans="1:20" ht="14.65" customHeight="1" x14ac:dyDescent="0.25">
      <c r="A50" s="204" t="s">
        <v>135</v>
      </c>
      <c r="H50" s="179" t="s">
        <v>152</v>
      </c>
      <c r="I50" s="141"/>
      <c r="J50" s="141">
        <f>-P49</f>
        <v>0</v>
      </c>
      <c r="K50" s="132"/>
      <c r="L50" s="133"/>
      <c r="M50" s="132"/>
      <c r="N50" s="131"/>
      <c r="O50" s="182"/>
      <c r="P50" s="136" t="s">
        <v>153</v>
      </c>
      <c r="Q50" s="139">
        <v>0.18</v>
      </c>
      <c r="R50" s="138" t="e">
        <f>R49*Q50</f>
        <v>#N/A</v>
      </c>
      <c r="S50" s="567"/>
      <c r="T50" s="569"/>
    </row>
    <row r="51" spans="1:20" ht="15.75" thickBot="1" x14ac:dyDescent="0.3">
      <c r="A51" s="204" t="s">
        <v>135</v>
      </c>
      <c r="B51" s="169"/>
      <c r="C51" s="169"/>
      <c r="D51" s="169"/>
      <c r="E51" s="187"/>
      <c r="F51" s="169"/>
      <c r="G51" s="169"/>
      <c r="H51" s="188" t="s">
        <v>154</v>
      </c>
      <c r="I51" s="189"/>
      <c r="J51" s="190">
        <f>SUM(J49:J50)</f>
        <v>18830</v>
      </c>
      <c r="K51" s="191"/>
      <c r="L51" s="192"/>
      <c r="M51" s="191"/>
      <c r="N51" s="193"/>
      <c r="O51" s="194"/>
      <c r="P51" s="195" t="s">
        <v>155</v>
      </c>
      <c r="Q51" s="196"/>
      <c r="R51" s="197" t="e">
        <f>SUM(R49:R50)</f>
        <v>#N/A</v>
      </c>
      <c r="S51" s="198"/>
      <c r="T51" s="199"/>
    </row>
    <row r="60" spans="1:20" ht="14.65" customHeight="1" x14ac:dyDescent="0.25"/>
    <row r="66" ht="14.65" customHeight="1" x14ac:dyDescent="0.25"/>
    <row r="69" ht="14.65" customHeight="1" x14ac:dyDescent="0.25"/>
    <row r="70" ht="14.65" customHeight="1" x14ac:dyDescent="0.25"/>
    <row r="73" ht="14.65" customHeight="1" x14ac:dyDescent="0.25"/>
    <row r="76" ht="14.65" customHeight="1" x14ac:dyDescent="0.25"/>
    <row r="79" ht="14.65" customHeight="1" x14ac:dyDescent="0.25"/>
    <row r="80" ht="14.65" customHeight="1" x14ac:dyDescent="0.25"/>
    <row r="83" ht="14.65" customHeight="1" x14ac:dyDescent="0.25"/>
    <row r="89" ht="14.65" customHeight="1" x14ac:dyDescent="0.25"/>
    <row r="92" ht="14.65" customHeight="1" x14ac:dyDescent="0.25"/>
    <row r="93" ht="14.65" customHeight="1" x14ac:dyDescent="0.25"/>
    <row r="102" ht="14.65" customHeight="1" x14ac:dyDescent="0.25"/>
    <row r="105" ht="14.65" customHeight="1" x14ac:dyDescent="0.25"/>
    <row r="106" ht="14.65" customHeight="1" x14ac:dyDescent="0.25"/>
    <row r="123" ht="14.65" customHeight="1" x14ac:dyDescent="0.25"/>
    <row r="126" ht="15" customHeight="1" x14ac:dyDescent="0.25"/>
    <row r="127" ht="15" customHeight="1" x14ac:dyDescent="0.25"/>
    <row r="136" ht="14.65" customHeight="1" x14ac:dyDescent="0.25"/>
    <row r="139" ht="14.65" customHeight="1" x14ac:dyDescent="0.25"/>
    <row r="140" ht="14.65" customHeight="1" x14ac:dyDescent="0.25"/>
    <row r="144" ht="14.65" customHeight="1" x14ac:dyDescent="0.25"/>
    <row r="148" ht="14.65" customHeight="1" x14ac:dyDescent="0.25"/>
    <row r="149" ht="14.65" customHeight="1" x14ac:dyDescent="0.25"/>
    <row r="153" ht="14.65" customHeight="1" x14ac:dyDescent="0.25"/>
    <row r="157" ht="14.65" customHeight="1" x14ac:dyDescent="0.25"/>
    <row r="158" ht="14.65" customHeight="1" x14ac:dyDescent="0.25"/>
    <row r="191" ht="14.65" customHeight="1" x14ac:dyDescent="0.25"/>
    <row r="194" ht="14.65" customHeight="1" x14ac:dyDescent="0.25"/>
    <row r="195" ht="14.65" customHeight="1" x14ac:dyDescent="0.25"/>
    <row r="203" ht="14.65" customHeight="1" x14ac:dyDescent="0.25"/>
    <row r="206" ht="14.65" customHeight="1" x14ac:dyDescent="0.25"/>
    <row r="207" ht="14.65" customHeight="1" x14ac:dyDescent="0.25"/>
    <row r="216" ht="14.65" customHeight="1" x14ac:dyDescent="0.25"/>
    <row r="219" ht="14.65" customHeight="1" x14ac:dyDescent="0.25"/>
    <row r="220" ht="14.65" customHeight="1" x14ac:dyDescent="0.25"/>
    <row r="231" ht="14.65" customHeight="1" x14ac:dyDescent="0.25"/>
    <row r="234" ht="14.65" customHeight="1" x14ac:dyDescent="0.25"/>
    <row r="235" ht="14.65" customHeight="1" x14ac:dyDescent="0.25"/>
    <row r="240" ht="14.65" customHeight="1" x14ac:dyDescent="0.25"/>
    <row r="243" ht="14.65" customHeight="1" x14ac:dyDescent="0.25"/>
    <row r="244" ht="14.65" customHeight="1" x14ac:dyDescent="0.25"/>
    <row r="248" ht="14.65" customHeight="1" x14ac:dyDescent="0.25"/>
    <row r="251" ht="15" customHeight="1" x14ac:dyDescent="0.25"/>
    <row r="252" ht="15" customHeight="1" x14ac:dyDescent="0.25"/>
    <row r="256" ht="14.65" customHeight="1" x14ac:dyDescent="0.25"/>
    <row r="260" ht="14.65" customHeight="1" x14ac:dyDescent="0.25"/>
    <row r="261" ht="14.65" customHeight="1" x14ac:dyDescent="0.25"/>
    <row r="265" ht="14.65" customHeight="1" x14ac:dyDescent="0.25"/>
    <row r="268" ht="14.65" customHeight="1" x14ac:dyDescent="0.25"/>
    <row r="269" ht="14.65" customHeight="1" x14ac:dyDescent="0.25"/>
    <row r="278" ht="15" customHeight="1" x14ac:dyDescent="0.25"/>
    <row r="281" ht="15" customHeight="1" x14ac:dyDescent="0.25"/>
    <row r="282" ht="15" customHeight="1" x14ac:dyDescent="0.25"/>
    <row r="328" ht="14.65" customHeight="1" x14ac:dyDescent="0.25"/>
    <row r="331" ht="14.65" customHeight="1" x14ac:dyDescent="0.25"/>
    <row r="332" ht="14.65" customHeight="1" x14ac:dyDescent="0.25"/>
    <row r="340" ht="14.65" customHeight="1" x14ac:dyDescent="0.25"/>
    <row r="343" ht="14.65" customHeight="1" x14ac:dyDescent="0.25"/>
    <row r="344" ht="15" customHeight="1" x14ac:dyDescent="0.25"/>
    <row r="355" ht="14.65" customHeight="1" x14ac:dyDescent="0.25"/>
    <row r="358" ht="14.65" customHeight="1" x14ac:dyDescent="0.25"/>
    <row r="359" ht="14.65" customHeight="1" x14ac:dyDescent="0.25"/>
    <row r="367" ht="14.65" customHeight="1" x14ac:dyDescent="0.25"/>
    <row r="370" ht="14.65" customHeight="1" x14ac:dyDescent="0.25"/>
    <row r="371" ht="14.65" customHeight="1" x14ac:dyDescent="0.25"/>
    <row r="378" ht="14.65" customHeight="1" x14ac:dyDescent="0.25"/>
    <row r="381" ht="15" customHeight="1" x14ac:dyDescent="0.25"/>
    <row r="382" ht="15" customHeight="1" x14ac:dyDescent="0.25"/>
    <row r="389" ht="14.65" customHeight="1" x14ac:dyDescent="0.25"/>
    <row r="393" ht="14.65" customHeight="1" x14ac:dyDescent="0.25"/>
    <row r="394" ht="14.65" customHeight="1" x14ac:dyDescent="0.25"/>
    <row r="398" ht="14.65" customHeight="1" x14ac:dyDescent="0.25"/>
    <row r="401" ht="14.65" customHeight="1" x14ac:dyDescent="0.25"/>
    <row r="402" ht="14.65" customHeight="1" x14ac:dyDescent="0.25"/>
    <row r="437" ht="14.65" customHeight="1" x14ac:dyDescent="0.25"/>
    <row r="440" ht="14.65" customHeight="1" x14ac:dyDescent="0.25"/>
    <row r="441" ht="14.65" customHeight="1" x14ac:dyDescent="0.25"/>
    <row r="449" ht="14.65" customHeight="1" x14ac:dyDescent="0.25"/>
    <row r="452" ht="14.65" customHeight="1" x14ac:dyDescent="0.25"/>
    <row r="453" ht="14.65" customHeight="1" x14ac:dyDescent="0.25"/>
    <row r="464" ht="14.65" customHeight="1" x14ac:dyDescent="0.25"/>
    <row r="467" ht="14.65" customHeight="1" x14ac:dyDescent="0.25"/>
    <row r="468" ht="14.65" customHeight="1" x14ac:dyDescent="0.25"/>
    <row r="476" ht="14.65" customHeight="1" x14ac:dyDescent="0.25"/>
    <row r="479" ht="14.65" customHeight="1" x14ac:dyDescent="0.25"/>
    <row r="480" ht="14.65" customHeight="1" x14ac:dyDescent="0.25"/>
    <row r="489" ht="14.65" customHeight="1" x14ac:dyDescent="0.25"/>
    <row r="492" ht="14.65" customHeight="1" x14ac:dyDescent="0.25"/>
    <row r="493" ht="14.65" customHeight="1" x14ac:dyDescent="0.25"/>
    <row r="500" ht="14.65" customHeight="1" x14ac:dyDescent="0.25"/>
    <row r="503" ht="14.65" customHeight="1" x14ac:dyDescent="0.25"/>
    <row r="504" ht="14.65" customHeight="1" x14ac:dyDescent="0.25"/>
    <row r="511" ht="14.65" customHeight="1" x14ac:dyDescent="0.25"/>
    <row r="514" ht="14.65" customHeight="1" x14ac:dyDescent="0.25"/>
    <row r="515" ht="14.65" customHeight="1" x14ac:dyDescent="0.25"/>
    <row r="522" ht="14.65" customHeight="1" x14ac:dyDescent="0.25"/>
    <row r="525" ht="14.65" customHeight="1" x14ac:dyDescent="0.25"/>
    <row r="526" ht="14.65" customHeight="1" x14ac:dyDescent="0.25"/>
    <row r="533" ht="14.65" customHeight="1" x14ac:dyDescent="0.25"/>
    <row r="536" ht="14.65" customHeight="1" x14ac:dyDescent="0.25"/>
    <row r="537" ht="14.65" customHeight="1" x14ac:dyDescent="0.25"/>
    <row r="543" ht="14.65" customHeight="1" x14ac:dyDescent="0.25"/>
    <row r="548" ht="14.65" customHeight="1" x14ac:dyDescent="0.25"/>
    <row r="549" ht="14.65" customHeight="1" x14ac:dyDescent="0.25"/>
    <row r="556" ht="14.65" customHeight="1" x14ac:dyDescent="0.25"/>
    <row r="559" ht="14.65" customHeight="1" x14ac:dyDescent="0.25"/>
    <row r="560" ht="14.65" customHeight="1" x14ac:dyDescent="0.25"/>
    <row r="585" ht="14.65" customHeight="1" x14ac:dyDescent="0.25"/>
    <row r="588" ht="15" customHeight="1" x14ac:dyDescent="0.25"/>
    <row r="589" ht="15" customHeight="1" x14ac:dyDescent="0.25"/>
    <row r="600" ht="14.65" customHeight="1" x14ac:dyDescent="0.25"/>
    <row r="603" ht="15" customHeight="1" x14ac:dyDescent="0.25"/>
    <row r="604" ht="15" customHeight="1" x14ac:dyDescent="0.25"/>
    <row r="611" ht="14.65" customHeight="1" x14ac:dyDescent="0.25"/>
    <row r="614" ht="15" customHeight="1" x14ac:dyDescent="0.25"/>
    <row r="615" ht="15" customHeight="1" x14ac:dyDescent="0.25"/>
    <row r="622" ht="14.65" customHeight="1" x14ac:dyDescent="0.25"/>
    <row r="625" ht="15" customHeight="1" x14ac:dyDescent="0.25"/>
    <row r="626" ht="15" customHeight="1" x14ac:dyDescent="0.25"/>
    <row r="634" ht="14.65" customHeight="1" x14ac:dyDescent="0.25"/>
    <row r="637" ht="15" customHeight="1" x14ac:dyDescent="0.25"/>
    <row r="638" ht="15" customHeight="1" x14ac:dyDescent="0.25"/>
    <row r="645" ht="14.65" customHeight="1" x14ac:dyDescent="0.25"/>
    <row r="648" ht="15" customHeight="1" x14ac:dyDescent="0.25"/>
    <row r="649" ht="15" customHeight="1" x14ac:dyDescent="0.25"/>
    <row r="656" ht="14.65" customHeight="1" x14ac:dyDescent="0.25"/>
    <row r="659" ht="15" customHeight="1" x14ac:dyDescent="0.25"/>
    <row r="660" ht="15" customHeight="1" x14ac:dyDescent="0.25"/>
    <row r="670" ht="14.65" customHeight="1" x14ac:dyDescent="0.25"/>
    <row r="673" ht="15" customHeight="1" x14ac:dyDescent="0.25"/>
    <row r="674" ht="15" customHeight="1" x14ac:dyDescent="0.25"/>
    <row r="680" ht="14.65" customHeight="1" x14ac:dyDescent="0.25"/>
    <row r="683" ht="14.65" customHeight="1" x14ac:dyDescent="0.25"/>
    <row r="684" ht="14.65" customHeight="1" x14ac:dyDescent="0.25"/>
    <row r="690" ht="14.65" customHeight="1" x14ac:dyDescent="0.25"/>
    <row r="693" ht="14.65" customHeight="1" x14ac:dyDescent="0.25"/>
    <row r="694" ht="14.65" customHeight="1" x14ac:dyDescent="0.25"/>
    <row r="703" ht="14.65" customHeight="1" x14ac:dyDescent="0.25"/>
    <row r="707" ht="15" customHeight="1" x14ac:dyDescent="0.25"/>
    <row r="708" ht="15" customHeight="1" x14ac:dyDescent="0.25"/>
    <row r="715" ht="14.65" customHeight="1" x14ac:dyDescent="0.25"/>
    <row r="718" ht="14.65" customHeight="1" x14ac:dyDescent="0.25"/>
    <row r="719" ht="15" customHeight="1" x14ac:dyDescent="0.25"/>
    <row r="737" ht="14.65" customHeight="1" x14ac:dyDescent="0.25"/>
    <row r="741" ht="15" customHeight="1" x14ac:dyDescent="0.25"/>
    <row r="752" ht="14.65" customHeight="1" x14ac:dyDescent="0.25"/>
    <row r="755" ht="15" customHeight="1" x14ac:dyDescent="0.25"/>
    <row r="764" ht="14.65" customHeight="1" x14ac:dyDescent="0.25"/>
    <row r="767" ht="14.65" customHeight="1" x14ac:dyDescent="0.25"/>
    <row r="768" ht="14.65" customHeight="1" x14ac:dyDescent="0.25"/>
    <row r="777" ht="14.65" customHeight="1" x14ac:dyDescent="0.25"/>
    <row r="780" ht="14.65" customHeight="1" x14ac:dyDescent="0.25"/>
    <row r="781" ht="14.65" customHeight="1" x14ac:dyDescent="0.25"/>
    <row r="791" ht="14.65" customHeight="1" x14ac:dyDescent="0.25"/>
    <row r="794" ht="15" customHeight="1" x14ac:dyDescent="0.25"/>
    <row r="795" ht="15" customHeight="1" x14ac:dyDescent="0.25"/>
    <row r="804" ht="14.65" customHeight="1" x14ac:dyDescent="0.25"/>
    <row r="807" ht="14.65" customHeight="1" x14ac:dyDescent="0.25"/>
    <row r="808" ht="14.65" customHeight="1" x14ac:dyDescent="0.25"/>
    <row r="812" ht="14.65" customHeight="1" x14ac:dyDescent="0.25"/>
    <row r="816" ht="14.65" customHeight="1" x14ac:dyDescent="0.25"/>
    <row r="817" ht="14.65" customHeight="1" x14ac:dyDescent="0.25"/>
    <row r="831" ht="14.65" customHeight="1" x14ac:dyDescent="0.25"/>
    <row r="834" ht="14.65" customHeight="1" x14ac:dyDescent="0.25"/>
    <row r="835" ht="14.65" customHeight="1" x14ac:dyDescent="0.25"/>
    <row r="863" ht="14.65" customHeight="1" x14ac:dyDescent="0.25"/>
    <row r="866" ht="14.65" customHeight="1" x14ac:dyDescent="0.25"/>
    <row r="867" ht="14.65" customHeight="1" x14ac:dyDescent="0.25"/>
    <row r="876" ht="14.65" customHeight="1" x14ac:dyDescent="0.25"/>
    <row r="879" ht="14.65" customHeight="1" x14ac:dyDescent="0.25"/>
    <row r="880" ht="14.65" customHeight="1" x14ac:dyDescent="0.25"/>
    <row r="885" ht="14.65" customHeight="1" x14ac:dyDescent="0.25"/>
    <row r="888" ht="15" customHeight="1" x14ac:dyDescent="0.25"/>
    <row r="889" ht="15" customHeight="1" x14ac:dyDescent="0.25"/>
    <row r="893" ht="15" customHeight="1" x14ac:dyDescent="0.25"/>
    <row r="896" ht="14.65" customHeight="1" x14ac:dyDescent="0.25"/>
    <row r="897" ht="14.65" customHeight="1" x14ac:dyDescent="0.25"/>
    <row r="901" ht="14.65" customHeight="1" x14ac:dyDescent="0.25"/>
    <row r="904" ht="14.65" customHeight="1" x14ac:dyDescent="0.25"/>
    <row r="905" ht="14.65" customHeight="1" x14ac:dyDescent="0.25"/>
    <row r="909" ht="14.65" customHeight="1" x14ac:dyDescent="0.25"/>
    <row r="912" ht="14.65" customHeight="1" x14ac:dyDescent="0.25"/>
    <row r="913" ht="14.65" customHeight="1" x14ac:dyDescent="0.25"/>
    <row r="917" ht="14.65" customHeight="1" x14ac:dyDescent="0.25"/>
    <row r="920" ht="14.65" customHeight="1" x14ac:dyDescent="0.25"/>
    <row r="921" ht="14.65" customHeight="1" x14ac:dyDescent="0.25"/>
    <row r="925" ht="14.65" customHeight="1" x14ac:dyDescent="0.25"/>
    <row r="928" ht="14.65" customHeight="1" x14ac:dyDescent="0.25"/>
    <row r="929" ht="14.65" customHeight="1" x14ac:dyDescent="0.25"/>
    <row r="933" ht="14.65" customHeight="1" x14ac:dyDescent="0.25"/>
    <row r="936" ht="14.65" customHeight="1" x14ac:dyDescent="0.25"/>
    <row r="937" ht="14.65" customHeight="1" x14ac:dyDescent="0.25"/>
    <row r="941" ht="14.65" customHeight="1" x14ac:dyDescent="0.25"/>
    <row r="944" ht="14.65" customHeight="1" x14ac:dyDescent="0.25"/>
    <row r="945" ht="14.65" customHeight="1" x14ac:dyDescent="0.25"/>
    <row r="946" ht="14.65" customHeight="1" x14ac:dyDescent="0.25"/>
    <row r="970" ht="14.65" customHeight="1" x14ac:dyDescent="0.25"/>
    <row r="974" ht="14.65" customHeight="1" x14ac:dyDescent="0.25"/>
    <row r="975" ht="14.65" customHeight="1" x14ac:dyDescent="0.25"/>
    <row r="980" ht="14.65" customHeight="1" x14ac:dyDescent="0.25"/>
    <row r="984" ht="14.65" customHeight="1" x14ac:dyDescent="0.25"/>
    <row r="985" ht="14.65" customHeight="1" x14ac:dyDescent="0.25"/>
    <row r="992" ht="14.65" customHeight="1" x14ac:dyDescent="0.25"/>
    <row r="996" ht="14.65" customHeight="1" x14ac:dyDescent="0.25"/>
    <row r="997" ht="14.65" customHeight="1" x14ac:dyDescent="0.25"/>
    <row r="1002" ht="14.65" customHeight="1" x14ac:dyDescent="0.25"/>
    <row r="1006" ht="14.65" customHeight="1" x14ac:dyDescent="0.25"/>
    <row r="1007" ht="14.65" customHeight="1" x14ac:dyDescent="0.25"/>
    <row r="1014" ht="14.65" customHeight="1" x14ac:dyDescent="0.25"/>
    <row r="1022" ht="14.65" customHeight="1" x14ac:dyDescent="0.25"/>
    <row r="1025" ht="15" customHeight="1" x14ac:dyDescent="0.25"/>
    <row r="1026" ht="15" customHeight="1" x14ac:dyDescent="0.25"/>
    <row r="1030" ht="14.65" customHeight="1" x14ac:dyDescent="0.25"/>
    <row r="1034" ht="15" customHeight="1" x14ac:dyDescent="0.25"/>
    <row r="1035" ht="15" customHeight="1" x14ac:dyDescent="0.25"/>
    <row r="1038" ht="14.65" customHeight="1" x14ac:dyDescent="0.25"/>
    <row r="1042" ht="15" customHeight="1" x14ac:dyDescent="0.25"/>
    <row r="1043" ht="15" customHeight="1" x14ac:dyDescent="0.25"/>
    <row r="1046" ht="14.65" customHeight="1" x14ac:dyDescent="0.25"/>
    <row r="1051" ht="15" customHeight="1" x14ac:dyDescent="0.25"/>
    <row r="1068" ht="14.65" customHeight="1" x14ac:dyDescent="0.25"/>
    <row r="1075" ht="15" customHeight="1" x14ac:dyDescent="0.25"/>
    <row r="1076" ht="14.65" customHeight="1" x14ac:dyDescent="0.25"/>
    <row r="1082" ht="15" customHeight="1" x14ac:dyDescent="0.25"/>
    <row r="1090" ht="14.65" customHeight="1" x14ac:dyDescent="0.25"/>
    <row r="1094" ht="15" customHeight="1" x14ac:dyDescent="0.25"/>
    <row r="1095" ht="15" customHeight="1" x14ac:dyDescent="0.25"/>
    <row r="1100" ht="14.65" customHeight="1" x14ac:dyDescent="0.25"/>
    <row r="1110" ht="14.65" customHeight="1" x14ac:dyDescent="0.25"/>
    <row r="1114" ht="15.75" customHeight="1" x14ac:dyDescent="0.25"/>
    <row r="1115" ht="15.75" customHeight="1" x14ac:dyDescent="0.25"/>
    <row r="1119" ht="14.65" customHeight="1" x14ac:dyDescent="0.25"/>
    <row r="1126" ht="14.65" customHeight="1" x14ac:dyDescent="0.25"/>
    <row r="1134" ht="14.65" customHeight="1" x14ac:dyDescent="0.25"/>
    <row r="1154" ht="14.65" customHeight="1" x14ac:dyDescent="0.25"/>
    <row r="1163" ht="14.65" customHeight="1" x14ac:dyDescent="0.25"/>
    <row r="1173" ht="14.65" customHeight="1" x14ac:dyDescent="0.25"/>
    <row r="1183" ht="14.65" customHeight="1" x14ac:dyDescent="0.25"/>
    <row r="1196" ht="14.65" customHeight="1" x14ac:dyDescent="0.25"/>
    <row r="1206" ht="14.65" customHeight="1" x14ac:dyDescent="0.25"/>
    <row r="1216" ht="14.65" customHeight="1" x14ac:dyDescent="0.25"/>
    <row r="1226" ht="15" customHeight="1" x14ac:dyDescent="0.25"/>
    <row r="1236" ht="14.65" customHeight="1" x14ac:dyDescent="0.25"/>
    <row r="1246" ht="14.65" customHeight="1" x14ac:dyDescent="0.25"/>
    <row r="1261" ht="14.65" customHeight="1" x14ac:dyDescent="0.25"/>
    <row r="1271" ht="14.65" customHeight="1" x14ac:dyDescent="0.25"/>
  </sheetData>
  <customSheetViews>
    <customSheetView guid="{A079800B-DC1B-408F-91C7-3CFEB27825BC}" scale="70" fitToPage="1">
      <pane xSplit="1" ySplit="1" topLeftCell="B200" activePane="bottomRight" state="frozen"/>
      <selection pane="bottomRight" activeCell="A167" sqref="A167"/>
      <pageMargins left="0" right="0" top="0" bottom="0" header="0" footer="0"/>
      <printOptions gridLines="1"/>
      <pageSetup paperSize="9" scale="16" orientation="landscape" verticalDpi="0" r:id="rId1"/>
    </customSheetView>
    <customSheetView guid="{6EFE602B-DDBA-4BA7-94F6-DB3212BD68C7}" scale="80" fitToPage="1">
      <pane xSplit="1" ySplit="1" topLeftCell="B97" activePane="bottomRight" state="frozen"/>
      <selection pane="bottomRight" activeCell="Q97" sqref="Q97"/>
      <pageMargins left="0" right="0" top="0" bottom="0" header="0" footer="0"/>
      <printOptions gridLines="1"/>
      <pageSetup paperSize="9" scale="19" orientation="landscape" verticalDpi="0" r:id="rId2"/>
    </customSheetView>
  </customSheetViews>
  <mergeCells count="8">
    <mergeCell ref="S49:S50"/>
    <mergeCell ref="T49:T50"/>
    <mergeCell ref="S19:S20"/>
    <mergeCell ref="T19:T20"/>
    <mergeCell ref="S29:S30"/>
    <mergeCell ref="T29:T30"/>
    <mergeCell ref="S39:S40"/>
    <mergeCell ref="T39:T40"/>
  </mergeCells>
  <printOptions gridLines="1"/>
  <pageMargins left="0.19685039370078741" right="0.19685039370078741" top="0.23622047244094491" bottom="0.23622047244094491" header="0.19685039370078741" footer="0.15748031496062992"/>
  <pageSetup paperSize="9" scale="72" orientation="landscape" r:id="rId3"/>
  <headerFooter>
    <oddFooter>&amp;L_x000D_&amp;1#&amp;"Calibri"&amp;8&amp;K000000 Classified as 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"/>
  <sheetViews>
    <sheetView workbookViewId="0">
      <selection activeCell="K9" sqref="K9"/>
    </sheetView>
  </sheetViews>
  <sheetFormatPr defaultRowHeight="15" x14ac:dyDescent="0.25"/>
  <sheetData/>
  <pageMargins left="0.7" right="0.7" top="0.75" bottom="0.75" header="0.3" footer="0.3"/>
  <headerFooter>
    <oddFooter>&amp;L_x000D_&amp;1#&amp;"Calibri"&amp;8&amp;K000000 Classified as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pageSetUpPr fitToPage="1"/>
  </sheetPr>
  <dimension ref="A1:P1039"/>
  <sheetViews>
    <sheetView topLeftCell="A2" zoomScale="70" zoomScaleNormal="70" zoomScalePageLayoutView="70" workbookViewId="0">
      <selection activeCell="F5" sqref="F5"/>
    </sheetView>
  </sheetViews>
  <sheetFormatPr defaultColWidth="9.42578125" defaultRowHeight="15" x14ac:dyDescent="0.25"/>
  <cols>
    <col min="2" max="2" width="11" customWidth="1"/>
    <col min="3" max="3" width="2.5703125" customWidth="1"/>
    <col min="4" max="4" width="39.42578125" customWidth="1"/>
    <col min="5" max="5" width="6.5703125" customWidth="1"/>
    <col min="6" max="6" width="39.42578125" customWidth="1"/>
    <col min="7" max="7" width="6.5703125" customWidth="1"/>
    <col min="8" max="8" width="39.42578125" customWidth="1"/>
    <col min="9" max="9" width="4.42578125" customWidth="1"/>
    <col min="10" max="10" width="1.42578125" customWidth="1"/>
    <col min="11" max="11" width="9.42578125" customWidth="1"/>
    <col min="12" max="12" width="7.42578125" customWidth="1"/>
    <col min="13" max="13" width="10.42578125" customWidth="1"/>
    <col min="14" max="14" width="6.42578125" customWidth="1"/>
    <col min="15" max="15" width="7.42578125" customWidth="1"/>
    <col min="16" max="16" width="8.42578125" customWidth="1"/>
  </cols>
  <sheetData>
    <row r="1" spans="1:16" ht="52.5" customHeight="1" x14ac:dyDescent="0.25">
      <c r="D1" s="77">
        <v>29</v>
      </c>
      <c r="E1" s="77">
        <v>6</v>
      </c>
      <c r="F1" s="77">
        <v>29.71</v>
      </c>
      <c r="G1" s="77">
        <v>6</v>
      </c>
      <c r="H1" s="77">
        <v>29.71</v>
      </c>
    </row>
    <row r="2" spans="1:16" ht="96" customHeight="1" x14ac:dyDescent="0.3">
      <c r="A2" s="77">
        <v>69</v>
      </c>
      <c r="B2" s="4"/>
      <c r="C2" s="4"/>
      <c r="D2" s="315" t="s">
        <v>167</v>
      </c>
      <c r="E2" s="258"/>
      <c r="F2" s="315" t="s">
        <v>168</v>
      </c>
      <c r="G2" s="258"/>
      <c r="H2" s="315" t="s">
        <v>169</v>
      </c>
      <c r="I2" s="252"/>
      <c r="J2" s="250"/>
      <c r="K2" s="249"/>
      <c r="L2" s="258" t="e">
        <f t="shared" ref="L2:L7" si="0">IF($B2=" "," ",VLOOKUP($B2,Inward,1,FALSE)&amp;" | " &amp;VLOOKUP($B2,Inward,2,0)&amp;" |   " &amp;VLOOKUP($B2,Inward,6,)&amp;" | " &amp;VLOOKUP($B2,Inward,8,)&amp;" | " &amp;VLOOKUP($B2,Inward,7,)&amp;" mm | " &amp;VLOOKUP($B2,Inward,11,)&amp; " KGS  ❶  ")</f>
        <v>#N/A</v>
      </c>
      <c r="M2" s="258"/>
      <c r="N2" s="258" t="e">
        <f>IF($B2=" "," ",VLOOKUP($B2,Inward,1,FALSE)&amp;" | " &amp;VLOOKUP($B2,Inward,2,0)&amp;" |   " &amp;VLOOKUP($B2,Inward,6,)&amp;" | " &amp;VLOOKUP($B2,Inward,8,)&amp;" | " &amp;VLOOKUP($B2,Inward,7,)&amp;" mm | " &amp;VLOOKUP($B2,Inward,11,)&amp; " KGS  ❷  MP ")</f>
        <v>#N/A</v>
      </c>
      <c r="O2" s="258"/>
      <c r="P2" s="258" t="e">
        <f t="shared" ref="P2:P7" si="1">IF($B2=" "," ",VLOOKUP($B2,Inward,1,FALSE)&amp;" | " &amp;VLOOKUP($B2,Inward,2,0)&amp;" | " &amp;VLOOKUP($B2,Inward,6,)&amp;" | " &amp;VLOOKUP($B2,Inward,8,)&amp;" | " &amp;VLOOKUP($B2,Inward,7,)&amp;" mm | " &amp;VLOOKUP($B2,Inward,11,)&amp; " KGS|H.No. "&amp;VLOOKUP($B2,Inward,14,0)&amp;"    MP")</f>
        <v>#N/A</v>
      </c>
    </row>
    <row r="3" spans="1:16" ht="97.5" customHeight="1" x14ac:dyDescent="0.3">
      <c r="A3" s="77">
        <v>69</v>
      </c>
      <c r="B3" s="4"/>
      <c r="C3" s="68"/>
      <c r="D3" s="316" t="s">
        <v>170</v>
      </c>
      <c r="E3" s="258"/>
      <c r="F3" s="316" t="s">
        <v>171</v>
      </c>
      <c r="G3" s="258"/>
      <c r="H3" s="317" t="s">
        <v>172</v>
      </c>
      <c r="I3" s="252"/>
      <c r="J3" s="251"/>
      <c r="K3" s="249"/>
      <c r="L3" s="258" t="e">
        <f t="shared" si="0"/>
        <v>#N/A</v>
      </c>
      <c r="M3" s="258"/>
      <c r="N3" s="258" t="e">
        <f t="shared" ref="N3:N7" si="2">IF($B3=" "," ",VLOOKUP($B3,Inward,1,FALSE)&amp;" | " &amp;VLOOKUP($B3,Inward,2,0)&amp;" |   " &amp;VLOOKUP($B3,Inward,6,)&amp;" | " &amp;VLOOKUP($B3,Inward,8,)&amp;" | " &amp;VLOOKUP($B3,Inward,7,)&amp;" mm | " &amp;VLOOKUP($B3,Inward,11,)&amp; " KGS  ❷  MP ")</f>
        <v>#N/A</v>
      </c>
      <c r="O3" s="258"/>
      <c r="P3" s="258" t="e">
        <f t="shared" si="1"/>
        <v>#N/A</v>
      </c>
    </row>
    <row r="4" spans="1:16" ht="100.5" customHeight="1" x14ac:dyDescent="0.3">
      <c r="A4" s="77">
        <v>74</v>
      </c>
      <c r="B4" s="4"/>
      <c r="C4" s="68"/>
      <c r="D4" s="315" t="s">
        <v>167</v>
      </c>
      <c r="E4" s="258"/>
      <c r="F4" s="315" t="s">
        <v>168</v>
      </c>
      <c r="G4" s="258"/>
      <c r="H4" s="315" t="s">
        <v>169</v>
      </c>
      <c r="I4" s="252"/>
      <c r="J4" s="251"/>
      <c r="K4" s="249"/>
      <c r="L4" s="299" t="s">
        <v>173</v>
      </c>
      <c r="M4" s="258"/>
      <c r="N4" s="299" t="s">
        <v>173</v>
      </c>
      <c r="O4" s="258"/>
      <c r="P4" s="258" t="e">
        <f t="shared" si="1"/>
        <v>#N/A</v>
      </c>
    </row>
    <row r="5" spans="1:16" ht="102" customHeight="1" x14ac:dyDescent="0.3">
      <c r="A5" s="77">
        <v>74</v>
      </c>
      <c r="B5" s="4"/>
      <c r="C5" s="68"/>
      <c r="D5" s="316" t="s">
        <v>170</v>
      </c>
      <c r="E5" s="258"/>
      <c r="F5" s="316" t="s">
        <v>171</v>
      </c>
      <c r="G5" s="258"/>
      <c r="H5" s="317" t="s">
        <v>172</v>
      </c>
      <c r="I5" s="252"/>
      <c r="J5" s="251"/>
      <c r="K5" s="249"/>
      <c r="L5" s="258" t="e">
        <f t="shared" si="0"/>
        <v>#N/A</v>
      </c>
      <c r="M5" s="258"/>
      <c r="N5" s="258" t="e">
        <f t="shared" si="2"/>
        <v>#N/A</v>
      </c>
      <c r="O5" s="258"/>
      <c r="P5" s="258" t="e">
        <f t="shared" si="1"/>
        <v>#N/A</v>
      </c>
    </row>
    <row r="6" spans="1:16" ht="103.5" customHeight="1" x14ac:dyDescent="0.3">
      <c r="A6" s="77">
        <v>76</v>
      </c>
      <c r="B6" s="4"/>
      <c r="C6" s="68" t="s">
        <v>97</v>
      </c>
      <c r="D6" s="315" t="s">
        <v>167</v>
      </c>
      <c r="E6" s="258"/>
      <c r="F6" s="315" t="s">
        <v>168</v>
      </c>
      <c r="G6" s="258"/>
      <c r="H6" s="315" t="s">
        <v>169</v>
      </c>
      <c r="I6" s="252"/>
      <c r="J6" s="251"/>
      <c r="K6" s="249"/>
      <c r="L6" s="258" t="e">
        <f t="shared" si="0"/>
        <v>#N/A</v>
      </c>
      <c r="M6" s="258"/>
      <c r="N6" s="258" t="e">
        <f t="shared" si="2"/>
        <v>#N/A</v>
      </c>
      <c r="O6" s="258"/>
      <c r="P6" s="258" t="e">
        <f t="shared" si="1"/>
        <v>#N/A</v>
      </c>
    </row>
    <row r="7" spans="1:16" ht="105.75" customHeight="1" x14ac:dyDescent="0.3">
      <c r="A7" s="77">
        <v>76</v>
      </c>
      <c r="B7" s="4"/>
      <c r="C7" s="68"/>
      <c r="D7" s="316" t="s">
        <v>170</v>
      </c>
      <c r="E7" s="258"/>
      <c r="F7" s="316" t="s">
        <v>171</v>
      </c>
      <c r="G7" s="258"/>
      <c r="H7" s="317" t="s">
        <v>172</v>
      </c>
      <c r="I7" s="252"/>
      <c r="J7" s="251"/>
      <c r="K7" s="249"/>
      <c r="L7" s="258" t="e">
        <f t="shared" si="0"/>
        <v>#N/A</v>
      </c>
      <c r="M7" s="258"/>
      <c r="N7" s="258" t="e">
        <f t="shared" si="2"/>
        <v>#N/A</v>
      </c>
      <c r="O7" s="258"/>
      <c r="P7" s="258" t="e">
        <f t="shared" si="1"/>
        <v>#N/A</v>
      </c>
    </row>
    <row r="8" spans="1:16" ht="18.75" x14ac:dyDescent="0.3">
      <c r="A8" s="77"/>
      <c r="B8" s="4"/>
      <c r="C8" s="253"/>
      <c r="D8" s="253"/>
      <c r="E8" s="253"/>
      <c r="F8" s="253"/>
      <c r="G8" s="253"/>
      <c r="H8" s="253"/>
      <c r="I8" s="249"/>
      <c r="J8" s="251"/>
      <c r="K8" s="249"/>
      <c r="L8" s="249"/>
      <c r="M8" s="249"/>
      <c r="N8" s="249"/>
      <c r="O8" s="249"/>
      <c r="P8" s="249"/>
    </row>
    <row r="9" spans="1:16" ht="18.75" x14ac:dyDescent="0.3">
      <c r="A9" s="77"/>
      <c r="B9" s="249"/>
      <c r="C9" s="249"/>
      <c r="D9" s="249"/>
      <c r="E9" s="249"/>
      <c r="F9" s="249"/>
      <c r="G9" s="249"/>
      <c r="H9" s="249"/>
      <c r="I9" s="249"/>
      <c r="J9" s="251"/>
      <c r="K9" s="249"/>
      <c r="L9" s="249"/>
      <c r="M9" s="249"/>
      <c r="N9" s="249"/>
      <c r="O9" s="249"/>
      <c r="P9" s="249"/>
    </row>
    <row r="10" spans="1:16" ht="18.75" x14ac:dyDescent="0.3">
      <c r="A10" s="77"/>
      <c r="B10" s="249"/>
      <c r="C10" s="249"/>
      <c r="D10" s="249"/>
      <c r="E10" s="249"/>
      <c r="F10" s="249"/>
      <c r="G10" s="249"/>
      <c r="H10" s="249"/>
      <c r="I10" s="249"/>
      <c r="J10" s="251"/>
      <c r="K10" s="249"/>
      <c r="L10" s="249"/>
      <c r="M10" s="249"/>
      <c r="N10" s="249"/>
      <c r="O10" s="249"/>
      <c r="P10" s="249"/>
    </row>
    <row r="11" spans="1:16" ht="18.75" x14ac:dyDescent="0.3">
      <c r="A11" s="77"/>
      <c r="B11" s="249"/>
      <c r="C11" s="249"/>
      <c r="D11" s="249"/>
      <c r="E11" s="249"/>
      <c r="F11" s="249"/>
      <c r="G11" s="249"/>
      <c r="H11" s="249"/>
      <c r="I11" s="249"/>
      <c r="J11" s="251"/>
      <c r="K11" s="249"/>
      <c r="L11" s="249"/>
      <c r="M11" s="249"/>
      <c r="N11" s="249"/>
      <c r="O11" s="249"/>
      <c r="P11" s="249"/>
    </row>
    <row r="12" spans="1:16" ht="18.75" x14ac:dyDescent="0.3">
      <c r="A12" s="77"/>
      <c r="B12" s="249"/>
      <c r="C12" s="249"/>
      <c r="D12" s="249"/>
      <c r="E12" s="249"/>
      <c r="F12" s="249"/>
      <c r="G12" s="249"/>
      <c r="H12" s="249"/>
      <c r="I12" s="249"/>
      <c r="J12" s="251"/>
      <c r="K12" s="249"/>
      <c r="L12" s="249"/>
      <c r="M12" s="249"/>
      <c r="N12" s="249"/>
      <c r="O12" s="249"/>
      <c r="P12" s="249"/>
    </row>
    <row r="13" spans="1:16" ht="18.75" x14ac:dyDescent="0.3">
      <c r="A13" s="77"/>
      <c r="B13" s="249"/>
      <c r="C13" s="249"/>
      <c r="D13" s="249"/>
      <c r="E13" s="249"/>
      <c r="F13" s="249"/>
      <c r="G13" s="249"/>
      <c r="H13" s="249"/>
      <c r="I13" s="249"/>
      <c r="J13" s="251"/>
      <c r="K13" s="249"/>
      <c r="L13" s="249"/>
      <c r="M13" s="249"/>
      <c r="N13" s="249"/>
      <c r="O13" s="249"/>
      <c r="P13" s="249"/>
    </row>
    <row r="14" spans="1:16" ht="18.75" x14ac:dyDescent="0.3">
      <c r="A14" s="77"/>
      <c r="B14" s="249"/>
      <c r="C14" s="249"/>
      <c r="D14" s="249"/>
      <c r="E14" s="249"/>
      <c r="F14" s="249"/>
      <c r="G14" s="249"/>
      <c r="H14" s="249"/>
      <c r="I14" s="249"/>
      <c r="J14" s="251"/>
      <c r="K14" s="249"/>
      <c r="L14" s="249"/>
      <c r="M14" s="249"/>
      <c r="N14" s="249"/>
      <c r="O14" s="249"/>
      <c r="P14" s="249"/>
    </row>
    <row r="15" spans="1:16" ht="18.75" x14ac:dyDescent="0.3">
      <c r="A15" s="77"/>
      <c r="B15" s="249"/>
      <c r="C15" s="249"/>
      <c r="D15" s="249"/>
      <c r="E15" s="249"/>
      <c r="F15" s="249"/>
      <c r="G15" s="249"/>
      <c r="H15" s="249"/>
      <c r="I15" s="249"/>
      <c r="J15" s="251"/>
      <c r="K15" s="249"/>
      <c r="L15" s="249"/>
      <c r="M15" s="249"/>
      <c r="N15" s="249"/>
      <c r="O15" s="249"/>
      <c r="P15" s="249"/>
    </row>
    <row r="16" spans="1:16" ht="18.75" x14ac:dyDescent="0.3">
      <c r="A16" s="77"/>
      <c r="B16" s="249"/>
      <c r="C16" s="249"/>
      <c r="D16" s="249"/>
      <c r="E16" s="249"/>
      <c r="F16" s="249"/>
      <c r="G16" s="249"/>
      <c r="H16" s="249"/>
      <c r="I16" s="249"/>
      <c r="J16" s="251"/>
      <c r="K16" s="249"/>
      <c r="L16" s="249"/>
      <c r="M16" s="249"/>
      <c r="N16" s="249"/>
      <c r="O16" s="249"/>
      <c r="P16" s="249"/>
    </row>
    <row r="17" spans="1:16" ht="18.75" x14ac:dyDescent="0.3">
      <c r="A17" s="77"/>
      <c r="B17" s="4"/>
      <c r="C17" s="4"/>
      <c r="D17" s="4"/>
      <c r="E17" s="4"/>
      <c r="F17" s="4"/>
      <c r="G17" s="4"/>
      <c r="H17" s="4"/>
      <c r="I17" s="249"/>
      <c r="J17" s="251"/>
      <c r="K17" s="249"/>
      <c r="L17" s="249"/>
      <c r="M17" s="249"/>
      <c r="N17" s="249"/>
      <c r="O17" s="249"/>
      <c r="P17" s="249"/>
    </row>
    <row r="18" spans="1:16" ht="18.75" x14ac:dyDescent="0.3">
      <c r="A18" s="77"/>
      <c r="B18" s="4"/>
      <c r="C18" s="4"/>
      <c r="D18" s="249"/>
      <c r="E18" s="249"/>
      <c r="F18" s="249"/>
      <c r="G18" s="249"/>
      <c r="H18" s="249"/>
      <c r="I18" s="249"/>
      <c r="J18" s="251"/>
      <c r="K18" s="249"/>
      <c r="L18" s="249"/>
      <c r="M18" s="249"/>
      <c r="N18" s="249"/>
      <c r="O18" s="249"/>
      <c r="P18" s="249"/>
    </row>
    <row r="19" spans="1:16" ht="18.75" x14ac:dyDescent="0.3">
      <c r="A19" s="77"/>
      <c r="B19" s="4"/>
      <c r="C19" s="4"/>
      <c r="D19" s="249"/>
      <c r="E19" s="249"/>
      <c r="F19" s="249"/>
      <c r="G19" s="249"/>
      <c r="H19" s="249"/>
      <c r="I19" s="249"/>
      <c r="J19" s="251"/>
      <c r="K19" s="249"/>
      <c r="L19" s="249"/>
      <c r="M19" s="249"/>
      <c r="N19" s="249"/>
      <c r="O19" s="249"/>
      <c r="P19" s="249"/>
    </row>
    <row r="20" spans="1:16" ht="18.75" x14ac:dyDescent="0.3">
      <c r="A20" s="77"/>
      <c r="B20" s="4"/>
      <c r="C20" s="4"/>
      <c r="D20" s="249"/>
      <c r="E20" s="249"/>
      <c r="F20" s="249"/>
      <c r="G20" s="249"/>
      <c r="H20" s="249"/>
      <c r="I20" s="249"/>
      <c r="J20" s="251"/>
      <c r="K20" s="249"/>
      <c r="L20" s="249"/>
      <c r="M20" s="249"/>
      <c r="N20" s="249"/>
      <c r="O20" s="249"/>
      <c r="P20" s="249"/>
    </row>
    <row r="21" spans="1:16" ht="18.75" x14ac:dyDescent="0.25">
      <c r="A21" s="77"/>
      <c r="L21" s="249"/>
      <c r="M21" s="249"/>
      <c r="N21" s="249"/>
      <c r="O21" s="249"/>
    </row>
    <row r="22" spans="1:16" ht="18.75" x14ac:dyDescent="0.25">
      <c r="A22" s="77"/>
      <c r="L22" s="249"/>
      <c r="M22" s="249"/>
      <c r="N22" s="249"/>
      <c r="O22" s="249"/>
    </row>
    <row r="23" spans="1:16" ht="18.75" x14ac:dyDescent="0.25">
      <c r="A23" s="77"/>
      <c r="L23" s="249"/>
      <c r="M23" s="249"/>
      <c r="N23" s="249"/>
      <c r="O23" s="249"/>
    </row>
    <row r="24" spans="1:16" ht="18.75" x14ac:dyDescent="0.25">
      <c r="A24" s="77"/>
      <c r="L24" s="249"/>
      <c r="M24" s="249"/>
      <c r="N24" s="249"/>
      <c r="O24" s="249"/>
    </row>
    <row r="25" spans="1:16" ht="18.75" x14ac:dyDescent="0.25">
      <c r="A25" s="77"/>
      <c r="L25" s="249"/>
      <c r="M25" s="249"/>
      <c r="N25" s="249"/>
      <c r="O25" s="249"/>
    </row>
    <row r="26" spans="1:16" ht="18.75" x14ac:dyDescent="0.25">
      <c r="A26" s="77"/>
      <c r="L26" s="249"/>
      <c r="M26" s="249"/>
      <c r="N26" s="249"/>
      <c r="O26" s="249"/>
    </row>
    <row r="27" spans="1:16" ht="18.75" x14ac:dyDescent="0.25">
      <c r="A27" s="77"/>
      <c r="L27" s="249"/>
      <c r="M27" s="249"/>
      <c r="N27" s="249"/>
      <c r="O27" s="249"/>
    </row>
    <row r="28" spans="1:16" ht="18.75" x14ac:dyDescent="0.25">
      <c r="A28" s="77"/>
      <c r="L28" s="249"/>
      <c r="M28" s="249"/>
      <c r="N28" s="249"/>
      <c r="O28" s="249"/>
    </row>
    <row r="29" spans="1:16" ht="18.75" x14ac:dyDescent="0.25">
      <c r="A29" s="77"/>
      <c r="L29" s="249"/>
      <c r="M29" s="249"/>
      <c r="N29" s="249"/>
      <c r="O29" s="249"/>
    </row>
    <row r="30" spans="1:16" ht="18.75" x14ac:dyDescent="0.25">
      <c r="A30" s="77"/>
      <c r="L30" s="249"/>
      <c r="M30" s="249"/>
      <c r="N30" s="249"/>
      <c r="O30" s="249"/>
    </row>
    <row r="31" spans="1:16" ht="18.75" x14ac:dyDescent="0.25">
      <c r="A31" s="77"/>
      <c r="L31" s="249"/>
      <c r="M31" s="249"/>
      <c r="N31" s="249"/>
      <c r="O31" s="249"/>
    </row>
    <row r="32" spans="1:16" ht="18.75" x14ac:dyDescent="0.25">
      <c r="A32" s="77"/>
      <c r="L32" s="249"/>
      <c r="M32" s="249"/>
      <c r="N32" s="249"/>
      <c r="O32" s="249"/>
    </row>
    <row r="33" spans="1:15" ht="18.75" x14ac:dyDescent="0.25">
      <c r="A33" s="77"/>
      <c r="L33" s="249"/>
      <c r="M33" s="249"/>
      <c r="N33" s="249"/>
      <c r="O33" s="249"/>
    </row>
    <row r="34" spans="1:15" ht="18.75" x14ac:dyDescent="0.25">
      <c r="A34" s="77"/>
      <c r="L34" s="249"/>
      <c r="M34" s="249"/>
      <c r="N34" s="249"/>
      <c r="O34" s="249"/>
    </row>
    <row r="35" spans="1:15" ht="18.75" x14ac:dyDescent="0.25">
      <c r="A35" s="77"/>
      <c r="L35" s="249"/>
      <c r="M35" s="249"/>
      <c r="N35" s="249"/>
      <c r="O35" s="249"/>
    </row>
    <row r="36" spans="1:15" ht="18.75" x14ac:dyDescent="0.25">
      <c r="A36" s="77"/>
      <c r="L36" s="249"/>
      <c r="M36" s="249"/>
      <c r="N36" s="249"/>
      <c r="O36" s="249"/>
    </row>
    <row r="37" spans="1:15" ht="18.75" x14ac:dyDescent="0.25">
      <c r="A37" s="77"/>
      <c r="L37" s="249"/>
      <c r="M37" s="249"/>
      <c r="N37" s="249"/>
      <c r="O37" s="249"/>
    </row>
    <row r="38" spans="1:15" ht="18.75" x14ac:dyDescent="0.25">
      <c r="A38" s="77"/>
      <c r="L38" s="249"/>
      <c r="M38" s="249"/>
      <c r="N38" s="249"/>
      <c r="O38" s="249"/>
    </row>
    <row r="39" spans="1:15" ht="18.75" x14ac:dyDescent="0.25">
      <c r="A39" s="77"/>
      <c r="L39" s="249"/>
      <c r="M39" s="249"/>
      <c r="N39" s="249"/>
      <c r="O39" s="249"/>
    </row>
    <row r="40" spans="1:15" ht="18.75" x14ac:dyDescent="0.25">
      <c r="A40" s="77"/>
      <c r="L40" s="249"/>
      <c r="M40" s="249"/>
      <c r="N40" s="249"/>
      <c r="O40" s="249"/>
    </row>
    <row r="41" spans="1:15" ht="18.75" x14ac:dyDescent="0.25">
      <c r="A41" s="77"/>
      <c r="L41" s="249"/>
      <c r="M41" s="249"/>
      <c r="N41" s="249"/>
      <c r="O41" s="249"/>
    </row>
    <row r="42" spans="1:15" ht="18.75" x14ac:dyDescent="0.25">
      <c r="A42" s="77"/>
      <c r="L42" s="249"/>
      <c r="M42" s="249"/>
      <c r="N42" s="249"/>
      <c r="O42" s="249"/>
    </row>
    <row r="43" spans="1:15" ht="18.75" x14ac:dyDescent="0.25">
      <c r="A43" s="77"/>
      <c r="L43" s="249"/>
      <c r="M43" s="249"/>
      <c r="N43" s="249"/>
      <c r="O43" s="249"/>
    </row>
    <row r="44" spans="1:15" ht="18.75" x14ac:dyDescent="0.25">
      <c r="A44" s="77"/>
      <c r="L44" s="249"/>
      <c r="M44" s="249"/>
      <c r="N44" s="249"/>
      <c r="O44" s="249"/>
    </row>
    <row r="45" spans="1:15" ht="18.75" x14ac:dyDescent="0.25">
      <c r="A45" s="77"/>
      <c r="L45" s="249"/>
      <c r="M45" s="249"/>
      <c r="N45" s="249"/>
      <c r="O45" s="249"/>
    </row>
    <row r="46" spans="1:15" ht="18.75" x14ac:dyDescent="0.25">
      <c r="A46" s="77"/>
      <c r="L46" s="249"/>
      <c r="M46" s="249"/>
      <c r="N46" s="249"/>
      <c r="O46" s="249"/>
    </row>
    <row r="47" spans="1:15" ht="18.75" x14ac:dyDescent="0.25">
      <c r="A47" s="77"/>
      <c r="L47" s="249"/>
      <c r="M47" s="249"/>
      <c r="N47" s="249"/>
      <c r="O47" s="249"/>
    </row>
    <row r="48" spans="1:15" ht="18.75" x14ac:dyDescent="0.25">
      <c r="A48" s="77"/>
      <c r="L48" s="249"/>
      <c r="M48" s="249"/>
      <c r="N48" s="249"/>
      <c r="O48" s="249"/>
    </row>
    <row r="49" spans="1:15" ht="18.75" x14ac:dyDescent="0.25">
      <c r="A49" s="77"/>
      <c r="L49" s="249"/>
      <c r="M49" s="249"/>
      <c r="N49" s="249"/>
      <c r="O49" s="249"/>
    </row>
    <row r="50" spans="1:15" ht="18.75" x14ac:dyDescent="0.25">
      <c r="A50" s="77"/>
      <c r="L50" s="249"/>
      <c r="M50" s="249"/>
      <c r="N50" s="249"/>
      <c r="O50" s="249"/>
    </row>
    <row r="51" spans="1:15" ht="18.75" x14ac:dyDescent="0.25">
      <c r="A51" s="77"/>
      <c r="L51" s="249"/>
      <c r="M51" s="249"/>
      <c r="N51" s="249"/>
      <c r="O51" s="249"/>
    </row>
    <row r="52" spans="1:15" ht="18.75" x14ac:dyDescent="0.25">
      <c r="A52" s="77"/>
      <c r="L52" s="249"/>
      <c r="M52" s="249"/>
      <c r="N52" s="249"/>
      <c r="O52" s="249"/>
    </row>
    <row r="53" spans="1:15" ht="18.75" x14ac:dyDescent="0.25">
      <c r="A53" s="77"/>
      <c r="L53" s="249"/>
      <c r="M53" s="249"/>
      <c r="N53" s="249"/>
      <c r="O53" s="249"/>
    </row>
    <row r="54" spans="1:15" ht="18.75" x14ac:dyDescent="0.25">
      <c r="A54" s="77"/>
      <c r="L54" s="249"/>
      <c r="M54" s="249"/>
      <c r="N54" s="249"/>
      <c r="O54" s="249"/>
    </row>
    <row r="55" spans="1:15" ht="18.75" x14ac:dyDescent="0.25">
      <c r="A55" s="77"/>
      <c r="L55" s="249"/>
      <c r="M55" s="249"/>
      <c r="N55" s="249"/>
      <c r="O55" s="249"/>
    </row>
    <row r="56" spans="1:15" ht="18.75" x14ac:dyDescent="0.25">
      <c r="A56" s="77"/>
      <c r="L56" s="249"/>
      <c r="M56" s="249"/>
      <c r="N56" s="249"/>
      <c r="O56" s="249"/>
    </row>
    <row r="57" spans="1:15" ht="18.75" x14ac:dyDescent="0.25">
      <c r="A57" s="77"/>
      <c r="L57" s="249"/>
      <c r="M57" s="249"/>
      <c r="N57" s="249"/>
      <c r="O57" s="249"/>
    </row>
    <row r="58" spans="1:15" ht="18.75" x14ac:dyDescent="0.25">
      <c r="A58" s="77"/>
      <c r="L58" s="249"/>
      <c r="M58" s="249"/>
      <c r="N58" s="249"/>
      <c r="O58" s="249"/>
    </row>
    <row r="59" spans="1:15" ht="18.75" x14ac:dyDescent="0.25">
      <c r="A59" s="77"/>
      <c r="L59" s="249"/>
      <c r="M59" s="249"/>
      <c r="N59" s="249"/>
      <c r="O59" s="249"/>
    </row>
    <row r="60" spans="1:15" ht="18.75" x14ac:dyDescent="0.25">
      <c r="A60" s="77"/>
      <c r="L60" s="249"/>
      <c r="M60" s="249"/>
      <c r="N60" s="249"/>
      <c r="O60" s="249"/>
    </row>
    <row r="61" spans="1:15" ht="18.75" x14ac:dyDescent="0.25">
      <c r="A61" s="77"/>
      <c r="L61" s="249"/>
      <c r="M61" s="249"/>
      <c r="N61" s="249"/>
      <c r="O61" s="249"/>
    </row>
    <row r="62" spans="1:15" ht="18.75" x14ac:dyDescent="0.25">
      <c r="A62" s="77"/>
      <c r="L62" s="249"/>
      <c r="M62" s="249"/>
      <c r="N62" s="249"/>
      <c r="O62" s="249"/>
    </row>
    <row r="63" spans="1:15" ht="18.75" x14ac:dyDescent="0.25">
      <c r="A63" s="77"/>
      <c r="L63" s="249"/>
      <c r="M63" s="249"/>
      <c r="N63" s="249"/>
      <c r="O63" s="249"/>
    </row>
    <row r="64" spans="1:15" ht="18.75" x14ac:dyDescent="0.25">
      <c r="A64" s="77"/>
      <c r="L64" s="249"/>
      <c r="M64" s="249"/>
      <c r="N64" s="249"/>
      <c r="O64" s="249"/>
    </row>
    <row r="65" spans="1:15" ht="18.75" x14ac:dyDescent="0.25">
      <c r="A65" s="77"/>
      <c r="L65" s="249"/>
      <c r="M65" s="249"/>
      <c r="N65" s="249"/>
      <c r="O65" s="249"/>
    </row>
    <row r="66" spans="1:15" ht="18.75" x14ac:dyDescent="0.25">
      <c r="A66" s="77"/>
      <c r="L66" s="249"/>
      <c r="M66" s="249"/>
      <c r="N66" s="249"/>
      <c r="O66" s="249"/>
    </row>
    <row r="67" spans="1:15" ht="18.75" x14ac:dyDescent="0.25">
      <c r="A67" s="77"/>
      <c r="L67" s="249"/>
      <c r="M67" s="249"/>
      <c r="N67" s="249"/>
      <c r="O67" s="249"/>
    </row>
    <row r="68" spans="1:15" ht="18.75" x14ac:dyDescent="0.25">
      <c r="A68" s="77"/>
      <c r="L68" s="249"/>
      <c r="M68" s="249"/>
      <c r="N68" s="249"/>
      <c r="O68" s="249"/>
    </row>
    <row r="69" spans="1:15" ht="18.75" x14ac:dyDescent="0.25">
      <c r="A69" s="77"/>
      <c r="L69" s="249"/>
      <c r="M69" s="249"/>
      <c r="N69" s="249"/>
      <c r="O69" s="249"/>
    </row>
    <row r="70" spans="1:15" ht="18.75" x14ac:dyDescent="0.25">
      <c r="A70" s="77"/>
      <c r="L70" s="249"/>
      <c r="M70" s="249"/>
      <c r="N70" s="249"/>
      <c r="O70" s="249"/>
    </row>
    <row r="71" spans="1:15" ht="18.75" x14ac:dyDescent="0.25">
      <c r="A71" s="77"/>
      <c r="L71" s="249"/>
      <c r="M71" s="249"/>
      <c r="N71" s="249"/>
      <c r="O71" s="249"/>
    </row>
    <row r="72" spans="1:15" ht="18.75" x14ac:dyDescent="0.25">
      <c r="A72" s="77"/>
      <c r="L72" s="249"/>
      <c r="M72" s="249"/>
      <c r="N72" s="249"/>
      <c r="O72" s="249"/>
    </row>
    <row r="73" spans="1:15" ht="18.75" x14ac:dyDescent="0.25">
      <c r="A73" s="77"/>
      <c r="L73" s="249"/>
      <c r="M73" s="249"/>
      <c r="N73" s="249"/>
      <c r="O73" s="249"/>
    </row>
    <row r="74" spans="1:15" ht="18.75" x14ac:dyDescent="0.25">
      <c r="A74" s="77"/>
      <c r="L74" s="249"/>
      <c r="M74" s="249"/>
      <c r="N74" s="249"/>
      <c r="O74" s="249"/>
    </row>
    <row r="75" spans="1:15" ht="18.75" x14ac:dyDescent="0.25">
      <c r="A75" s="77"/>
      <c r="L75" s="249"/>
      <c r="M75" s="249"/>
      <c r="N75" s="249"/>
      <c r="O75" s="249"/>
    </row>
    <row r="76" spans="1:15" ht="18.75" x14ac:dyDescent="0.25">
      <c r="A76" s="77"/>
      <c r="L76" s="249"/>
      <c r="M76" s="249"/>
      <c r="N76" s="249"/>
      <c r="O76" s="249"/>
    </row>
    <row r="77" spans="1:15" ht="18.75" x14ac:dyDescent="0.25">
      <c r="A77" s="77"/>
      <c r="L77" s="249"/>
      <c r="M77" s="249"/>
      <c r="N77" s="249"/>
      <c r="O77" s="249"/>
    </row>
    <row r="78" spans="1:15" ht="18.75" x14ac:dyDescent="0.25">
      <c r="A78" s="77"/>
      <c r="L78" s="249"/>
      <c r="M78" s="249"/>
      <c r="N78" s="249"/>
      <c r="O78" s="249"/>
    </row>
    <row r="79" spans="1:15" ht="18.75" x14ac:dyDescent="0.25">
      <c r="A79" s="77"/>
      <c r="L79" s="249"/>
      <c r="M79" s="249"/>
      <c r="N79" s="249"/>
      <c r="O79" s="249"/>
    </row>
    <row r="80" spans="1:15" ht="18.75" x14ac:dyDescent="0.25">
      <c r="A80" s="77"/>
      <c r="L80" s="249"/>
      <c r="M80" s="249"/>
      <c r="N80" s="249"/>
      <c r="O80" s="249"/>
    </row>
    <row r="81" spans="1:15" ht="18.75" x14ac:dyDescent="0.25">
      <c r="A81" s="77"/>
      <c r="L81" s="249"/>
      <c r="M81" s="249"/>
      <c r="N81" s="249"/>
      <c r="O81" s="249"/>
    </row>
    <row r="82" spans="1:15" ht="18.75" x14ac:dyDescent="0.25">
      <c r="A82" s="77"/>
      <c r="L82" s="249"/>
      <c r="M82" s="249"/>
      <c r="N82" s="249"/>
      <c r="O82" s="249"/>
    </row>
    <row r="83" spans="1:15" ht="18.75" x14ac:dyDescent="0.25">
      <c r="A83" s="77"/>
      <c r="L83" s="249"/>
      <c r="M83" s="249"/>
      <c r="N83" s="249"/>
      <c r="O83" s="249"/>
    </row>
    <row r="84" spans="1:15" ht="18.75" x14ac:dyDescent="0.25">
      <c r="A84" s="77"/>
      <c r="L84" s="249"/>
      <c r="M84" s="249"/>
      <c r="N84" s="249"/>
      <c r="O84" s="249"/>
    </row>
    <row r="85" spans="1:15" ht="18.75" x14ac:dyDescent="0.25">
      <c r="A85" s="77"/>
      <c r="L85" s="249"/>
      <c r="M85" s="249"/>
      <c r="N85" s="249"/>
      <c r="O85" s="249"/>
    </row>
    <row r="86" spans="1:15" ht="18.75" x14ac:dyDescent="0.25">
      <c r="A86" s="77"/>
      <c r="L86" s="249"/>
      <c r="M86" s="249"/>
      <c r="N86" s="249"/>
      <c r="O86" s="249"/>
    </row>
    <row r="87" spans="1:15" ht="18.75" x14ac:dyDescent="0.25">
      <c r="A87" s="77"/>
      <c r="L87" s="249"/>
      <c r="M87" s="249"/>
      <c r="N87" s="249"/>
      <c r="O87" s="249"/>
    </row>
    <row r="88" spans="1:15" ht="18.75" x14ac:dyDescent="0.25">
      <c r="A88" s="77"/>
      <c r="L88" s="249"/>
      <c r="M88" s="249"/>
      <c r="N88" s="249"/>
      <c r="O88" s="249"/>
    </row>
    <row r="89" spans="1:15" ht="18.75" x14ac:dyDescent="0.25">
      <c r="A89" s="77"/>
      <c r="L89" s="249"/>
      <c r="M89" s="249"/>
      <c r="N89" s="249"/>
      <c r="O89" s="249"/>
    </row>
    <row r="90" spans="1:15" ht="18.75" x14ac:dyDescent="0.25">
      <c r="A90" s="77"/>
      <c r="L90" s="249"/>
      <c r="M90" s="249"/>
      <c r="N90" s="249"/>
      <c r="O90" s="249"/>
    </row>
    <row r="91" spans="1:15" ht="18.75" x14ac:dyDescent="0.25">
      <c r="A91" s="77"/>
      <c r="L91" s="249"/>
      <c r="M91" s="249"/>
      <c r="N91" s="249"/>
      <c r="O91" s="249"/>
    </row>
    <row r="92" spans="1:15" ht="18.75" x14ac:dyDescent="0.25">
      <c r="A92" s="77"/>
      <c r="L92" s="249"/>
      <c r="M92" s="249"/>
      <c r="N92" s="249"/>
      <c r="O92" s="249"/>
    </row>
    <row r="93" spans="1:15" ht="18.75" x14ac:dyDescent="0.25">
      <c r="A93" s="77"/>
      <c r="L93" s="249"/>
      <c r="M93" s="249"/>
      <c r="N93" s="249"/>
      <c r="O93" s="249"/>
    </row>
    <row r="94" spans="1:15" ht="18.75" x14ac:dyDescent="0.25">
      <c r="A94" s="77"/>
      <c r="L94" s="249"/>
      <c r="M94" s="249"/>
      <c r="N94" s="249"/>
      <c r="O94" s="249"/>
    </row>
    <row r="95" spans="1:15" ht="18.75" x14ac:dyDescent="0.25">
      <c r="A95" s="77"/>
      <c r="L95" s="249"/>
      <c r="M95" s="249"/>
      <c r="N95" s="249"/>
      <c r="O95" s="249"/>
    </row>
    <row r="96" spans="1:15" ht="18.75" x14ac:dyDescent="0.25">
      <c r="A96" s="77"/>
      <c r="L96" s="249"/>
      <c r="M96" s="249"/>
      <c r="N96" s="249"/>
      <c r="O96" s="249"/>
    </row>
    <row r="97" spans="1:15" ht="18.75" x14ac:dyDescent="0.25">
      <c r="A97" s="77"/>
      <c r="L97" s="249"/>
      <c r="M97" s="249"/>
      <c r="N97" s="249"/>
      <c r="O97" s="249"/>
    </row>
    <row r="98" spans="1:15" ht="18.75" x14ac:dyDescent="0.25">
      <c r="A98" s="77"/>
      <c r="L98" s="249"/>
      <c r="M98" s="249"/>
      <c r="N98" s="249"/>
      <c r="O98" s="249"/>
    </row>
    <row r="99" spans="1:15" ht="18.75" x14ac:dyDescent="0.25">
      <c r="A99" s="77"/>
      <c r="L99" s="249"/>
      <c r="M99" s="249"/>
      <c r="N99" s="249"/>
      <c r="O99" s="249"/>
    </row>
    <row r="100" spans="1:15" ht="18.75" x14ac:dyDescent="0.25">
      <c r="A100" s="77"/>
      <c r="L100" s="249"/>
      <c r="M100" s="249"/>
      <c r="N100" s="249"/>
      <c r="O100" s="249"/>
    </row>
    <row r="101" spans="1:15" ht="18.75" x14ac:dyDescent="0.25">
      <c r="A101" s="77"/>
      <c r="L101" s="249"/>
      <c r="M101" s="249"/>
      <c r="N101" s="249"/>
      <c r="O101" s="249"/>
    </row>
    <row r="102" spans="1:15" ht="18.75" x14ac:dyDescent="0.25">
      <c r="A102" s="77"/>
      <c r="L102" s="249"/>
      <c r="M102" s="249"/>
      <c r="N102" s="249"/>
      <c r="O102" s="249"/>
    </row>
    <row r="103" spans="1:15" ht="18.75" x14ac:dyDescent="0.25">
      <c r="A103" s="77"/>
      <c r="L103" s="249"/>
      <c r="M103" s="249"/>
      <c r="N103" s="249"/>
      <c r="O103" s="249"/>
    </row>
    <row r="104" spans="1:15" ht="18.75" x14ac:dyDescent="0.25">
      <c r="A104" s="77"/>
      <c r="L104" s="249"/>
      <c r="M104" s="249"/>
      <c r="N104" s="249"/>
      <c r="O104" s="249"/>
    </row>
    <row r="105" spans="1:15" ht="18.75" x14ac:dyDescent="0.25">
      <c r="A105" s="77"/>
      <c r="L105" s="249"/>
      <c r="M105" s="249"/>
      <c r="N105" s="249"/>
      <c r="O105" s="249"/>
    </row>
    <row r="106" spans="1:15" ht="18.75" x14ac:dyDescent="0.25">
      <c r="A106" s="77"/>
      <c r="L106" s="249"/>
      <c r="M106" s="249"/>
      <c r="N106" s="249"/>
      <c r="O106" s="249"/>
    </row>
    <row r="107" spans="1:15" ht="18.75" x14ac:dyDescent="0.25">
      <c r="A107" s="77"/>
      <c r="L107" s="249"/>
      <c r="M107" s="249"/>
      <c r="N107" s="249"/>
      <c r="O107" s="249"/>
    </row>
    <row r="108" spans="1:15" ht="18.75" x14ac:dyDescent="0.25">
      <c r="A108" s="77"/>
      <c r="L108" s="249"/>
      <c r="M108" s="249"/>
      <c r="N108" s="249"/>
      <c r="O108" s="249"/>
    </row>
    <row r="109" spans="1:15" ht="18.75" x14ac:dyDescent="0.25">
      <c r="A109" s="77"/>
      <c r="L109" s="249"/>
      <c r="M109" s="249"/>
      <c r="N109" s="249"/>
      <c r="O109" s="249"/>
    </row>
    <row r="110" spans="1:15" ht="18.75" x14ac:dyDescent="0.25">
      <c r="A110" s="77"/>
      <c r="L110" s="249"/>
      <c r="M110" s="249"/>
      <c r="N110" s="249"/>
      <c r="O110" s="249"/>
    </row>
    <row r="111" spans="1:15" ht="18.75" x14ac:dyDescent="0.25">
      <c r="A111" s="77"/>
      <c r="L111" s="249"/>
      <c r="M111" s="249"/>
      <c r="N111" s="249"/>
      <c r="O111" s="249"/>
    </row>
    <row r="112" spans="1:15" ht="18.75" x14ac:dyDescent="0.25">
      <c r="A112" s="77"/>
      <c r="L112" s="249"/>
      <c r="M112" s="249"/>
      <c r="N112" s="249"/>
      <c r="O112" s="249"/>
    </row>
    <row r="113" spans="1:15" ht="18.75" x14ac:dyDescent="0.25">
      <c r="A113" s="77"/>
      <c r="L113" s="249"/>
      <c r="M113" s="249"/>
      <c r="N113" s="249"/>
      <c r="O113" s="249"/>
    </row>
    <row r="114" spans="1:15" ht="18.75" x14ac:dyDescent="0.25">
      <c r="A114" s="77"/>
      <c r="L114" s="249"/>
      <c r="M114" s="249"/>
      <c r="N114" s="249"/>
      <c r="O114" s="249"/>
    </row>
    <row r="115" spans="1:15" ht="18.75" x14ac:dyDescent="0.25">
      <c r="A115" s="77"/>
      <c r="L115" s="249"/>
      <c r="M115" s="249"/>
      <c r="N115" s="249"/>
      <c r="O115" s="249"/>
    </row>
    <row r="116" spans="1:15" ht="18.75" x14ac:dyDescent="0.25">
      <c r="A116" s="77"/>
      <c r="L116" s="249"/>
      <c r="M116" s="249"/>
      <c r="N116" s="249"/>
      <c r="O116" s="249"/>
    </row>
    <row r="117" spans="1:15" ht="18.75" x14ac:dyDescent="0.25">
      <c r="A117" s="77"/>
      <c r="L117" s="249"/>
      <c r="M117" s="249"/>
      <c r="N117" s="249"/>
      <c r="O117" s="249"/>
    </row>
    <row r="118" spans="1:15" ht="18.75" x14ac:dyDescent="0.25">
      <c r="A118" s="77"/>
      <c r="L118" s="249"/>
      <c r="M118" s="249"/>
      <c r="N118" s="249"/>
      <c r="O118" s="249"/>
    </row>
    <row r="119" spans="1:15" ht="18.75" x14ac:dyDescent="0.25">
      <c r="A119" s="77"/>
      <c r="L119" s="249"/>
      <c r="M119" s="249"/>
      <c r="N119" s="249"/>
      <c r="O119" s="249"/>
    </row>
    <row r="120" spans="1:15" ht="18.75" x14ac:dyDescent="0.25">
      <c r="A120" s="77"/>
      <c r="L120" s="249"/>
      <c r="M120" s="249"/>
      <c r="N120" s="249"/>
      <c r="O120" s="249"/>
    </row>
    <row r="121" spans="1:15" ht="18.75" x14ac:dyDescent="0.25">
      <c r="A121" s="77"/>
      <c r="L121" s="249"/>
      <c r="M121" s="249"/>
      <c r="N121" s="249"/>
      <c r="O121" s="249"/>
    </row>
    <row r="122" spans="1:15" ht="18.75" x14ac:dyDescent="0.25">
      <c r="A122" s="77"/>
      <c r="L122" s="249"/>
      <c r="M122" s="249"/>
      <c r="N122" s="249"/>
      <c r="O122" s="249"/>
    </row>
    <row r="123" spans="1:15" ht="18.75" x14ac:dyDescent="0.25">
      <c r="A123" s="77"/>
      <c r="L123" s="249"/>
      <c r="M123" s="249"/>
      <c r="N123" s="249"/>
      <c r="O123" s="249"/>
    </row>
    <row r="124" spans="1:15" ht="18.75" x14ac:dyDescent="0.25">
      <c r="A124" s="77"/>
      <c r="L124" s="249"/>
      <c r="M124" s="249"/>
      <c r="N124" s="249"/>
      <c r="O124" s="249"/>
    </row>
    <row r="125" spans="1:15" ht="18.75" x14ac:dyDescent="0.25">
      <c r="A125" s="77"/>
      <c r="L125" s="249"/>
      <c r="M125" s="249"/>
      <c r="N125" s="249"/>
      <c r="O125" s="249"/>
    </row>
    <row r="126" spans="1:15" ht="18.75" x14ac:dyDescent="0.25">
      <c r="A126" s="77"/>
      <c r="L126" s="249"/>
      <c r="M126" s="249"/>
      <c r="N126" s="249"/>
      <c r="O126" s="249"/>
    </row>
    <row r="127" spans="1:15" ht="18.75" x14ac:dyDescent="0.25">
      <c r="A127" s="77"/>
      <c r="L127" s="249"/>
      <c r="M127" s="249"/>
      <c r="N127" s="249"/>
      <c r="O127" s="249"/>
    </row>
    <row r="128" spans="1:15" ht="18.75" x14ac:dyDescent="0.25">
      <c r="A128" s="77"/>
      <c r="L128" s="249"/>
      <c r="M128" s="249"/>
      <c r="N128" s="249"/>
      <c r="O128" s="249"/>
    </row>
    <row r="129" spans="1:15" ht="18.75" x14ac:dyDescent="0.25">
      <c r="A129" s="77"/>
      <c r="L129" s="249"/>
      <c r="M129" s="249"/>
      <c r="N129" s="249"/>
      <c r="O129" s="249"/>
    </row>
    <row r="130" spans="1:15" ht="18.75" x14ac:dyDescent="0.25">
      <c r="A130" s="77"/>
      <c r="L130" s="249"/>
      <c r="M130" s="249"/>
      <c r="N130" s="249"/>
      <c r="O130" s="249"/>
    </row>
    <row r="131" spans="1:15" ht="18.75" x14ac:dyDescent="0.25">
      <c r="A131" s="77"/>
      <c r="L131" s="249"/>
      <c r="M131" s="249"/>
      <c r="N131" s="249"/>
      <c r="O131" s="249"/>
    </row>
    <row r="132" spans="1:15" ht="18.75" x14ac:dyDescent="0.25">
      <c r="A132" s="77"/>
      <c r="L132" s="249"/>
      <c r="M132" s="249"/>
      <c r="N132" s="249"/>
      <c r="O132" s="249"/>
    </row>
    <row r="133" spans="1:15" ht="18.75" x14ac:dyDescent="0.25">
      <c r="A133" s="77"/>
      <c r="L133" s="249"/>
      <c r="M133" s="249"/>
      <c r="N133" s="249"/>
      <c r="O133" s="249"/>
    </row>
    <row r="134" spans="1:15" ht="18.75" x14ac:dyDescent="0.25">
      <c r="A134" s="77"/>
      <c r="L134" s="249"/>
      <c r="M134" s="249"/>
      <c r="N134" s="249"/>
      <c r="O134" s="249"/>
    </row>
    <row r="135" spans="1:15" ht="18.75" x14ac:dyDescent="0.25">
      <c r="A135" s="77"/>
      <c r="L135" s="249"/>
      <c r="M135" s="249"/>
      <c r="N135" s="249"/>
      <c r="O135" s="249"/>
    </row>
    <row r="136" spans="1:15" ht="18.75" x14ac:dyDescent="0.25">
      <c r="A136" s="77"/>
      <c r="L136" s="249"/>
      <c r="M136" s="249"/>
      <c r="N136" s="249"/>
      <c r="O136" s="249"/>
    </row>
    <row r="137" spans="1:15" ht="18.75" x14ac:dyDescent="0.25">
      <c r="A137" s="77"/>
      <c r="L137" s="249"/>
      <c r="M137" s="249"/>
      <c r="N137" s="249"/>
      <c r="O137" s="249"/>
    </row>
    <row r="138" spans="1:15" ht="18.75" x14ac:dyDescent="0.25">
      <c r="A138" s="77"/>
      <c r="L138" s="249"/>
      <c r="M138" s="249"/>
      <c r="N138" s="249"/>
      <c r="O138" s="249"/>
    </row>
    <row r="139" spans="1:15" ht="18.75" x14ac:dyDescent="0.25">
      <c r="A139" s="77"/>
      <c r="L139" s="249"/>
      <c r="M139" s="249"/>
      <c r="N139" s="249"/>
      <c r="O139" s="249"/>
    </row>
    <row r="140" spans="1:15" ht="18.75" x14ac:dyDescent="0.25">
      <c r="A140" s="77"/>
      <c r="L140" s="249"/>
      <c r="M140" s="249"/>
      <c r="N140" s="249"/>
      <c r="O140" s="249"/>
    </row>
    <row r="141" spans="1:15" ht="18.75" x14ac:dyDescent="0.25">
      <c r="A141" s="77"/>
      <c r="L141" s="249"/>
      <c r="M141" s="249"/>
      <c r="N141" s="249"/>
      <c r="O141" s="249"/>
    </row>
    <row r="142" spans="1:15" ht="18.75" x14ac:dyDescent="0.25">
      <c r="A142" s="77"/>
      <c r="L142" s="249"/>
      <c r="M142" s="249"/>
      <c r="N142" s="249"/>
      <c r="O142" s="249"/>
    </row>
    <row r="143" spans="1:15" ht="18.75" x14ac:dyDescent="0.25">
      <c r="A143" s="77"/>
      <c r="L143" s="249"/>
      <c r="M143" s="249"/>
      <c r="N143" s="249"/>
      <c r="O143" s="249"/>
    </row>
    <row r="144" spans="1:15" ht="18.75" x14ac:dyDescent="0.25">
      <c r="A144" s="77"/>
      <c r="L144" s="249"/>
      <c r="M144" s="249"/>
      <c r="N144" s="249"/>
      <c r="O144" s="249"/>
    </row>
    <row r="145" spans="1:15" ht="18.75" x14ac:dyDescent="0.25">
      <c r="A145" s="77"/>
      <c r="L145" s="249"/>
      <c r="M145" s="249"/>
      <c r="N145" s="249"/>
      <c r="O145" s="249"/>
    </row>
    <row r="146" spans="1:15" ht="18.75" x14ac:dyDescent="0.25">
      <c r="A146" s="77"/>
      <c r="L146" s="249"/>
      <c r="M146" s="249"/>
      <c r="N146" s="249"/>
      <c r="O146" s="249"/>
    </row>
    <row r="147" spans="1:15" ht="18.75" x14ac:dyDescent="0.25">
      <c r="A147" s="77"/>
      <c r="L147" s="249"/>
      <c r="M147" s="249"/>
      <c r="N147" s="249"/>
      <c r="O147" s="249"/>
    </row>
    <row r="148" spans="1:15" ht="18.75" x14ac:dyDescent="0.25">
      <c r="A148" s="77"/>
      <c r="L148" s="249"/>
      <c r="M148" s="249"/>
      <c r="N148" s="249"/>
      <c r="O148" s="249"/>
    </row>
    <row r="149" spans="1:15" ht="18.75" x14ac:dyDescent="0.25">
      <c r="A149" s="77"/>
      <c r="L149" s="249"/>
      <c r="M149" s="249"/>
      <c r="N149" s="249"/>
      <c r="O149" s="249"/>
    </row>
    <row r="150" spans="1:15" ht="18.75" x14ac:dyDescent="0.25">
      <c r="A150" s="77"/>
      <c r="L150" s="249"/>
      <c r="M150" s="249"/>
      <c r="N150" s="249"/>
      <c r="O150" s="249"/>
    </row>
    <row r="151" spans="1:15" ht="18.75" x14ac:dyDescent="0.25">
      <c r="A151" s="77"/>
      <c r="L151" s="249"/>
      <c r="M151" s="249"/>
      <c r="N151" s="249"/>
      <c r="O151" s="249"/>
    </row>
    <row r="152" spans="1:15" ht="18.75" x14ac:dyDescent="0.25">
      <c r="A152" s="77"/>
      <c r="L152" s="249"/>
      <c r="M152" s="249"/>
      <c r="N152" s="249"/>
      <c r="O152" s="249"/>
    </row>
    <row r="153" spans="1:15" ht="18.75" x14ac:dyDescent="0.25">
      <c r="A153" s="77"/>
      <c r="L153" s="249"/>
      <c r="M153" s="249"/>
      <c r="N153" s="249"/>
      <c r="O153" s="249"/>
    </row>
    <row r="154" spans="1:15" ht="18.75" x14ac:dyDescent="0.25">
      <c r="A154" s="77"/>
      <c r="L154" s="249"/>
      <c r="M154" s="249"/>
      <c r="N154" s="249"/>
      <c r="O154" s="249"/>
    </row>
    <row r="155" spans="1:15" ht="18.75" x14ac:dyDescent="0.25">
      <c r="A155" s="77"/>
      <c r="L155" s="249"/>
      <c r="M155" s="249"/>
      <c r="N155" s="249"/>
      <c r="O155" s="249"/>
    </row>
    <row r="156" spans="1:15" ht="18.75" x14ac:dyDescent="0.25">
      <c r="A156" s="77"/>
      <c r="L156" s="249"/>
      <c r="M156" s="249"/>
      <c r="N156" s="249"/>
      <c r="O156" s="249"/>
    </row>
    <row r="157" spans="1:15" ht="18.75" x14ac:dyDescent="0.25">
      <c r="A157" s="77"/>
      <c r="L157" s="249"/>
      <c r="M157" s="249"/>
      <c r="N157" s="249"/>
      <c r="O157" s="249"/>
    </row>
    <row r="158" spans="1:15" ht="18.75" x14ac:dyDescent="0.25">
      <c r="A158" s="77"/>
      <c r="L158" s="249"/>
      <c r="M158" s="249"/>
      <c r="N158" s="249"/>
      <c r="O158" s="249"/>
    </row>
    <row r="159" spans="1:15" ht="18.75" x14ac:dyDescent="0.25">
      <c r="A159" s="77"/>
      <c r="L159" s="249"/>
      <c r="M159" s="249"/>
      <c r="N159" s="249"/>
      <c r="O159" s="249"/>
    </row>
    <row r="160" spans="1:15" ht="18.75" x14ac:dyDescent="0.25">
      <c r="A160" s="77"/>
      <c r="L160" s="249"/>
      <c r="M160" s="249"/>
      <c r="N160" s="249"/>
      <c r="O160" s="249"/>
    </row>
    <row r="161" spans="1:15" ht="18.75" x14ac:dyDescent="0.25">
      <c r="A161" s="77"/>
      <c r="L161" s="249"/>
      <c r="M161" s="249"/>
      <c r="N161" s="249"/>
      <c r="O161" s="249"/>
    </row>
    <row r="162" spans="1:15" ht="18.75" x14ac:dyDescent="0.25">
      <c r="A162" s="77"/>
      <c r="L162" s="249"/>
      <c r="M162" s="249"/>
      <c r="N162" s="249"/>
      <c r="O162" s="249"/>
    </row>
    <row r="163" spans="1:15" ht="18.75" x14ac:dyDescent="0.25">
      <c r="A163" s="77"/>
      <c r="L163" s="249"/>
      <c r="M163" s="249"/>
      <c r="N163" s="249"/>
      <c r="O163" s="249"/>
    </row>
    <row r="164" spans="1:15" ht="18.75" x14ac:dyDescent="0.25">
      <c r="A164" s="77"/>
      <c r="L164" s="249"/>
      <c r="M164" s="249"/>
      <c r="N164" s="249"/>
      <c r="O164" s="249"/>
    </row>
    <row r="165" spans="1:15" ht="18.75" x14ac:dyDescent="0.25">
      <c r="A165" s="77"/>
      <c r="L165" s="249"/>
      <c r="M165" s="249"/>
      <c r="N165" s="249"/>
      <c r="O165" s="249"/>
    </row>
    <row r="166" spans="1:15" ht="18.75" x14ac:dyDescent="0.25">
      <c r="A166" s="77"/>
      <c r="L166" s="249"/>
      <c r="M166" s="249"/>
      <c r="N166" s="249"/>
      <c r="O166" s="249"/>
    </row>
    <row r="167" spans="1:15" ht="18.75" x14ac:dyDescent="0.25">
      <c r="A167" s="77"/>
      <c r="L167" s="249"/>
      <c r="M167" s="249"/>
      <c r="N167" s="249"/>
      <c r="O167" s="249"/>
    </row>
    <row r="168" spans="1:15" ht="18.75" x14ac:dyDescent="0.25">
      <c r="A168" s="77"/>
      <c r="L168" s="249"/>
      <c r="M168" s="249"/>
      <c r="N168" s="249"/>
      <c r="O168" s="249"/>
    </row>
    <row r="169" spans="1:15" ht="18.75" x14ac:dyDescent="0.25">
      <c r="A169" s="77"/>
      <c r="L169" s="249"/>
      <c r="M169" s="249"/>
      <c r="N169" s="249"/>
      <c r="O169" s="249"/>
    </row>
    <row r="170" spans="1:15" ht="18.75" x14ac:dyDescent="0.25">
      <c r="A170" s="77"/>
      <c r="L170" s="249"/>
      <c r="M170" s="249"/>
      <c r="N170" s="249"/>
      <c r="O170" s="249"/>
    </row>
    <row r="171" spans="1:15" ht="18.75" x14ac:dyDescent="0.25">
      <c r="A171" s="77"/>
      <c r="L171" s="249"/>
      <c r="M171" s="249"/>
      <c r="N171" s="249"/>
      <c r="O171" s="249"/>
    </row>
    <row r="172" spans="1:15" ht="18.75" x14ac:dyDescent="0.25">
      <c r="A172" s="77"/>
      <c r="L172" s="249"/>
      <c r="M172" s="249"/>
      <c r="N172" s="249"/>
      <c r="O172" s="249"/>
    </row>
    <row r="173" spans="1:15" ht="18.75" x14ac:dyDescent="0.25">
      <c r="A173" s="77"/>
      <c r="L173" s="249"/>
      <c r="M173" s="249"/>
      <c r="N173" s="249"/>
      <c r="O173" s="249"/>
    </row>
    <row r="174" spans="1:15" ht="18.75" x14ac:dyDescent="0.25">
      <c r="A174" s="77"/>
      <c r="L174" s="249"/>
      <c r="M174" s="249"/>
      <c r="N174" s="249"/>
      <c r="O174" s="249"/>
    </row>
    <row r="175" spans="1:15" ht="18.75" x14ac:dyDescent="0.25">
      <c r="A175" s="77"/>
      <c r="L175" s="249"/>
      <c r="M175" s="249"/>
      <c r="N175" s="249"/>
      <c r="O175" s="249"/>
    </row>
    <row r="176" spans="1:15" ht="18.75" x14ac:dyDescent="0.25">
      <c r="A176" s="77"/>
      <c r="L176" s="249"/>
      <c r="M176" s="249"/>
      <c r="N176" s="249"/>
      <c r="O176" s="249"/>
    </row>
    <row r="177" spans="1:15" ht="18.75" x14ac:dyDescent="0.25">
      <c r="A177" s="77"/>
      <c r="L177" s="249"/>
      <c r="M177" s="249"/>
      <c r="N177" s="249"/>
      <c r="O177" s="249"/>
    </row>
    <row r="178" spans="1:15" ht="18.75" x14ac:dyDescent="0.25">
      <c r="A178" s="77"/>
      <c r="L178" s="249"/>
      <c r="M178" s="249"/>
      <c r="N178" s="249"/>
      <c r="O178" s="249"/>
    </row>
    <row r="179" spans="1:15" ht="18.75" x14ac:dyDescent="0.25">
      <c r="A179" s="77"/>
      <c r="L179" s="249"/>
      <c r="M179" s="249"/>
      <c r="N179" s="249"/>
      <c r="O179" s="249"/>
    </row>
    <row r="180" spans="1:15" ht="18.75" x14ac:dyDescent="0.25">
      <c r="A180" s="77"/>
      <c r="L180" s="249"/>
      <c r="M180" s="249"/>
      <c r="N180" s="249"/>
      <c r="O180" s="249"/>
    </row>
    <row r="181" spans="1:15" ht="18.75" x14ac:dyDescent="0.25">
      <c r="A181" s="77"/>
      <c r="L181" s="249"/>
      <c r="M181" s="249"/>
      <c r="N181" s="249"/>
      <c r="O181" s="249"/>
    </row>
    <row r="182" spans="1:15" ht="18.75" x14ac:dyDescent="0.25">
      <c r="A182" s="77"/>
      <c r="L182" s="249"/>
      <c r="M182" s="249"/>
      <c r="N182" s="249"/>
      <c r="O182" s="249"/>
    </row>
    <row r="183" spans="1:15" ht="18.75" x14ac:dyDescent="0.25">
      <c r="A183" s="77"/>
      <c r="L183" s="249"/>
      <c r="M183" s="249"/>
      <c r="N183" s="249"/>
      <c r="O183" s="249"/>
    </row>
    <row r="184" spans="1:15" ht="18.75" x14ac:dyDescent="0.25">
      <c r="A184" s="77"/>
      <c r="L184" s="249"/>
      <c r="M184" s="249"/>
      <c r="N184" s="249"/>
      <c r="O184" s="249"/>
    </row>
    <row r="185" spans="1:15" ht="18.75" x14ac:dyDescent="0.25">
      <c r="A185" s="77"/>
      <c r="L185" s="249"/>
      <c r="M185" s="249"/>
      <c r="N185" s="249"/>
      <c r="O185" s="249"/>
    </row>
    <row r="186" spans="1:15" ht="18.75" x14ac:dyDescent="0.25">
      <c r="A186" s="77"/>
      <c r="L186" s="249"/>
      <c r="M186" s="249"/>
      <c r="N186" s="249"/>
      <c r="O186" s="249"/>
    </row>
    <row r="187" spans="1:15" ht="18.75" x14ac:dyDescent="0.25">
      <c r="A187" s="77"/>
      <c r="L187" s="249"/>
      <c r="M187" s="249"/>
      <c r="N187" s="249"/>
      <c r="O187" s="249"/>
    </row>
    <row r="188" spans="1:15" ht="18.75" x14ac:dyDescent="0.25">
      <c r="A188" s="77"/>
      <c r="L188" s="249"/>
      <c r="M188" s="249"/>
      <c r="N188" s="249"/>
      <c r="O188" s="249"/>
    </row>
    <row r="189" spans="1:15" ht="18.75" x14ac:dyDescent="0.25">
      <c r="A189" s="77"/>
      <c r="L189" s="249"/>
      <c r="M189" s="249"/>
      <c r="N189" s="249"/>
      <c r="O189" s="249"/>
    </row>
    <row r="190" spans="1:15" ht="18.75" x14ac:dyDescent="0.25">
      <c r="A190" s="77"/>
      <c r="L190" s="249"/>
      <c r="M190" s="249"/>
      <c r="N190" s="249"/>
      <c r="O190" s="249"/>
    </row>
    <row r="191" spans="1:15" ht="18.75" x14ac:dyDescent="0.25">
      <c r="A191" s="77"/>
      <c r="L191" s="249"/>
      <c r="M191" s="249"/>
      <c r="N191" s="249"/>
      <c r="O191" s="249"/>
    </row>
    <row r="192" spans="1:15" ht="18.75" x14ac:dyDescent="0.25">
      <c r="A192" s="77"/>
      <c r="L192" s="249"/>
      <c r="M192" s="249"/>
      <c r="N192" s="249"/>
      <c r="O192" s="249"/>
    </row>
    <row r="193" spans="1:15" ht="18.75" x14ac:dyDescent="0.25">
      <c r="A193" s="77"/>
      <c r="L193" s="249"/>
      <c r="M193" s="249"/>
      <c r="N193" s="249"/>
      <c r="O193" s="249"/>
    </row>
    <row r="194" spans="1:15" ht="18.75" x14ac:dyDescent="0.25">
      <c r="A194" s="77"/>
      <c r="L194" s="249"/>
      <c r="M194" s="249"/>
      <c r="N194" s="249"/>
      <c r="O194" s="249"/>
    </row>
    <row r="195" spans="1:15" ht="18.75" x14ac:dyDescent="0.25">
      <c r="A195" s="77"/>
      <c r="L195" s="249"/>
      <c r="M195" s="249"/>
      <c r="N195" s="249"/>
      <c r="O195" s="249"/>
    </row>
    <row r="196" spans="1:15" ht="18.75" x14ac:dyDescent="0.25">
      <c r="A196" s="77"/>
      <c r="L196" s="249"/>
      <c r="M196" s="249"/>
      <c r="N196" s="249"/>
      <c r="O196" s="249"/>
    </row>
    <row r="197" spans="1:15" ht="18.75" x14ac:dyDescent="0.25">
      <c r="A197" s="77"/>
      <c r="L197" s="249"/>
      <c r="M197" s="249"/>
      <c r="N197" s="249"/>
      <c r="O197" s="249"/>
    </row>
    <row r="198" spans="1:15" ht="18.75" x14ac:dyDescent="0.25">
      <c r="A198" s="77"/>
      <c r="L198" s="249"/>
      <c r="M198" s="249"/>
      <c r="N198" s="249"/>
      <c r="O198" s="249"/>
    </row>
    <row r="199" spans="1:15" ht="18.75" x14ac:dyDescent="0.25">
      <c r="A199" s="77"/>
      <c r="L199" s="249"/>
      <c r="M199" s="249"/>
      <c r="N199" s="249"/>
      <c r="O199" s="249"/>
    </row>
    <row r="200" spans="1:15" ht="18.75" x14ac:dyDescent="0.25">
      <c r="A200" s="77"/>
      <c r="L200" s="249"/>
      <c r="M200" s="249"/>
      <c r="N200" s="249"/>
      <c r="O200" s="249"/>
    </row>
    <row r="201" spans="1:15" ht="18.75" x14ac:dyDescent="0.25">
      <c r="A201" s="77"/>
      <c r="L201" s="249"/>
      <c r="M201" s="249"/>
      <c r="N201" s="249"/>
      <c r="O201" s="249"/>
    </row>
    <row r="202" spans="1:15" ht="18.75" x14ac:dyDescent="0.25">
      <c r="A202" s="77"/>
      <c r="L202" s="249"/>
      <c r="M202" s="249"/>
      <c r="N202" s="249"/>
      <c r="O202" s="249"/>
    </row>
    <row r="203" spans="1:15" ht="18.75" x14ac:dyDescent="0.25">
      <c r="A203" s="77"/>
      <c r="L203" s="249"/>
      <c r="M203" s="249"/>
      <c r="N203" s="249"/>
      <c r="O203" s="249"/>
    </row>
    <row r="204" spans="1:15" ht="18.75" x14ac:dyDescent="0.25">
      <c r="A204" s="77"/>
      <c r="L204" s="249"/>
      <c r="M204" s="249"/>
      <c r="N204" s="249"/>
      <c r="O204" s="249"/>
    </row>
    <row r="205" spans="1:15" ht="18.75" x14ac:dyDescent="0.25">
      <c r="A205" s="77"/>
      <c r="L205" s="249"/>
      <c r="M205" s="249"/>
      <c r="N205" s="249"/>
      <c r="O205" s="249"/>
    </row>
    <row r="206" spans="1:15" ht="18.75" x14ac:dyDescent="0.25">
      <c r="A206" s="77"/>
      <c r="L206" s="249"/>
      <c r="M206" s="249"/>
      <c r="N206" s="249"/>
      <c r="O206" s="249"/>
    </row>
    <row r="207" spans="1:15" ht="18.75" x14ac:dyDescent="0.25">
      <c r="A207" s="77"/>
      <c r="L207" s="249"/>
      <c r="M207" s="249"/>
      <c r="N207" s="249"/>
      <c r="O207" s="249"/>
    </row>
    <row r="208" spans="1:15" ht="18.75" x14ac:dyDescent="0.25">
      <c r="A208" s="77"/>
      <c r="L208" s="249"/>
      <c r="M208" s="249"/>
      <c r="N208" s="249"/>
      <c r="O208" s="249"/>
    </row>
    <row r="209" spans="1:15" ht="18.75" x14ac:dyDescent="0.25">
      <c r="A209" s="77"/>
      <c r="L209" s="249"/>
      <c r="M209" s="249"/>
      <c r="N209" s="249"/>
      <c r="O209" s="249"/>
    </row>
    <row r="210" spans="1:15" ht="18.75" x14ac:dyDescent="0.25">
      <c r="A210" s="77"/>
      <c r="L210" s="249"/>
      <c r="M210" s="249"/>
      <c r="N210" s="249"/>
      <c r="O210" s="249"/>
    </row>
    <row r="211" spans="1:15" ht="18.75" x14ac:dyDescent="0.25">
      <c r="A211" s="77"/>
      <c r="L211" s="249"/>
      <c r="M211" s="249"/>
      <c r="N211" s="249"/>
      <c r="O211" s="249"/>
    </row>
    <row r="212" spans="1:15" ht="18.75" x14ac:dyDescent="0.25">
      <c r="A212" s="77"/>
      <c r="L212" s="249"/>
      <c r="M212" s="249"/>
      <c r="N212" s="249"/>
      <c r="O212" s="249"/>
    </row>
    <row r="213" spans="1:15" ht="18.75" x14ac:dyDescent="0.25">
      <c r="A213" s="77"/>
      <c r="L213" s="249"/>
      <c r="M213" s="249"/>
      <c r="N213" s="249"/>
      <c r="O213" s="249"/>
    </row>
    <row r="214" spans="1:15" ht="18.75" x14ac:dyDescent="0.25">
      <c r="A214" s="77"/>
      <c r="L214" s="249"/>
      <c r="M214" s="249"/>
      <c r="N214" s="249"/>
      <c r="O214" s="249"/>
    </row>
    <row r="215" spans="1:15" ht="18.75" x14ac:dyDescent="0.25">
      <c r="A215" s="77"/>
      <c r="L215" s="249"/>
      <c r="M215" s="249"/>
      <c r="N215" s="249"/>
      <c r="O215" s="249"/>
    </row>
    <row r="216" spans="1:15" ht="18.75" x14ac:dyDescent="0.25">
      <c r="A216" s="77"/>
      <c r="L216" s="249"/>
      <c r="M216" s="249"/>
      <c r="N216" s="249"/>
      <c r="O216" s="249"/>
    </row>
    <row r="217" spans="1:15" ht="18.75" x14ac:dyDescent="0.25">
      <c r="A217" s="77"/>
      <c r="L217" s="249"/>
      <c r="M217" s="249"/>
      <c r="N217" s="249"/>
      <c r="O217" s="249"/>
    </row>
    <row r="218" spans="1:15" ht="18.75" x14ac:dyDescent="0.25">
      <c r="A218" s="77"/>
      <c r="L218" s="249"/>
      <c r="M218" s="249"/>
      <c r="N218" s="249"/>
      <c r="O218" s="249"/>
    </row>
    <row r="219" spans="1:15" ht="18.75" x14ac:dyDescent="0.25">
      <c r="A219" s="77"/>
      <c r="L219" s="249"/>
      <c r="M219" s="249"/>
      <c r="N219" s="249"/>
      <c r="O219" s="249"/>
    </row>
    <row r="220" spans="1:15" ht="18.75" x14ac:dyDescent="0.25">
      <c r="A220" s="77"/>
      <c r="L220" s="249"/>
      <c r="M220" s="249"/>
      <c r="N220" s="249"/>
      <c r="O220" s="249"/>
    </row>
    <row r="221" spans="1:15" ht="18.75" x14ac:dyDescent="0.25">
      <c r="A221" s="77"/>
      <c r="L221" s="249"/>
      <c r="M221" s="249"/>
      <c r="N221" s="249"/>
      <c r="O221" s="249"/>
    </row>
    <row r="222" spans="1:15" ht="18.75" x14ac:dyDescent="0.25">
      <c r="A222" s="77"/>
      <c r="L222" s="249"/>
      <c r="M222" s="249"/>
      <c r="N222" s="249"/>
      <c r="O222" s="249"/>
    </row>
    <row r="223" spans="1:15" ht="18.75" x14ac:dyDescent="0.25">
      <c r="A223" s="77"/>
      <c r="L223" s="249"/>
      <c r="M223" s="249"/>
      <c r="N223" s="249"/>
      <c r="O223" s="249"/>
    </row>
    <row r="224" spans="1:15" ht="18.75" x14ac:dyDescent="0.25">
      <c r="A224" s="77"/>
      <c r="L224" s="249"/>
      <c r="M224" s="249"/>
      <c r="N224" s="249"/>
      <c r="O224" s="249"/>
    </row>
    <row r="225" spans="1:15" ht="18.75" x14ac:dyDescent="0.25">
      <c r="A225" s="77"/>
      <c r="L225" s="249"/>
      <c r="M225" s="249"/>
      <c r="N225" s="249"/>
      <c r="O225" s="249"/>
    </row>
    <row r="226" spans="1:15" ht="18.75" x14ac:dyDescent="0.25">
      <c r="A226" s="77"/>
      <c r="L226" s="249"/>
      <c r="M226" s="249"/>
      <c r="N226" s="249"/>
      <c r="O226" s="249"/>
    </row>
    <row r="227" spans="1:15" ht="18.75" x14ac:dyDescent="0.25">
      <c r="A227" s="77"/>
      <c r="L227" s="249"/>
      <c r="M227" s="249"/>
      <c r="N227" s="249"/>
      <c r="O227" s="249"/>
    </row>
    <row r="228" spans="1:15" ht="18.75" x14ac:dyDescent="0.25">
      <c r="A228" s="77"/>
      <c r="L228" s="249"/>
      <c r="M228" s="249"/>
      <c r="N228" s="249"/>
      <c r="O228" s="249"/>
    </row>
    <row r="229" spans="1:15" ht="18.75" x14ac:dyDescent="0.25">
      <c r="A229" s="77"/>
      <c r="L229" s="249"/>
      <c r="M229" s="249"/>
      <c r="N229" s="249"/>
      <c r="O229" s="249"/>
    </row>
    <row r="230" spans="1:15" ht="18.75" x14ac:dyDescent="0.25">
      <c r="A230" s="77"/>
      <c r="L230" s="249"/>
      <c r="M230" s="249"/>
      <c r="N230" s="249"/>
      <c r="O230" s="249"/>
    </row>
    <row r="231" spans="1:15" ht="18.75" x14ac:dyDescent="0.25">
      <c r="A231" s="77"/>
      <c r="L231" s="249"/>
      <c r="M231" s="249"/>
      <c r="N231" s="249"/>
      <c r="O231" s="249"/>
    </row>
    <row r="232" spans="1:15" ht="18.75" x14ac:dyDescent="0.25">
      <c r="A232" s="77"/>
      <c r="L232" s="249"/>
      <c r="M232" s="249"/>
      <c r="N232" s="249"/>
      <c r="O232" s="249"/>
    </row>
    <row r="233" spans="1:15" ht="18.75" x14ac:dyDescent="0.25">
      <c r="A233" s="77"/>
      <c r="L233" s="249"/>
      <c r="M233" s="249"/>
      <c r="N233" s="249"/>
      <c r="O233" s="249"/>
    </row>
    <row r="234" spans="1:15" ht="18.75" x14ac:dyDescent="0.25">
      <c r="A234" s="77"/>
      <c r="L234" s="249"/>
      <c r="M234" s="249"/>
      <c r="N234" s="249"/>
      <c r="O234" s="249"/>
    </row>
    <row r="235" spans="1:15" ht="18.75" x14ac:dyDescent="0.25">
      <c r="A235" s="77"/>
      <c r="L235" s="249"/>
      <c r="M235" s="249"/>
      <c r="N235" s="249"/>
      <c r="O235" s="249"/>
    </row>
    <row r="236" spans="1:15" ht="18.75" x14ac:dyDescent="0.25">
      <c r="A236" s="77"/>
      <c r="L236" s="249"/>
      <c r="M236" s="249"/>
      <c r="N236" s="249"/>
      <c r="O236" s="249"/>
    </row>
    <row r="237" spans="1:15" ht="18.75" x14ac:dyDescent="0.25">
      <c r="A237" s="77"/>
      <c r="L237" s="249"/>
      <c r="M237" s="249"/>
      <c r="N237" s="249"/>
      <c r="O237" s="249"/>
    </row>
    <row r="238" spans="1:15" ht="18.75" x14ac:dyDescent="0.25">
      <c r="A238" s="77"/>
      <c r="L238" s="249"/>
      <c r="M238" s="249"/>
      <c r="N238" s="249"/>
      <c r="O238" s="249"/>
    </row>
    <row r="239" spans="1:15" ht="18.75" x14ac:dyDescent="0.25">
      <c r="A239" s="77"/>
      <c r="L239" s="249"/>
      <c r="M239" s="249"/>
      <c r="N239" s="249"/>
      <c r="O239" s="249"/>
    </row>
    <row r="240" spans="1:15" ht="18.75" x14ac:dyDescent="0.25">
      <c r="A240" s="77"/>
      <c r="L240" s="249"/>
      <c r="M240" s="249"/>
      <c r="N240" s="249"/>
      <c r="O240" s="249"/>
    </row>
    <row r="241" spans="1:15" ht="18.75" x14ac:dyDescent="0.25">
      <c r="A241" s="77"/>
      <c r="L241" s="249"/>
      <c r="M241" s="249"/>
      <c r="N241" s="249"/>
      <c r="O241" s="249"/>
    </row>
    <row r="242" spans="1:15" ht="18.75" x14ac:dyDescent="0.25">
      <c r="A242" s="77"/>
      <c r="L242" s="249"/>
      <c r="M242" s="249"/>
      <c r="N242" s="249"/>
      <c r="O242" s="249"/>
    </row>
    <row r="243" spans="1:15" ht="18.75" x14ac:dyDescent="0.25">
      <c r="A243" s="77"/>
      <c r="L243" s="249"/>
      <c r="M243" s="249"/>
      <c r="N243" s="249"/>
      <c r="O243" s="249"/>
    </row>
    <row r="244" spans="1:15" ht="18.75" x14ac:dyDescent="0.25">
      <c r="A244" s="77"/>
      <c r="L244" s="249"/>
      <c r="M244" s="249"/>
      <c r="N244" s="249"/>
      <c r="O244" s="249"/>
    </row>
    <row r="245" spans="1:15" ht="18.75" x14ac:dyDescent="0.25">
      <c r="A245" s="77"/>
      <c r="L245" s="249"/>
      <c r="M245" s="249"/>
      <c r="N245" s="249"/>
      <c r="O245" s="249"/>
    </row>
    <row r="246" spans="1:15" ht="18.75" x14ac:dyDescent="0.25">
      <c r="A246" s="77"/>
      <c r="L246" s="249"/>
      <c r="M246" s="249"/>
      <c r="N246" s="249"/>
      <c r="O246" s="249"/>
    </row>
    <row r="247" spans="1:15" ht="18.75" x14ac:dyDescent="0.25">
      <c r="A247" s="77"/>
      <c r="L247" s="249"/>
      <c r="M247" s="249"/>
      <c r="N247" s="249"/>
      <c r="O247" s="249"/>
    </row>
    <row r="248" spans="1:15" ht="18.75" x14ac:dyDescent="0.25">
      <c r="A248" s="77"/>
      <c r="L248" s="249"/>
      <c r="M248" s="249"/>
      <c r="N248" s="249"/>
      <c r="O248" s="249"/>
    </row>
    <row r="249" spans="1:15" ht="18.75" x14ac:dyDescent="0.25">
      <c r="A249" s="77"/>
      <c r="L249" s="249"/>
      <c r="M249" s="249"/>
      <c r="N249" s="249"/>
      <c r="O249" s="249"/>
    </row>
    <row r="250" spans="1:15" ht="18.75" x14ac:dyDescent="0.25">
      <c r="A250" s="77"/>
      <c r="L250" s="249"/>
      <c r="M250" s="249"/>
      <c r="N250" s="249"/>
      <c r="O250" s="249"/>
    </row>
    <row r="251" spans="1:15" ht="18.75" x14ac:dyDescent="0.25">
      <c r="A251" s="77"/>
      <c r="L251" s="249"/>
      <c r="M251" s="249"/>
      <c r="N251" s="249"/>
      <c r="O251" s="249"/>
    </row>
    <row r="252" spans="1:15" ht="18.75" x14ac:dyDescent="0.25">
      <c r="A252" s="77"/>
      <c r="L252" s="249"/>
      <c r="M252" s="249"/>
      <c r="N252" s="249"/>
      <c r="O252" s="249"/>
    </row>
    <row r="253" spans="1:15" ht="18.75" x14ac:dyDescent="0.25">
      <c r="A253" s="77"/>
      <c r="L253" s="249"/>
      <c r="M253" s="249"/>
      <c r="N253" s="249"/>
      <c r="O253" s="249"/>
    </row>
    <row r="254" spans="1:15" ht="18.75" x14ac:dyDescent="0.25">
      <c r="A254" s="77"/>
      <c r="L254" s="249"/>
      <c r="M254" s="249"/>
      <c r="N254" s="249"/>
      <c r="O254" s="249"/>
    </row>
    <row r="255" spans="1:15" ht="18.75" x14ac:dyDescent="0.25">
      <c r="A255" s="77"/>
      <c r="L255" s="249"/>
      <c r="M255" s="249"/>
      <c r="N255" s="249"/>
      <c r="O255" s="249"/>
    </row>
    <row r="256" spans="1:15" ht="18.75" x14ac:dyDescent="0.25">
      <c r="A256" s="77"/>
      <c r="L256" s="249"/>
      <c r="M256" s="249"/>
      <c r="N256" s="249"/>
      <c r="O256" s="249"/>
    </row>
    <row r="257" spans="1:15" ht="18.75" x14ac:dyDescent="0.25">
      <c r="A257" s="77"/>
      <c r="L257" s="249"/>
      <c r="M257" s="249"/>
      <c r="N257" s="249"/>
      <c r="O257" s="249"/>
    </row>
    <row r="258" spans="1:15" ht="18.75" x14ac:dyDescent="0.25">
      <c r="A258" s="77"/>
      <c r="L258" s="249"/>
      <c r="M258" s="249"/>
      <c r="N258" s="249"/>
      <c r="O258" s="249"/>
    </row>
    <row r="259" spans="1:15" ht="18.75" x14ac:dyDescent="0.25">
      <c r="A259" s="77"/>
      <c r="L259" s="249"/>
      <c r="M259" s="249"/>
      <c r="N259" s="249"/>
      <c r="O259" s="249"/>
    </row>
    <row r="260" spans="1:15" ht="18.75" x14ac:dyDescent="0.25">
      <c r="A260" s="77"/>
      <c r="L260" s="249"/>
      <c r="M260" s="249"/>
      <c r="N260" s="249"/>
      <c r="O260" s="249"/>
    </row>
    <row r="261" spans="1:15" ht="18.75" x14ac:dyDescent="0.25">
      <c r="A261" s="77"/>
      <c r="L261" s="249"/>
      <c r="M261" s="249"/>
      <c r="N261" s="249"/>
      <c r="O261" s="249"/>
    </row>
    <row r="262" spans="1:15" ht="18.75" x14ac:dyDescent="0.25">
      <c r="A262" s="77"/>
      <c r="L262" s="249"/>
      <c r="M262" s="249"/>
      <c r="N262" s="249"/>
      <c r="O262" s="249"/>
    </row>
    <row r="263" spans="1:15" ht="18.75" x14ac:dyDescent="0.25">
      <c r="A263" s="77"/>
      <c r="L263" s="249"/>
      <c r="M263" s="249"/>
      <c r="N263" s="249"/>
      <c r="O263" s="249"/>
    </row>
    <row r="264" spans="1:15" ht="18.75" x14ac:dyDescent="0.25">
      <c r="A264" s="77"/>
      <c r="L264" s="249"/>
      <c r="M264" s="249"/>
      <c r="N264" s="249"/>
      <c r="O264" s="249"/>
    </row>
    <row r="265" spans="1:15" ht="18.75" x14ac:dyDescent="0.25">
      <c r="A265" s="77"/>
      <c r="L265" s="249"/>
      <c r="M265" s="249"/>
      <c r="N265" s="249"/>
      <c r="O265" s="249"/>
    </row>
    <row r="266" spans="1:15" ht="18.75" x14ac:dyDescent="0.25">
      <c r="A266" s="77"/>
      <c r="L266" s="249"/>
      <c r="M266" s="249"/>
      <c r="N266" s="249"/>
      <c r="O266" s="249"/>
    </row>
    <row r="267" spans="1:15" ht="18.75" x14ac:dyDescent="0.25">
      <c r="A267" s="77"/>
      <c r="L267" s="249"/>
      <c r="M267" s="249"/>
      <c r="N267" s="249"/>
      <c r="O267" s="249"/>
    </row>
    <row r="268" spans="1:15" ht="18.75" x14ac:dyDescent="0.25">
      <c r="A268" s="77"/>
      <c r="L268" s="249"/>
      <c r="M268" s="249"/>
      <c r="N268" s="249"/>
      <c r="O268" s="249"/>
    </row>
    <row r="269" spans="1:15" ht="18.75" x14ac:dyDescent="0.25">
      <c r="A269" s="77"/>
      <c r="L269" s="249"/>
      <c r="M269" s="249"/>
      <c r="N269" s="249"/>
      <c r="O269" s="249"/>
    </row>
    <row r="270" spans="1:15" ht="18.75" x14ac:dyDescent="0.25">
      <c r="A270" s="77"/>
      <c r="L270" s="249"/>
      <c r="M270" s="249"/>
      <c r="N270" s="249"/>
      <c r="O270" s="249"/>
    </row>
    <row r="271" spans="1:15" ht="18.75" x14ac:dyDescent="0.25">
      <c r="A271" s="77"/>
      <c r="L271" s="249"/>
      <c r="M271" s="249"/>
      <c r="N271" s="249"/>
      <c r="O271" s="249"/>
    </row>
    <row r="272" spans="1:15" ht="18.75" x14ac:dyDescent="0.25">
      <c r="A272" s="77"/>
      <c r="L272" s="249"/>
      <c r="M272" s="249"/>
      <c r="N272" s="249"/>
      <c r="O272" s="249"/>
    </row>
    <row r="273" spans="1:15" ht="18.75" x14ac:dyDescent="0.25">
      <c r="A273" s="77"/>
      <c r="L273" s="249"/>
      <c r="M273" s="249"/>
      <c r="N273" s="249"/>
      <c r="O273" s="249"/>
    </row>
    <row r="274" spans="1:15" ht="18.75" x14ac:dyDescent="0.25">
      <c r="A274" s="77"/>
      <c r="L274" s="249"/>
      <c r="M274" s="249"/>
      <c r="N274" s="249"/>
      <c r="O274" s="249"/>
    </row>
    <row r="275" spans="1:15" ht="18.75" x14ac:dyDescent="0.25">
      <c r="A275" s="77"/>
      <c r="L275" s="249"/>
      <c r="M275" s="249"/>
      <c r="N275" s="249"/>
      <c r="O275" s="249"/>
    </row>
    <row r="276" spans="1:15" ht="18.75" x14ac:dyDescent="0.25">
      <c r="A276" s="77"/>
      <c r="L276" s="249"/>
      <c r="M276" s="249"/>
      <c r="N276" s="249"/>
      <c r="O276" s="249"/>
    </row>
    <row r="277" spans="1:15" ht="18.75" x14ac:dyDescent="0.25">
      <c r="A277" s="77"/>
      <c r="L277" s="249"/>
      <c r="M277" s="249"/>
      <c r="N277" s="249"/>
      <c r="O277" s="249"/>
    </row>
    <row r="278" spans="1:15" ht="18.75" x14ac:dyDescent="0.25">
      <c r="A278" s="77"/>
      <c r="L278" s="249"/>
      <c r="M278" s="249"/>
      <c r="N278" s="249"/>
      <c r="O278" s="249"/>
    </row>
    <row r="279" spans="1:15" ht="18.75" x14ac:dyDescent="0.25">
      <c r="A279" s="77"/>
      <c r="L279" s="249"/>
      <c r="M279" s="249"/>
      <c r="N279" s="249"/>
      <c r="O279" s="249"/>
    </row>
    <row r="280" spans="1:15" ht="18.75" x14ac:dyDescent="0.25">
      <c r="A280" s="77"/>
      <c r="L280" s="249"/>
      <c r="M280" s="249"/>
      <c r="N280" s="249"/>
      <c r="O280" s="249"/>
    </row>
    <row r="281" spans="1:15" ht="18.75" x14ac:dyDescent="0.25">
      <c r="A281" s="77"/>
      <c r="L281" s="249"/>
      <c r="M281" s="249"/>
      <c r="N281" s="249"/>
      <c r="O281" s="249"/>
    </row>
    <row r="282" spans="1:15" ht="18.75" x14ac:dyDescent="0.25">
      <c r="A282" s="77"/>
      <c r="L282" s="249"/>
      <c r="M282" s="249"/>
      <c r="N282" s="249"/>
      <c r="O282" s="249"/>
    </row>
    <row r="283" spans="1:15" ht="18.75" x14ac:dyDescent="0.25">
      <c r="A283" s="77"/>
      <c r="L283" s="249"/>
      <c r="M283" s="249"/>
      <c r="N283" s="249"/>
      <c r="O283" s="249"/>
    </row>
    <row r="284" spans="1:15" ht="18.75" x14ac:dyDescent="0.25">
      <c r="A284" s="77"/>
      <c r="L284" s="249"/>
      <c r="M284" s="249"/>
      <c r="N284" s="249"/>
      <c r="O284" s="249"/>
    </row>
    <row r="285" spans="1:15" ht="18.75" x14ac:dyDescent="0.25">
      <c r="A285" s="77"/>
      <c r="L285" s="249"/>
      <c r="M285" s="249"/>
      <c r="N285" s="249"/>
      <c r="O285" s="249"/>
    </row>
    <row r="286" spans="1:15" ht="18.75" x14ac:dyDescent="0.25">
      <c r="A286" s="77"/>
      <c r="L286" s="249"/>
      <c r="M286" s="249"/>
      <c r="N286" s="249"/>
      <c r="O286" s="249"/>
    </row>
    <row r="287" spans="1:15" ht="18.75" x14ac:dyDescent="0.25">
      <c r="A287" s="77"/>
      <c r="L287" s="249"/>
      <c r="M287" s="249"/>
      <c r="N287" s="249"/>
      <c r="O287" s="249"/>
    </row>
    <row r="288" spans="1:15" ht="18.75" x14ac:dyDescent="0.25">
      <c r="A288" s="77"/>
      <c r="L288" s="249"/>
      <c r="M288" s="249"/>
      <c r="N288" s="249"/>
      <c r="O288" s="249"/>
    </row>
    <row r="289" spans="1:15" ht="18.75" x14ac:dyDescent="0.25">
      <c r="A289" s="77"/>
      <c r="L289" s="249"/>
      <c r="M289" s="249"/>
      <c r="N289" s="249"/>
      <c r="O289" s="249"/>
    </row>
    <row r="290" spans="1:15" ht="18.75" x14ac:dyDescent="0.25">
      <c r="A290" s="77"/>
      <c r="L290" s="249"/>
      <c r="M290" s="249"/>
      <c r="N290" s="249"/>
      <c r="O290" s="249"/>
    </row>
    <row r="291" spans="1:15" ht="18.75" x14ac:dyDescent="0.25">
      <c r="A291" s="77"/>
      <c r="L291" s="249"/>
      <c r="M291" s="249"/>
      <c r="N291" s="249"/>
      <c r="O291" s="249"/>
    </row>
    <row r="292" spans="1:15" ht="18.75" x14ac:dyDescent="0.25">
      <c r="A292" s="77"/>
      <c r="L292" s="249"/>
      <c r="M292" s="249"/>
      <c r="N292" s="249"/>
      <c r="O292" s="249"/>
    </row>
    <row r="293" spans="1:15" ht="18.75" x14ac:dyDescent="0.25">
      <c r="A293" s="77"/>
      <c r="L293" s="249"/>
      <c r="M293" s="249"/>
      <c r="N293" s="249"/>
      <c r="O293" s="249"/>
    </row>
    <row r="294" spans="1:15" ht="18.75" x14ac:dyDescent="0.25">
      <c r="A294" s="77"/>
      <c r="L294" s="249"/>
      <c r="M294" s="249"/>
      <c r="N294" s="249"/>
      <c r="O294" s="249"/>
    </row>
    <row r="295" spans="1:15" ht="18.75" x14ac:dyDescent="0.25">
      <c r="A295" s="77"/>
      <c r="L295" s="249"/>
      <c r="M295" s="249"/>
      <c r="N295" s="249"/>
      <c r="O295" s="249"/>
    </row>
    <row r="296" spans="1:15" ht="18.75" x14ac:dyDescent="0.25">
      <c r="A296" s="77"/>
      <c r="L296" s="249"/>
      <c r="M296" s="249"/>
      <c r="N296" s="249"/>
      <c r="O296" s="249"/>
    </row>
    <row r="297" spans="1:15" ht="18.75" x14ac:dyDescent="0.25">
      <c r="A297" s="77"/>
      <c r="L297" s="249"/>
      <c r="M297" s="249"/>
      <c r="N297" s="249"/>
      <c r="O297" s="249"/>
    </row>
    <row r="298" spans="1:15" ht="18.75" x14ac:dyDescent="0.25">
      <c r="A298" s="77"/>
      <c r="L298" s="249"/>
      <c r="M298" s="249"/>
      <c r="N298" s="249"/>
      <c r="O298" s="249"/>
    </row>
    <row r="299" spans="1:15" ht="18.75" x14ac:dyDescent="0.25">
      <c r="A299" s="77"/>
      <c r="L299" s="249"/>
      <c r="M299" s="249"/>
      <c r="N299" s="249"/>
      <c r="O299" s="249"/>
    </row>
    <row r="300" spans="1:15" ht="18.75" x14ac:dyDescent="0.25">
      <c r="A300" s="77"/>
      <c r="L300" s="249"/>
      <c r="M300" s="249"/>
      <c r="N300" s="249"/>
      <c r="O300" s="249"/>
    </row>
    <row r="301" spans="1:15" ht="18.75" x14ac:dyDescent="0.25">
      <c r="A301" s="77"/>
      <c r="L301" s="249"/>
      <c r="M301" s="249"/>
      <c r="N301" s="249"/>
      <c r="O301" s="249"/>
    </row>
    <row r="302" spans="1:15" ht="18.75" x14ac:dyDescent="0.25">
      <c r="A302" s="77"/>
      <c r="L302" s="249"/>
      <c r="M302" s="249"/>
      <c r="N302" s="249"/>
      <c r="O302" s="249"/>
    </row>
    <row r="303" spans="1:15" ht="18.75" x14ac:dyDescent="0.25">
      <c r="A303" s="77"/>
      <c r="L303" s="249"/>
      <c r="M303" s="249"/>
      <c r="N303" s="249"/>
      <c r="O303" s="249"/>
    </row>
    <row r="304" spans="1:15" ht="18.75" x14ac:dyDescent="0.25">
      <c r="A304" s="77"/>
      <c r="L304" s="249"/>
      <c r="M304" s="249"/>
      <c r="N304" s="249"/>
      <c r="O304" s="249"/>
    </row>
    <row r="305" spans="1:15" ht="18.75" x14ac:dyDescent="0.25">
      <c r="A305" s="77"/>
      <c r="L305" s="249"/>
      <c r="M305" s="249"/>
      <c r="N305" s="249"/>
      <c r="O305" s="249"/>
    </row>
    <row r="306" spans="1:15" ht="18.75" x14ac:dyDescent="0.25">
      <c r="A306" s="77"/>
      <c r="L306" s="249"/>
      <c r="M306" s="249"/>
      <c r="N306" s="249"/>
      <c r="O306" s="249"/>
    </row>
    <row r="307" spans="1:15" ht="18.75" x14ac:dyDescent="0.25">
      <c r="A307" s="77"/>
      <c r="L307" s="249"/>
      <c r="M307" s="249"/>
      <c r="N307" s="249"/>
      <c r="O307" s="249"/>
    </row>
    <row r="308" spans="1:15" ht="18.75" x14ac:dyDescent="0.25">
      <c r="A308" s="77"/>
      <c r="L308" s="249"/>
      <c r="M308" s="249"/>
      <c r="N308" s="249"/>
      <c r="O308" s="249"/>
    </row>
    <row r="309" spans="1:15" ht="18.75" x14ac:dyDescent="0.25">
      <c r="A309" s="77"/>
      <c r="L309" s="249"/>
      <c r="M309" s="249"/>
      <c r="N309" s="249"/>
      <c r="O309" s="249"/>
    </row>
    <row r="310" spans="1:15" ht="18.75" x14ac:dyDescent="0.25">
      <c r="A310" s="77"/>
      <c r="L310" s="249"/>
      <c r="M310" s="249"/>
      <c r="N310" s="249"/>
      <c r="O310" s="249"/>
    </row>
    <row r="311" spans="1:15" ht="18.75" x14ac:dyDescent="0.25">
      <c r="A311" s="77"/>
      <c r="L311" s="249"/>
      <c r="M311" s="249"/>
      <c r="N311" s="249"/>
      <c r="O311" s="249"/>
    </row>
    <row r="312" spans="1:15" ht="18.75" x14ac:dyDescent="0.25">
      <c r="A312" s="77"/>
      <c r="L312" s="249"/>
      <c r="M312" s="249"/>
      <c r="N312" s="249"/>
      <c r="O312" s="249"/>
    </row>
    <row r="313" spans="1:15" ht="18.75" x14ac:dyDescent="0.25">
      <c r="A313" s="77"/>
      <c r="L313" s="249"/>
      <c r="M313" s="249"/>
      <c r="N313" s="249"/>
      <c r="O313" s="249"/>
    </row>
    <row r="314" spans="1:15" ht="18.75" x14ac:dyDescent="0.25">
      <c r="A314" s="77"/>
      <c r="L314" s="249"/>
      <c r="M314" s="249"/>
      <c r="N314" s="249"/>
      <c r="O314" s="249"/>
    </row>
    <row r="315" spans="1:15" ht="18.75" x14ac:dyDescent="0.25">
      <c r="A315" s="77"/>
      <c r="L315" s="249"/>
      <c r="M315" s="249"/>
      <c r="N315" s="249"/>
      <c r="O315" s="249"/>
    </row>
    <row r="316" spans="1:15" ht="18.75" x14ac:dyDescent="0.25">
      <c r="A316" s="77"/>
      <c r="L316" s="249"/>
      <c r="M316" s="249"/>
      <c r="N316" s="249"/>
      <c r="O316" s="249"/>
    </row>
    <row r="317" spans="1:15" ht="18.75" x14ac:dyDescent="0.25">
      <c r="A317" s="77"/>
      <c r="L317" s="249"/>
      <c r="M317" s="249"/>
      <c r="N317" s="249"/>
      <c r="O317" s="249"/>
    </row>
    <row r="318" spans="1:15" ht="18.75" x14ac:dyDescent="0.25">
      <c r="A318" s="77"/>
      <c r="L318" s="249"/>
      <c r="M318" s="249"/>
      <c r="N318" s="249"/>
      <c r="O318" s="249"/>
    </row>
    <row r="319" spans="1:15" ht="18.75" x14ac:dyDescent="0.25">
      <c r="A319" s="77"/>
      <c r="L319" s="249"/>
      <c r="M319" s="249"/>
      <c r="N319" s="249"/>
      <c r="O319" s="249"/>
    </row>
    <row r="320" spans="1:15" ht="18.75" x14ac:dyDescent="0.25">
      <c r="A320" s="77"/>
      <c r="L320" s="249"/>
      <c r="M320" s="249"/>
      <c r="N320" s="249"/>
      <c r="O320" s="249"/>
    </row>
    <row r="321" spans="1:15" ht="18.75" x14ac:dyDescent="0.25">
      <c r="A321" s="77"/>
      <c r="L321" s="249"/>
      <c r="M321" s="249"/>
      <c r="N321" s="249"/>
      <c r="O321" s="249"/>
    </row>
    <row r="322" spans="1:15" ht="18.75" x14ac:dyDescent="0.25">
      <c r="A322" s="77"/>
      <c r="L322" s="249"/>
      <c r="M322" s="249"/>
      <c r="N322" s="249"/>
      <c r="O322" s="249"/>
    </row>
    <row r="323" spans="1:15" ht="18.75" x14ac:dyDescent="0.25">
      <c r="A323" s="77"/>
      <c r="L323" s="249"/>
      <c r="M323" s="249"/>
      <c r="N323" s="249"/>
      <c r="O323" s="249"/>
    </row>
    <row r="324" spans="1:15" ht="18.75" x14ac:dyDescent="0.25">
      <c r="A324" s="77"/>
      <c r="L324" s="249"/>
      <c r="M324" s="249"/>
      <c r="N324" s="249"/>
      <c r="O324" s="249"/>
    </row>
    <row r="325" spans="1:15" ht="18.75" x14ac:dyDescent="0.25">
      <c r="A325" s="77"/>
      <c r="L325" s="249"/>
      <c r="M325" s="249"/>
      <c r="N325" s="249"/>
      <c r="O325" s="249"/>
    </row>
    <row r="326" spans="1:15" ht="18.75" x14ac:dyDescent="0.25">
      <c r="A326" s="77"/>
      <c r="L326" s="249"/>
      <c r="M326" s="249"/>
      <c r="N326" s="249"/>
      <c r="O326" s="249"/>
    </row>
    <row r="327" spans="1:15" ht="18.75" x14ac:dyDescent="0.25">
      <c r="A327" s="77"/>
      <c r="L327" s="249"/>
      <c r="M327" s="249"/>
      <c r="N327" s="249"/>
      <c r="O327" s="249"/>
    </row>
    <row r="328" spans="1:15" ht="18.75" x14ac:dyDescent="0.25">
      <c r="A328" s="77"/>
      <c r="L328" s="249"/>
      <c r="M328" s="249"/>
      <c r="N328" s="249"/>
      <c r="O328" s="249"/>
    </row>
    <row r="329" spans="1:15" ht="18.75" x14ac:dyDescent="0.25">
      <c r="A329" s="77"/>
      <c r="L329" s="249"/>
      <c r="M329" s="249"/>
      <c r="N329" s="249"/>
      <c r="O329" s="249"/>
    </row>
    <row r="330" spans="1:15" ht="18.75" x14ac:dyDescent="0.25">
      <c r="A330" s="77"/>
      <c r="L330" s="249"/>
      <c r="M330" s="249"/>
      <c r="N330" s="249"/>
      <c r="O330" s="249"/>
    </row>
    <row r="331" spans="1:15" ht="18.75" x14ac:dyDescent="0.25">
      <c r="A331" s="77"/>
      <c r="L331" s="249"/>
      <c r="M331" s="249"/>
      <c r="N331" s="249"/>
      <c r="O331" s="249"/>
    </row>
    <row r="332" spans="1:15" ht="18.75" x14ac:dyDescent="0.25">
      <c r="A332" s="77"/>
      <c r="L332" s="249"/>
      <c r="M332" s="249"/>
      <c r="N332" s="249"/>
      <c r="O332" s="249"/>
    </row>
    <row r="333" spans="1:15" ht="18.75" x14ac:dyDescent="0.25">
      <c r="A333" s="77"/>
      <c r="L333" s="249"/>
      <c r="M333" s="249"/>
      <c r="N333" s="249"/>
      <c r="O333" s="249"/>
    </row>
    <row r="334" spans="1:15" ht="18.75" x14ac:dyDescent="0.25">
      <c r="A334" s="77"/>
      <c r="L334" s="249"/>
      <c r="M334" s="249"/>
      <c r="N334" s="249"/>
      <c r="O334" s="249"/>
    </row>
    <row r="335" spans="1:15" ht="18.75" x14ac:dyDescent="0.25">
      <c r="A335" s="77"/>
      <c r="L335" s="249"/>
      <c r="M335" s="249"/>
      <c r="N335" s="249"/>
      <c r="O335" s="249"/>
    </row>
    <row r="336" spans="1:15" ht="18.75" x14ac:dyDescent="0.25">
      <c r="A336" s="77"/>
      <c r="L336" s="249"/>
      <c r="M336" s="249"/>
      <c r="N336" s="249"/>
      <c r="O336" s="249"/>
    </row>
    <row r="337" spans="1:15" ht="18.75" x14ac:dyDescent="0.25">
      <c r="A337" s="77"/>
      <c r="L337" s="249"/>
      <c r="M337" s="249"/>
      <c r="N337" s="249"/>
      <c r="O337" s="249"/>
    </row>
    <row r="338" spans="1:15" ht="18.75" x14ac:dyDescent="0.25">
      <c r="A338" s="77"/>
      <c r="L338" s="249"/>
      <c r="M338" s="249"/>
      <c r="N338" s="249"/>
      <c r="O338" s="249"/>
    </row>
    <row r="339" spans="1:15" ht="18.75" x14ac:dyDescent="0.25">
      <c r="A339" s="77"/>
      <c r="L339" s="249"/>
      <c r="M339" s="249"/>
      <c r="N339" s="249"/>
      <c r="O339" s="249"/>
    </row>
    <row r="340" spans="1:15" ht="18.75" x14ac:dyDescent="0.25">
      <c r="A340" s="77"/>
      <c r="L340" s="249"/>
      <c r="M340" s="249"/>
      <c r="N340" s="249"/>
      <c r="O340" s="249"/>
    </row>
    <row r="341" spans="1:15" ht="18.75" x14ac:dyDescent="0.25">
      <c r="A341" s="77"/>
      <c r="L341" s="249"/>
      <c r="M341" s="249"/>
      <c r="N341" s="249"/>
      <c r="O341" s="249"/>
    </row>
    <row r="342" spans="1:15" ht="18.75" x14ac:dyDescent="0.25">
      <c r="A342" s="77"/>
      <c r="L342" s="249"/>
      <c r="M342" s="249"/>
      <c r="N342" s="249"/>
      <c r="O342" s="249"/>
    </row>
    <row r="343" spans="1:15" ht="18.75" x14ac:dyDescent="0.25">
      <c r="A343" s="77"/>
      <c r="L343" s="249"/>
      <c r="M343" s="249"/>
      <c r="N343" s="249"/>
      <c r="O343" s="249"/>
    </row>
    <row r="344" spans="1:15" ht="18.75" x14ac:dyDescent="0.25">
      <c r="A344" s="77"/>
      <c r="L344" s="249"/>
      <c r="M344" s="249"/>
      <c r="N344" s="249"/>
      <c r="O344" s="249"/>
    </row>
    <row r="345" spans="1:15" ht="18.75" x14ac:dyDescent="0.25">
      <c r="A345" s="77"/>
      <c r="L345" s="249"/>
      <c r="M345" s="249"/>
      <c r="N345" s="249"/>
      <c r="O345" s="249"/>
    </row>
    <row r="346" spans="1:15" ht="18.75" x14ac:dyDescent="0.25">
      <c r="A346" s="77"/>
      <c r="L346" s="249"/>
      <c r="M346" s="249"/>
      <c r="N346" s="249"/>
      <c r="O346" s="249"/>
    </row>
    <row r="347" spans="1:15" ht="18.75" x14ac:dyDescent="0.25">
      <c r="A347" s="77"/>
      <c r="L347" s="249"/>
      <c r="M347" s="249"/>
      <c r="N347" s="249"/>
      <c r="O347" s="249"/>
    </row>
    <row r="348" spans="1:15" ht="18.75" x14ac:dyDescent="0.25">
      <c r="A348" s="77"/>
      <c r="L348" s="249"/>
      <c r="M348" s="249"/>
      <c r="N348" s="249"/>
      <c r="O348" s="249"/>
    </row>
    <row r="349" spans="1:15" ht="18.75" x14ac:dyDescent="0.25">
      <c r="A349" s="77"/>
      <c r="L349" s="249"/>
      <c r="M349" s="249"/>
      <c r="N349" s="249"/>
      <c r="O349" s="249"/>
    </row>
    <row r="350" spans="1:15" ht="18.75" x14ac:dyDescent="0.25">
      <c r="A350" s="77"/>
      <c r="L350" s="249"/>
      <c r="M350" s="249"/>
      <c r="N350" s="249"/>
      <c r="O350" s="249"/>
    </row>
    <row r="351" spans="1:15" ht="18.75" x14ac:dyDescent="0.25">
      <c r="A351" s="77"/>
      <c r="L351" s="249"/>
      <c r="M351" s="249"/>
      <c r="N351" s="249"/>
      <c r="O351" s="249"/>
    </row>
    <row r="352" spans="1:15" ht="18.75" x14ac:dyDescent="0.25">
      <c r="A352" s="77"/>
      <c r="L352" s="249"/>
      <c r="M352" s="249"/>
      <c r="N352" s="249"/>
      <c r="O352" s="249"/>
    </row>
    <row r="353" spans="1:15" ht="18.75" x14ac:dyDescent="0.25">
      <c r="A353" s="77"/>
      <c r="L353" s="249"/>
      <c r="M353" s="249"/>
      <c r="N353" s="249"/>
      <c r="O353" s="249"/>
    </row>
    <row r="354" spans="1:15" ht="18.75" x14ac:dyDescent="0.25">
      <c r="A354" s="77"/>
      <c r="L354" s="249"/>
      <c r="M354" s="249"/>
      <c r="N354" s="249"/>
      <c r="O354" s="249"/>
    </row>
    <row r="355" spans="1:15" ht="18.75" x14ac:dyDescent="0.25">
      <c r="A355" s="77"/>
      <c r="L355" s="249"/>
      <c r="M355" s="249"/>
      <c r="N355" s="249"/>
      <c r="O355" s="249"/>
    </row>
    <row r="356" spans="1:15" ht="18.75" x14ac:dyDescent="0.25">
      <c r="A356" s="77"/>
      <c r="L356" s="249"/>
      <c r="M356" s="249"/>
      <c r="N356" s="249"/>
      <c r="O356" s="249"/>
    </row>
    <row r="357" spans="1:15" ht="18.75" x14ac:dyDescent="0.25">
      <c r="A357" s="77"/>
      <c r="L357" s="249"/>
      <c r="M357" s="249"/>
      <c r="N357" s="249"/>
      <c r="O357" s="249"/>
    </row>
    <row r="358" spans="1:15" ht="18.75" x14ac:dyDescent="0.25">
      <c r="A358" s="77"/>
      <c r="L358" s="249"/>
      <c r="M358" s="249"/>
      <c r="N358" s="249"/>
      <c r="O358" s="249"/>
    </row>
    <row r="359" spans="1:15" ht="18.75" x14ac:dyDescent="0.25">
      <c r="A359" s="77"/>
      <c r="L359" s="249"/>
      <c r="M359" s="249"/>
      <c r="N359" s="249"/>
      <c r="O359" s="249"/>
    </row>
    <row r="360" spans="1:15" ht="18.75" x14ac:dyDescent="0.25">
      <c r="A360" s="77"/>
      <c r="L360" s="249"/>
      <c r="M360" s="249"/>
      <c r="N360" s="249"/>
      <c r="O360" s="249"/>
    </row>
    <row r="361" spans="1:15" ht="18.75" x14ac:dyDescent="0.25">
      <c r="A361" s="77"/>
      <c r="L361" s="249"/>
      <c r="M361" s="249"/>
      <c r="N361" s="249"/>
      <c r="O361" s="249"/>
    </row>
    <row r="362" spans="1:15" ht="18.75" x14ac:dyDescent="0.25">
      <c r="A362" s="77"/>
      <c r="L362" s="249"/>
      <c r="M362" s="249"/>
      <c r="N362" s="249"/>
      <c r="O362" s="249"/>
    </row>
    <row r="363" spans="1:15" ht="18.75" x14ac:dyDescent="0.25">
      <c r="A363" s="77"/>
      <c r="L363" s="249"/>
      <c r="M363" s="249"/>
      <c r="N363" s="249"/>
      <c r="O363" s="249"/>
    </row>
    <row r="364" spans="1:15" ht="18.75" x14ac:dyDescent="0.25">
      <c r="A364" s="77"/>
      <c r="L364" s="249"/>
      <c r="M364" s="249"/>
      <c r="N364" s="249"/>
      <c r="O364" s="249"/>
    </row>
    <row r="365" spans="1:15" ht="18.75" x14ac:dyDescent="0.25">
      <c r="A365" s="77"/>
      <c r="L365" s="249"/>
      <c r="M365" s="249"/>
      <c r="N365" s="249"/>
      <c r="O365" s="249"/>
    </row>
    <row r="366" spans="1:15" ht="18.75" x14ac:dyDescent="0.25">
      <c r="A366" s="77"/>
      <c r="L366" s="249"/>
      <c r="M366" s="249"/>
      <c r="N366" s="249"/>
      <c r="O366" s="249"/>
    </row>
    <row r="367" spans="1:15" ht="18.75" x14ac:dyDescent="0.25">
      <c r="A367" s="77"/>
      <c r="L367" s="249"/>
      <c r="M367" s="249"/>
      <c r="N367" s="249"/>
      <c r="O367" s="249"/>
    </row>
    <row r="368" spans="1:15" ht="18.75" x14ac:dyDescent="0.25">
      <c r="A368" s="77"/>
      <c r="L368" s="249"/>
      <c r="M368" s="249"/>
      <c r="N368" s="249"/>
      <c r="O368" s="249"/>
    </row>
    <row r="369" spans="1:15" ht="18.75" x14ac:dyDescent="0.25">
      <c r="A369" s="77"/>
      <c r="L369" s="249"/>
      <c r="M369" s="249"/>
      <c r="N369" s="249"/>
      <c r="O369" s="249"/>
    </row>
    <row r="370" spans="1:15" ht="18.75" x14ac:dyDescent="0.25">
      <c r="A370" s="77"/>
      <c r="L370" s="249"/>
      <c r="M370" s="249"/>
      <c r="N370" s="249"/>
      <c r="O370" s="249"/>
    </row>
    <row r="371" spans="1:15" ht="18.75" x14ac:dyDescent="0.25">
      <c r="A371" s="77"/>
      <c r="L371" s="249"/>
      <c r="M371" s="249"/>
      <c r="N371" s="249"/>
      <c r="O371" s="249"/>
    </row>
    <row r="372" spans="1:15" ht="18.75" x14ac:dyDescent="0.25">
      <c r="A372" s="77"/>
      <c r="L372" s="249"/>
      <c r="M372" s="249"/>
      <c r="N372" s="249"/>
      <c r="O372" s="249"/>
    </row>
    <row r="373" spans="1:15" ht="18.75" x14ac:dyDescent="0.25">
      <c r="A373" s="77"/>
      <c r="L373" s="249"/>
      <c r="M373" s="249"/>
      <c r="N373" s="249"/>
      <c r="O373" s="249"/>
    </row>
    <row r="374" spans="1:15" ht="18.75" x14ac:dyDescent="0.25">
      <c r="A374" s="77"/>
      <c r="L374" s="249"/>
      <c r="M374" s="249"/>
      <c r="N374" s="249"/>
      <c r="O374" s="249"/>
    </row>
    <row r="375" spans="1:15" ht="18.75" x14ac:dyDescent="0.25">
      <c r="A375" s="77"/>
      <c r="L375" s="249"/>
      <c r="M375" s="249"/>
      <c r="N375" s="249"/>
      <c r="O375" s="249"/>
    </row>
    <row r="376" spans="1:15" ht="18.75" x14ac:dyDescent="0.25">
      <c r="A376" s="77"/>
      <c r="L376" s="249"/>
      <c r="M376" s="249"/>
      <c r="N376" s="249"/>
      <c r="O376" s="249"/>
    </row>
    <row r="377" spans="1:15" ht="18.75" x14ac:dyDescent="0.25">
      <c r="A377" s="77"/>
      <c r="L377" s="249"/>
      <c r="M377" s="249"/>
      <c r="N377" s="249"/>
      <c r="O377" s="249"/>
    </row>
    <row r="378" spans="1:15" ht="18.75" x14ac:dyDescent="0.25">
      <c r="A378" s="77"/>
      <c r="L378" s="249"/>
      <c r="M378" s="249"/>
      <c r="N378" s="249"/>
      <c r="O378" s="249"/>
    </row>
    <row r="379" spans="1:15" ht="18.75" x14ac:dyDescent="0.25">
      <c r="A379" s="77"/>
      <c r="L379" s="249"/>
      <c r="M379" s="249"/>
      <c r="N379" s="249"/>
      <c r="O379" s="249"/>
    </row>
    <row r="380" spans="1:15" ht="18.75" x14ac:dyDescent="0.25">
      <c r="A380" s="77"/>
      <c r="L380" s="249"/>
      <c r="M380" s="249"/>
      <c r="N380" s="249"/>
      <c r="O380" s="249"/>
    </row>
    <row r="381" spans="1:15" ht="18.75" x14ac:dyDescent="0.25">
      <c r="A381" s="77"/>
      <c r="L381" s="249"/>
      <c r="M381" s="249"/>
      <c r="N381" s="249"/>
      <c r="O381" s="249"/>
    </row>
    <row r="382" spans="1:15" ht="18.75" x14ac:dyDescent="0.25">
      <c r="A382" s="77"/>
      <c r="L382" s="249"/>
      <c r="M382" s="249"/>
      <c r="N382" s="249"/>
      <c r="O382" s="249"/>
    </row>
    <row r="383" spans="1:15" ht="18.75" x14ac:dyDescent="0.25">
      <c r="A383" s="77"/>
      <c r="L383" s="249"/>
      <c r="M383" s="249"/>
      <c r="N383" s="249"/>
      <c r="O383" s="249"/>
    </row>
    <row r="384" spans="1:15" ht="18.75" x14ac:dyDescent="0.25">
      <c r="A384" s="77"/>
      <c r="L384" s="249"/>
      <c r="M384" s="249"/>
      <c r="N384" s="249"/>
      <c r="O384" s="249"/>
    </row>
    <row r="385" spans="1:15" ht="18.75" x14ac:dyDescent="0.25">
      <c r="A385" s="77"/>
      <c r="L385" s="249"/>
      <c r="M385" s="249"/>
      <c r="N385" s="249"/>
      <c r="O385" s="249"/>
    </row>
    <row r="386" spans="1:15" ht="18.75" x14ac:dyDescent="0.25">
      <c r="A386" s="77"/>
      <c r="L386" s="249"/>
      <c r="M386" s="249"/>
      <c r="N386" s="249"/>
      <c r="O386" s="249"/>
    </row>
    <row r="387" spans="1:15" ht="18.75" x14ac:dyDescent="0.25">
      <c r="A387" s="77"/>
      <c r="L387" s="249"/>
      <c r="M387" s="249"/>
      <c r="N387" s="249"/>
      <c r="O387" s="249"/>
    </row>
    <row r="388" spans="1:15" ht="18.75" x14ac:dyDescent="0.25">
      <c r="A388" s="77"/>
      <c r="L388" s="249"/>
      <c r="M388" s="249"/>
      <c r="N388" s="249"/>
      <c r="O388" s="249"/>
    </row>
    <row r="389" spans="1:15" ht="18.75" x14ac:dyDescent="0.25">
      <c r="A389" s="77"/>
      <c r="L389" s="249"/>
      <c r="M389" s="249"/>
      <c r="N389" s="249"/>
      <c r="O389" s="249"/>
    </row>
    <row r="390" spans="1:15" ht="18.75" x14ac:dyDescent="0.25">
      <c r="A390" s="77"/>
      <c r="L390" s="249"/>
      <c r="M390" s="249"/>
      <c r="N390" s="249"/>
      <c r="O390" s="249"/>
    </row>
    <row r="391" spans="1:15" ht="18.75" x14ac:dyDescent="0.25">
      <c r="A391" s="77"/>
      <c r="L391" s="249"/>
      <c r="M391" s="249"/>
      <c r="N391" s="249"/>
      <c r="O391" s="249"/>
    </row>
    <row r="392" spans="1:15" ht="18.75" x14ac:dyDescent="0.25">
      <c r="A392" s="77"/>
      <c r="L392" s="249"/>
      <c r="M392" s="249"/>
      <c r="N392" s="249"/>
      <c r="O392" s="249"/>
    </row>
    <row r="393" spans="1:15" ht="18.75" x14ac:dyDescent="0.25">
      <c r="A393" s="77"/>
      <c r="L393" s="249"/>
      <c r="M393" s="249"/>
      <c r="N393" s="249"/>
      <c r="O393" s="249"/>
    </row>
    <row r="394" spans="1:15" ht="18.75" x14ac:dyDescent="0.25">
      <c r="A394" s="77"/>
      <c r="L394" s="249"/>
      <c r="M394" s="249"/>
      <c r="N394" s="249"/>
      <c r="O394" s="249"/>
    </row>
    <row r="395" spans="1:15" ht="18.75" x14ac:dyDescent="0.25">
      <c r="A395" s="77"/>
      <c r="L395" s="249"/>
      <c r="M395" s="249"/>
      <c r="N395" s="249"/>
      <c r="O395" s="249"/>
    </row>
    <row r="396" spans="1:15" ht="18.75" x14ac:dyDescent="0.25">
      <c r="A396" s="77"/>
      <c r="L396" s="249"/>
      <c r="M396" s="249"/>
      <c r="N396" s="249"/>
      <c r="O396" s="249"/>
    </row>
    <row r="397" spans="1:15" ht="18.75" x14ac:dyDescent="0.25">
      <c r="A397" s="77"/>
      <c r="L397" s="249"/>
      <c r="M397" s="249"/>
      <c r="N397" s="249"/>
      <c r="O397" s="249"/>
    </row>
    <row r="398" spans="1:15" ht="18.75" x14ac:dyDescent="0.25">
      <c r="A398" s="77"/>
      <c r="L398" s="249"/>
      <c r="M398" s="249"/>
      <c r="N398" s="249"/>
      <c r="O398" s="249"/>
    </row>
    <row r="399" spans="1:15" ht="18.75" x14ac:dyDescent="0.25">
      <c r="A399" s="77"/>
      <c r="L399" s="249"/>
      <c r="M399" s="249"/>
      <c r="N399" s="249"/>
      <c r="O399" s="249"/>
    </row>
    <row r="400" spans="1:15" ht="18.75" x14ac:dyDescent="0.25">
      <c r="A400" s="77"/>
      <c r="L400" s="249"/>
      <c r="M400" s="249"/>
      <c r="N400" s="249"/>
      <c r="O400" s="249"/>
    </row>
    <row r="401" spans="1:15" ht="18.75" x14ac:dyDescent="0.25">
      <c r="A401" s="77"/>
      <c r="L401" s="249"/>
      <c r="M401" s="249"/>
      <c r="N401" s="249"/>
      <c r="O401" s="249"/>
    </row>
    <row r="402" spans="1:15" ht="18.75" x14ac:dyDescent="0.25">
      <c r="A402" s="77"/>
      <c r="L402" s="249"/>
      <c r="M402" s="249"/>
      <c r="N402" s="249"/>
      <c r="O402" s="249"/>
    </row>
    <row r="403" spans="1:15" ht="18.75" x14ac:dyDescent="0.25">
      <c r="A403" s="77"/>
      <c r="L403" s="249"/>
      <c r="M403" s="249"/>
      <c r="N403" s="249"/>
      <c r="O403" s="249"/>
    </row>
    <row r="404" spans="1:15" ht="18.75" x14ac:dyDescent="0.25">
      <c r="A404" s="77"/>
      <c r="L404" s="249"/>
      <c r="M404" s="249"/>
      <c r="N404" s="249"/>
      <c r="O404" s="249"/>
    </row>
    <row r="405" spans="1:15" ht="18.75" x14ac:dyDescent="0.25">
      <c r="A405" s="77"/>
      <c r="L405" s="249"/>
      <c r="M405" s="249"/>
      <c r="N405" s="249"/>
      <c r="O405" s="249"/>
    </row>
    <row r="406" spans="1:15" ht="18.75" x14ac:dyDescent="0.25">
      <c r="A406" s="77"/>
      <c r="L406" s="249"/>
      <c r="M406" s="249"/>
      <c r="N406" s="249"/>
      <c r="O406" s="249"/>
    </row>
    <row r="407" spans="1:15" ht="18.75" x14ac:dyDescent="0.25">
      <c r="A407" s="77"/>
      <c r="L407" s="249"/>
      <c r="M407" s="249"/>
      <c r="N407" s="249"/>
      <c r="O407" s="249"/>
    </row>
    <row r="408" spans="1:15" ht="18.75" x14ac:dyDescent="0.25">
      <c r="A408" s="77"/>
      <c r="L408" s="249"/>
      <c r="M408" s="249"/>
      <c r="N408" s="249"/>
      <c r="O408" s="249"/>
    </row>
    <row r="409" spans="1:15" ht="18.75" x14ac:dyDescent="0.25">
      <c r="A409" s="77"/>
      <c r="L409" s="249"/>
      <c r="M409" s="249"/>
      <c r="N409" s="249"/>
      <c r="O409" s="249"/>
    </row>
    <row r="410" spans="1:15" ht="18.75" x14ac:dyDescent="0.25">
      <c r="A410" s="77"/>
      <c r="L410" s="249"/>
      <c r="M410" s="249"/>
      <c r="N410" s="249"/>
      <c r="O410" s="249"/>
    </row>
    <row r="411" spans="1:15" ht="18.75" x14ac:dyDescent="0.25">
      <c r="A411" s="77"/>
      <c r="L411" s="249"/>
      <c r="M411" s="249"/>
      <c r="N411" s="249"/>
      <c r="O411" s="249"/>
    </row>
    <row r="412" spans="1:15" ht="18.75" x14ac:dyDescent="0.25">
      <c r="A412" s="77"/>
      <c r="L412" s="249"/>
      <c r="M412" s="249"/>
      <c r="N412" s="249"/>
      <c r="O412" s="249"/>
    </row>
    <row r="413" spans="1:15" ht="18.75" x14ac:dyDescent="0.25">
      <c r="A413" s="77"/>
      <c r="L413" s="249"/>
      <c r="M413" s="249"/>
      <c r="N413" s="249"/>
      <c r="O413" s="249"/>
    </row>
    <row r="414" spans="1:15" ht="18.75" x14ac:dyDescent="0.25">
      <c r="A414" s="77"/>
      <c r="L414" s="249"/>
      <c r="M414" s="249"/>
      <c r="N414" s="249"/>
      <c r="O414" s="249"/>
    </row>
    <row r="415" spans="1:15" ht="18.75" x14ac:dyDescent="0.25">
      <c r="A415" s="77"/>
      <c r="L415" s="249"/>
      <c r="M415" s="249"/>
      <c r="N415" s="249"/>
      <c r="O415" s="249"/>
    </row>
    <row r="416" spans="1:15" ht="18.75" x14ac:dyDescent="0.25">
      <c r="A416" s="77"/>
      <c r="L416" s="249"/>
      <c r="M416" s="249"/>
      <c r="N416" s="249"/>
      <c r="O416" s="249"/>
    </row>
    <row r="417" spans="1:15" ht="18.75" x14ac:dyDescent="0.25">
      <c r="A417" s="77"/>
      <c r="L417" s="249"/>
      <c r="M417" s="249"/>
      <c r="N417" s="249"/>
      <c r="O417" s="249"/>
    </row>
    <row r="418" spans="1:15" ht="18.75" x14ac:dyDescent="0.25">
      <c r="A418" s="77"/>
      <c r="L418" s="249"/>
      <c r="M418" s="249"/>
      <c r="N418" s="249"/>
      <c r="O418" s="249"/>
    </row>
    <row r="419" spans="1:15" ht="18.75" x14ac:dyDescent="0.25">
      <c r="A419" s="77"/>
      <c r="L419" s="249"/>
      <c r="M419" s="249"/>
      <c r="N419" s="249"/>
      <c r="O419" s="249"/>
    </row>
    <row r="420" spans="1:15" ht="18.75" x14ac:dyDescent="0.25">
      <c r="A420" s="77"/>
      <c r="L420" s="249"/>
      <c r="M420" s="249"/>
      <c r="N420" s="249"/>
      <c r="O420" s="249"/>
    </row>
    <row r="421" spans="1:15" ht="18.75" x14ac:dyDescent="0.25">
      <c r="A421" s="77"/>
      <c r="L421" s="249"/>
      <c r="M421" s="249"/>
      <c r="N421" s="249"/>
      <c r="O421" s="249"/>
    </row>
    <row r="422" spans="1:15" ht="18.75" x14ac:dyDescent="0.25">
      <c r="A422" s="77"/>
      <c r="L422" s="249"/>
      <c r="M422" s="249"/>
      <c r="N422" s="249"/>
      <c r="O422" s="249"/>
    </row>
    <row r="423" spans="1:15" ht="18.75" x14ac:dyDescent="0.25">
      <c r="A423" s="77"/>
      <c r="L423" s="249"/>
      <c r="M423" s="249"/>
      <c r="N423" s="249"/>
      <c r="O423" s="249"/>
    </row>
    <row r="424" spans="1:15" ht="18.75" x14ac:dyDescent="0.25">
      <c r="A424" s="77"/>
      <c r="L424" s="249"/>
      <c r="M424" s="249"/>
      <c r="N424" s="249"/>
      <c r="O424" s="249"/>
    </row>
    <row r="425" spans="1:15" ht="18.75" x14ac:dyDescent="0.25">
      <c r="A425" s="77"/>
      <c r="L425" s="249"/>
      <c r="M425" s="249"/>
      <c r="N425" s="249"/>
      <c r="O425" s="249"/>
    </row>
    <row r="426" spans="1:15" ht="18.75" x14ac:dyDescent="0.25">
      <c r="A426" s="77"/>
      <c r="L426" s="249"/>
      <c r="M426" s="249"/>
      <c r="N426" s="249"/>
      <c r="O426" s="249"/>
    </row>
    <row r="427" spans="1:15" ht="18.75" x14ac:dyDescent="0.25">
      <c r="A427" s="77"/>
      <c r="L427" s="249"/>
      <c r="M427" s="249"/>
      <c r="N427" s="249"/>
      <c r="O427" s="249"/>
    </row>
    <row r="428" spans="1:15" ht="18.75" x14ac:dyDescent="0.25">
      <c r="A428" s="77"/>
      <c r="L428" s="249"/>
      <c r="M428" s="249"/>
      <c r="N428" s="249"/>
      <c r="O428" s="249"/>
    </row>
    <row r="429" spans="1:15" ht="18.75" x14ac:dyDescent="0.25">
      <c r="A429" s="77"/>
      <c r="L429" s="249"/>
      <c r="M429" s="249"/>
      <c r="N429" s="249"/>
      <c r="O429" s="249"/>
    </row>
    <row r="430" spans="1:15" ht="18.75" x14ac:dyDescent="0.25">
      <c r="A430" s="77"/>
      <c r="L430" s="249"/>
      <c r="M430" s="249"/>
      <c r="N430" s="249"/>
      <c r="O430" s="249"/>
    </row>
    <row r="431" spans="1:15" ht="18.75" x14ac:dyDescent="0.25">
      <c r="A431" s="77"/>
      <c r="L431" s="249"/>
      <c r="M431" s="249"/>
      <c r="N431" s="249"/>
      <c r="O431" s="249"/>
    </row>
    <row r="432" spans="1:15" ht="18.75" x14ac:dyDescent="0.25">
      <c r="A432" s="77"/>
      <c r="L432" s="249"/>
      <c r="M432" s="249"/>
      <c r="N432" s="249"/>
      <c r="O432" s="249"/>
    </row>
    <row r="433" spans="1:15" ht="18.75" x14ac:dyDescent="0.25">
      <c r="A433" s="77"/>
      <c r="L433" s="249"/>
      <c r="M433" s="249"/>
      <c r="N433" s="249"/>
      <c r="O433" s="249"/>
    </row>
    <row r="434" spans="1:15" ht="18.75" x14ac:dyDescent="0.25">
      <c r="A434" s="77"/>
      <c r="L434" s="249"/>
      <c r="M434" s="249"/>
      <c r="N434" s="249"/>
      <c r="O434" s="249"/>
    </row>
    <row r="435" spans="1:15" ht="18.75" x14ac:dyDescent="0.25">
      <c r="A435" s="77"/>
      <c r="L435" s="249"/>
      <c r="M435" s="249"/>
      <c r="N435" s="249"/>
      <c r="O435" s="249"/>
    </row>
    <row r="436" spans="1:15" ht="18.75" x14ac:dyDescent="0.25">
      <c r="A436" s="77"/>
      <c r="L436" s="249"/>
      <c r="M436" s="249"/>
      <c r="N436" s="249"/>
      <c r="O436" s="249"/>
    </row>
    <row r="437" spans="1:15" ht="18.75" x14ac:dyDescent="0.25">
      <c r="A437" s="77"/>
      <c r="L437" s="249"/>
      <c r="M437" s="249"/>
      <c r="N437" s="249"/>
      <c r="O437" s="249"/>
    </row>
    <row r="438" spans="1:15" ht="18.75" x14ac:dyDescent="0.25">
      <c r="A438" s="77"/>
      <c r="L438" s="249"/>
      <c r="M438" s="249"/>
      <c r="N438" s="249"/>
      <c r="O438" s="249"/>
    </row>
    <row r="439" spans="1:15" ht="18.75" x14ac:dyDescent="0.25">
      <c r="A439" s="77"/>
      <c r="L439" s="249"/>
      <c r="M439" s="249"/>
      <c r="N439" s="249"/>
      <c r="O439" s="249"/>
    </row>
    <row r="440" spans="1:15" ht="18.75" x14ac:dyDescent="0.25">
      <c r="A440" s="77"/>
      <c r="L440" s="249"/>
      <c r="M440" s="249"/>
      <c r="N440" s="249"/>
      <c r="O440" s="249"/>
    </row>
    <row r="441" spans="1:15" ht="18.75" x14ac:dyDescent="0.25">
      <c r="A441" s="77"/>
      <c r="L441" s="249"/>
      <c r="M441" s="249"/>
      <c r="N441" s="249"/>
      <c r="O441" s="249"/>
    </row>
    <row r="442" spans="1:15" ht="18.75" x14ac:dyDescent="0.25">
      <c r="A442" s="77"/>
      <c r="L442" s="249"/>
      <c r="M442" s="249"/>
      <c r="N442" s="249"/>
      <c r="O442" s="249"/>
    </row>
    <row r="443" spans="1:15" ht="18.75" x14ac:dyDescent="0.25">
      <c r="A443" s="77"/>
      <c r="L443" s="249"/>
      <c r="M443" s="249"/>
      <c r="N443" s="249"/>
      <c r="O443" s="249"/>
    </row>
    <row r="444" spans="1:15" ht="18.75" x14ac:dyDescent="0.25">
      <c r="A444" s="77"/>
      <c r="L444" s="249"/>
      <c r="M444" s="249"/>
      <c r="N444" s="249"/>
      <c r="O444" s="249"/>
    </row>
    <row r="445" spans="1:15" ht="18.75" x14ac:dyDescent="0.25">
      <c r="A445" s="77"/>
      <c r="L445" s="249"/>
      <c r="M445" s="249"/>
      <c r="N445" s="249"/>
      <c r="O445" s="249"/>
    </row>
    <row r="446" spans="1:15" ht="18.75" x14ac:dyDescent="0.25">
      <c r="A446" s="77"/>
      <c r="L446" s="249"/>
      <c r="M446" s="249"/>
      <c r="N446" s="249"/>
      <c r="O446" s="249"/>
    </row>
    <row r="447" spans="1:15" ht="18.75" x14ac:dyDescent="0.25">
      <c r="A447" s="77"/>
      <c r="L447" s="249"/>
      <c r="M447" s="249"/>
      <c r="N447" s="249"/>
      <c r="O447" s="249"/>
    </row>
    <row r="448" spans="1:15" ht="18.75" x14ac:dyDescent="0.25">
      <c r="A448" s="77"/>
      <c r="L448" s="249"/>
      <c r="M448" s="249"/>
      <c r="N448" s="249"/>
      <c r="O448" s="249"/>
    </row>
    <row r="449" spans="1:15" ht="18.75" x14ac:dyDescent="0.25">
      <c r="A449" s="77"/>
      <c r="L449" s="249"/>
      <c r="M449" s="249"/>
      <c r="N449" s="249"/>
      <c r="O449" s="249"/>
    </row>
    <row r="450" spans="1:15" ht="18.75" x14ac:dyDescent="0.25">
      <c r="A450" s="77"/>
      <c r="L450" s="249"/>
      <c r="M450" s="249"/>
      <c r="N450" s="249"/>
      <c r="O450" s="249"/>
    </row>
    <row r="451" spans="1:15" ht="18.75" x14ac:dyDescent="0.25">
      <c r="A451" s="77"/>
      <c r="L451" s="249"/>
      <c r="M451" s="249"/>
      <c r="N451" s="249"/>
      <c r="O451" s="249"/>
    </row>
    <row r="452" spans="1:15" ht="18.75" x14ac:dyDescent="0.25">
      <c r="A452" s="77"/>
      <c r="L452" s="249"/>
      <c r="M452" s="249"/>
      <c r="N452" s="249"/>
      <c r="O452" s="249"/>
    </row>
    <row r="453" spans="1:15" ht="18.75" x14ac:dyDescent="0.25">
      <c r="A453" s="77"/>
      <c r="L453" s="249"/>
      <c r="M453" s="249"/>
      <c r="N453" s="249"/>
      <c r="O453" s="249"/>
    </row>
    <row r="454" spans="1:15" ht="18.75" x14ac:dyDescent="0.25">
      <c r="A454" s="77"/>
      <c r="L454" s="249"/>
      <c r="M454" s="249"/>
      <c r="N454" s="249"/>
      <c r="O454" s="249"/>
    </row>
    <row r="455" spans="1:15" ht="18.75" x14ac:dyDescent="0.25">
      <c r="A455" s="77"/>
      <c r="L455" s="249"/>
      <c r="M455" s="249"/>
      <c r="N455" s="249"/>
      <c r="O455" s="249"/>
    </row>
    <row r="456" spans="1:15" ht="18.75" x14ac:dyDescent="0.25">
      <c r="A456" s="77"/>
      <c r="L456" s="249"/>
      <c r="M456" s="249"/>
      <c r="N456" s="249"/>
      <c r="O456" s="249"/>
    </row>
    <row r="457" spans="1:15" ht="18.75" x14ac:dyDescent="0.25">
      <c r="A457" s="77"/>
      <c r="L457" s="249"/>
      <c r="M457" s="249"/>
      <c r="N457" s="249"/>
      <c r="O457" s="249"/>
    </row>
    <row r="458" spans="1:15" ht="18.75" x14ac:dyDescent="0.25">
      <c r="A458" s="77"/>
      <c r="L458" s="249"/>
      <c r="M458" s="249"/>
      <c r="N458" s="249"/>
      <c r="O458" s="249"/>
    </row>
    <row r="459" spans="1:15" ht="18.75" x14ac:dyDescent="0.25">
      <c r="A459" s="77"/>
      <c r="L459" s="249"/>
      <c r="M459" s="249"/>
      <c r="N459" s="249"/>
      <c r="O459" s="249"/>
    </row>
    <row r="460" spans="1:15" ht="18.75" x14ac:dyDescent="0.25">
      <c r="A460" s="77"/>
      <c r="L460" s="249"/>
      <c r="M460" s="249"/>
      <c r="N460" s="249"/>
      <c r="O460" s="249"/>
    </row>
    <row r="461" spans="1:15" ht="18.75" x14ac:dyDescent="0.25">
      <c r="A461" s="77"/>
      <c r="L461" s="249"/>
      <c r="M461" s="249"/>
      <c r="N461" s="249"/>
      <c r="O461" s="249"/>
    </row>
    <row r="462" spans="1:15" ht="18.75" x14ac:dyDescent="0.25">
      <c r="A462" s="77"/>
      <c r="L462" s="249"/>
      <c r="M462" s="249"/>
      <c r="N462" s="249"/>
      <c r="O462" s="249"/>
    </row>
    <row r="463" spans="1:15" ht="18.75" x14ac:dyDescent="0.25">
      <c r="A463" s="77"/>
      <c r="L463" s="249"/>
      <c r="M463" s="249"/>
      <c r="N463" s="249"/>
      <c r="O463" s="249"/>
    </row>
    <row r="464" spans="1:15" ht="18.75" x14ac:dyDescent="0.25">
      <c r="A464" s="77"/>
      <c r="L464" s="249"/>
      <c r="M464" s="249"/>
      <c r="N464" s="249"/>
      <c r="O464" s="249"/>
    </row>
    <row r="465" spans="1:15" ht="18.75" x14ac:dyDescent="0.25">
      <c r="A465" s="77"/>
      <c r="L465" s="249"/>
      <c r="M465" s="249"/>
      <c r="N465" s="249"/>
      <c r="O465" s="249"/>
    </row>
    <row r="466" spans="1:15" ht="18.75" x14ac:dyDescent="0.25">
      <c r="A466" s="77"/>
      <c r="L466" s="249"/>
      <c r="M466" s="249"/>
      <c r="N466" s="249"/>
      <c r="O466" s="249"/>
    </row>
    <row r="467" spans="1:15" ht="18.75" x14ac:dyDescent="0.25">
      <c r="A467" s="77"/>
      <c r="L467" s="249"/>
      <c r="M467" s="249"/>
      <c r="N467" s="249"/>
      <c r="O467" s="249"/>
    </row>
    <row r="468" spans="1:15" ht="18.75" x14ac:dyDescent="0.25">
      <c r="A468" s="77"/>
      <c r="L468" s="249"/>
      <c r="M468" s="249"/>
      <c r="N468" s="249"/>
      <c r="O468" s="249"/>
    </row>
    <row r="469" spans="1:15" ht="18.75" x14ac:dyDescent="0.25">
      <c r="A469" s="77"/>
      <c r="L469" s="249"/>
      <c r="M469" s="249"/>
      <c r="N469" s="249"/>
      <c r="O469" s="249"/>
    </row>
    <row r="470" spans="1:15" ht="18.75" x14ac:dyDescent="0.25">
      <c r="A470" s="77"/>
      <c r="L470" s="249"/>
      <c r="M470" s="249"/>
      <c r="N470" s="249"/>
      <c r="O470" s="249"/>
    </row>
    <row r="471" spans="1:15" ht="18.75" x14ac:dyDescent="0.25">
      <c r="A471" s="77"/>
      <c r="L471" s="249"/>
      <c r="M471" s="249"/>
      <c r="N471" s="249"/>
      <c r="O471" s="249"/>
    </row>
    <row r="472" spans="1:15" ht="18.75" x14ac:dyDescent="0.25">
      <c r="A472" s="77"/>
      <c r="L472" s="249"/>
      <c r="M472" s="249"/>
      <c r="N472" s="249"/>
      <c r="O472" s="249"/>
    </row>
    <row r="473" spans="1:15" ht="18.75" x14ac:dyDescent="0.25">
      <c r="A473" s="77"/>
      <c r="L473" s="249"/>
      <c r="M473" s="249"/>
      <c r="N473" s="249"/>
      <c r="O473" s="249"/>
    </row>
    <row r="474" spans="1:15" ht="18.75" x14ac:dyDescent="0.25">
      <c r="A474" s="77"/>
      <c r="L474" s="249"/>
      <c r="M474" s="249"/>
      <c r="N474" s="249"/>
      <c r="O474" s="249"/>
    </row>
    <row r="475" spans="1:15" ht="18.75" x14ac:dyDescent="0.25">
      <c r="A475" s="77"/>
      <c r="L475" s="249"/>
      <c r="M475" s="249"/>
      <c r="N475" s="249"/>
      <c r="O475" s="249"/>
    </row>
    <row r="476" spans="1:15" ht="18.75" x14ac:dyDescent="0.25">
      <c r="A476" s="77"/>
      <c r="L476" s="249"/>
      <c r="M476" s="249"/>
      <c r="N476" s="249"/>
      <c r="O476" s="249"/>
    </row>
    <row r="477" spans="1:15" ht="18.75" x14ac:dyDescent="0.25">
      <c r="A477" s="77"/>
      <c r="L477" s="249"/>
      <c r="M477" s="249"/>
      <c r="N477" s="249"/>
      <c r="O477" s="249"/>
    </row>
    <row r="478" spans="1:15" ht="18.75" x14ac:dyDescent="0.25">
      <c r="A478" s="77"/>
      <c r="L478" s="249"/>
      <c r="M478" s="249"/>
      <c r="N478" s="249"/>
      <c r="O478" s="249"/>
    </row>
    <row r="479" spans="1:15" ht="18.75" x14ac:dyDescent="0.25">
      <c r="A479" s="77"/>
      <c r="L479" s="249"/>
      <c r="M479" s="249"/>
      <c r="N479" s="249"/>
      <c r="O479" s="249"/>
    </row>
    <row r="480" spans="1:15" ht="18.75" x14ac:dyDescent="0.25">
      <c r="A480" s="77"/>
      <c r="L480" s="249"/>
      <c r="M480" s="249"/>
      <c r="N480" s="249"/>
      <c r="O480" s="249"/>
    </row>
    <row r="481" spans="1:15" ht="18.75" x14ac:dyDescent="0.25">
      <c r="A481" s="77"/>
      <c r="L481" s="249"/>
      <c r="M481" s="249"/>
      <c r="N481" s="249"/>
      <c r="O481" s="249"/>
    </row>
    <row r="482" spans="1:15" ht="18.75" x14ac:dyDescent="0.25">
      <c r="A482" s="77"/>
      <c r="L482" s="249"/>
      <c r="M482" s="249"/>
      <c r="N482" s="249"/>
      <c r="O482" s="249"/>
    </row>
    <row r="483" spans="1:15" ht="18.75" x14ac:dyDescent="0.25">
      <c r="A483" s="77"/>
      <c r="L483" s="249"/>
      <c r="M483" s="249"/>
      <c r="N483" s="249"/>
      <c r="O483" s="249"/>
    </row>
    <row r="484" spans="1:15" ht="18.75" x14ac:dyDescent="0.25">
      <c r="A484" s="77"/>
      <c r="L484" s="249"/>
      <c r="M484" s="249"/>
      <c r="N484" s="249"/>
      <c r="O484" s="249"/>
    </row>
    <row r="485" spans="1:15" ht="18.75" x14ac:dyDescent="0.25">
      <c r="A485" s="77"/>
      <c r="L485" s="249"/>
      <c r="M485" s="249"/>
      <c r="N485" s="249"/>
      <c r="O485" s="249"/>
    </row>
    <row r="486" spans="1:15" ht="18.75" x14ac:dyDescent="0.25">
      <c r="A486" s="77"/>
      <c r="L486" s="249"/>
      <c r="M486" s="249"/>
      <c r="N486" s="249"/>
      <c r="O486" s="249"/>
    </row>
    <row r="487" spans="1:15" ht="18.75" x14ac:dyDescent="0.25">
      <c r="A487" s="77"/>
      <c r="L487" s="249"/>
      <c r="M487" s="249"/>
      <c r="N487" s="249"/>
      <c r="O487" s="249"/>
    </row>
    <row r="488" spans="1:15" ht="18.75" x14ac:dyDescent="0.25">
      <c r="A488" s="77"/>
      <c r="L488" s="249"/>
      <c r="M488" s="249"/>
      <c r="N488" s="249"/>
      <c r="O488" s="249"/>
    </row>
    <row r="489" spans="1:15" ht="18.75" x14ac:dyDescent="0.25">
      <c r="A489" s="77"/>
      <c r="L489" s="249"/>
      <c r="M489" s="249"/>
      <c r="N489" s="249"/>
      <c r="O489" s="249"/>
    </row>
    <row r="490" spans="1:15" ht="18.75" x14ac:dyDescent="0.25">
      <c r="A490" s="77"/>
      <c r="L490" s="249"/>
      <c r="M490" s="249"/>
      <c r="N490" s="249"/>
      <c r="O490" s="249"/>
    </row>
    <row r="491" spans="1:15" ht="18.75" x14ac:dyDescent="0.25">
      <c r="A491" s="77"/>
      <c r="L491" s="249"/>
      <c r="M491" s="249"/>
      <c r="N491" s="249"/>
      <c r="O491" s="249"/>
    </row>
    <row r="492" spans="1:15" ht="18.75" x14ac:dyDescent="0.25">
      <c r="A492" s="77"/>
      <c r="L492" s="249"/>
      <c r="M492" s="249"/>
      <c r="N492" s="249"/>
      <c r="O492" s="249"/>
    </row>
    <row r="493" spans="1:15" ht="18.75" x14ac:dyDescent="0.25">
      <c r="A493" s="77"/>
      <c r="L493" s="249"/>
      <c r="M493" s="249"/>
      <c r="N493" s="249"/>
      <c r="O493" s="249"/>
    </row>
    <row r="494" spans="1:15" ht="18.75" x14ac:dyDescent="0.25">
      <c r="A494" s="77"/>
      <c r="L494" s="249"/>
      <c r="M494" s="249"/>
      <c r="N494" s="249"/>
      <c r="O494" s="249"/>
    </row>
    <row r="495" spans="1:15" ht="18.75" x14ac:dyDescent="0.25">
      <c r="A495" s="77"/>
      <c r="L495" s="249"/>
      <c r="M495" s="249"/>
      <c r="N495" s="249"/>
      <c r="O495" s="249"/>
    </row>
    <row r="496" spans="1:15" ht="18.75" x14ac:dyDescent="0.25">
      <c r="A496" s="77"/>
      <c r="L496" s="249"/>
      <c r="M496" s="249"/>
      <c r="N496" s="249"/>
      <c r="O496" s="249"/>
    </row>
    <row r="497" spans="1:15" ht="18.75" x14ac:dyDescent="0.25">
      <c r="A497" s="77"/>
      <c r="L497" s="249"/>
      <c r="M497" s="249"/>
      <c r="N497" s="249"/>
      <c r="O497" s="249"/>
    </row>
    <row r="498" spans="1:15" ht="18.75" x14ac:dyDescent="0.25">
      <c r="A498" s="77"/>
      <c r="L498" s="249"/>
      <c r="M498" s="249"/>
      <c r="N498" s="249"/>
      <c r="O498" s="249"/>
    </row>
    <row r="499" spans="1:15" ht="18.75" x14ac:dyDescent="0.25">
      <c r="A499" s="77"/>
      <c r="L499" s="249"/>
      <c r="M499" s="249"/>
      <c r="N499" s="249"/>
      <c r="O499" s="249"/>
    </row>
    <row r="500" spans="1:15" ht="18.75" x14ac:dyDescent="0.25">
      <c r="A500" s="77"/>
      <c r="L500" s="249"/>
      <c r="M500" s="249"/>
      <c r="N500" s="249"/>
      <c r="O500" s="249"/>
    </row>
    <row r="501" spans="1:15" ht="18.75" x14ac:dyDescent="0.25">
      <c r="A501" s="77"/>
      <c r="L501" s="249"/>
      <c r="M501" s="249"/>
      <c r="N501" s="249"/>
      <c r="O501" s="249"/>
    </row>
    <row r="502" spans="1:15" ht="18.75" x14ac:dyDescent="0.25">
      <c r="A502" s="77"/>
      <c r="L502" s="249"/>
      <c r="M502" s="249"/>
      <c r="N502" s="249"/>
      <c r="O502" s="249"/>
    </row>
    <row r="503" spans="1:15" ht="18.75" x14ac:dyDescent="0.25">
      <c r="A503" s="77"/>
      <c r="L503" s="249"/>
      <c r="M503" s="249"/>
      <c r="N503" s="249"/>
      <c r="O503" s="249"/>
    </row>
    <row r="504" spans="1:15" ht="18.75" x14ac:dyDescent="0.25">
      <c r="A504" s="77"/>
      <c r="L504" s="249"/>
      <c r="M504" s="249"/>
      <c r="N504" s="249"/>
      <c r="O504" s="249"/>
    </row>
    <row r="505" spans="1:15" ht="18.75" x14ac:dyDescent="0.25">
      <c r="A505" s="77"/>
      <c r="L505" s="249"/>
      <c r="M505" s="249"/>
      <c r="N505" s="249"/>
      <c r="O505" s="249"/>
    </row>
    <row r="506" spans="1:15" ht="18.75" x14ac:dyDescent="0.25">
      <c r="A506" s="77"/>
      <c r="L506" s="249"/>
      <c r="M506" s="249"/>
      <c r="N506" s="249"/>
      <c r="O506" s="249"/>
    </row>
    <row r="507" spans="1:15" ht="18.75" x14ac:dyDescent="0.25">
      <c r="A507" s="77"/>
      <c r="L507" s="249"/>
      <c r="M507" s="249"/>
      <c r="N507" s="249"/>
      <c r="O507" s="249"/>
    </row>
    <row r="508" spans="1:15" ht="18.75" x14ac:dyDescent="0.25">
      <c r="A508" s="77"/>
      <c r="L508" s="249"/>
      <c r="M508" s="249"/>
      <c r="N508" s="249"/>
      <c r="O508" s="249"/>
    </row>
    <row r="509" spans="1:15" ht="18.75" x14ac:dyDescent="0.25">
      <c r="A509" s="77"/>
      <c r="L509" s="249"/>
      <c r="M509" s="249"/>
      <c r="N509" s="249"/>
      <c r="O509" s="249"/>
    </row>
    <row r="510" spans="1:15" ht="18.75" x14ac:dyDescent="0.25">
      <c r="A510" s="77"/>
      <c r="L510" s="249"/>
      <c r="M510" s="249"/>
      <c r="N510" s="249"/>
      <c r="O510" s="249"/>
    </row>
    <row r="511" spans="1:15" ht="18.75" x14ac:dyDescent="0.25">
      <c r="A511" s="77"/>
      <c r="L511" s="249"/>
      <c r="M511" s="249"/>
      <c r="N511" s="249"/>
      <c r="O511" s="249"/>
    </row>
    <row r="512" spans="1:15" ht="18.75" x14ac:dyDescent="0.25">
      <c r="A512" s="77"/>
      <c r="L512" s="249"/>
      <c r="M512" s="249"/>
      <c r="N512" s="249"/>
      <c r="O512" s="249"/>
    </row>
    <row r="513" spans="1:15" ht="18.75" x14ac:dyDescent="0.25">
      <c r="A513" s="77"/>
      <c r="L513" s="249"/>
      <c r="M513" s="249"/>
      <c r="N513" s="249"/>
      <c r="O513" s="249"/>
    </row>
    <row r="514" spans="1:15" ht="18.75" x14ac:dyDescent="0.25">
      <c r="A514" s="77"/>
      <c r="L514" s="249"/>
      <c r="M514" s="249"/>
      <c r="N514" s="249"/>
      <c r="O514" s="249"/>
    </row>
    <row r="515" spans="1:15" ht="18.75" x14ac:dyDescent="0.25">
      <c r="A515" s="77"/>
      <c r="L515" s="249"/>
      <c r="M515" s="249"/>
      <c r="N515" s="249"/>
      <c r="O515" s="249"/>
    </row>
    <row r="516" spans="1:15" ht="18.75" x14ac:dyDescent="0.25">
      <c r="A516" s="77"/>
      <c r="L516" s="249"/>
      <c r="M516" s="249"/>
      <c r="N516" s="249"/>
      <c r="O516" s="249"/>
    </row>
    <row r="517" spans="1:15" ht="18.75" x14ac:dyDescent="0.25">
      <c r="A517" s="77"/>
      <c r="L517" s="249"/>
      <c r="M517" s="249"/>
      <c r="N517" s="249"/>
      <c r="O517" s="249"/>
    </row>
    <row r="518" spans="1:15" ht="18.75" x14ac:dyDescent="0.25">
      <c r="A518" s="77"/>
      <c r="L518" s="249"/>
      <c r="M518" s="249"/>
      <c r="N518" s="249"/>
      <c r="O518" s="249"/>
    </row>
    <row r="519" spans="1:15" ht="18.75" x14ac:dyDescent="0.25">
      <c r="A519" s="77"/>
      <c r="L519" s="249"/>
      <c r="M519" s="249"/>
      <c r="N519" s="249"/>
      <c r="O519" s="249"/>
    </row>
    <row r="520" spans="1:15" ht="18.75" x14ac:dyDescent="0.25">
      <c r="A520" s="77"/>
      <c r="L520" s="249"/>
      <c r="M520" s="249"/>
      <c r="N520" s="249"/>
      <c r="O520" s="249"/>
    </row>
    <row r="521" spans="1:15" ht="18.75" x14ac:dyDescent="0.25">
      <c r="A521" s="77"/>
      <c r="L521" s="249"/>
      <c r="M521" s="249"/>
      <c r="N521" s="249"/>
      <c r="O521" s="249"/>
    </row>
    <row r="522" spans="1:15" ht="18.75" x14ac:dyDescent="0.25">
      <c r="A522" s="77"/>
      <c r="L522" s="249"/>
      <c r="M522" s="249"/>
      <c r="N522" s="249"/>
      <c r="O522" s="249"/>
    </row>
    <row r="523" spans="1:15" ht="18.75" x14ac:dyDescent="0.25">
      <c r="A523" s="77"/>
      <c r="L523" s="249"/>
      <c r="M523" s="249"/>
      <c r="N523" s="249"/>
      <c r="O523" s="249"/>
    </row>
    <row r="524" spans="1:15" ht="18.75" x14ac:dyDescent="0.25">
      <c r="A524" s="77"/>
      <c r="L524" s="249"/>
      <c r="M524" s="249"/>
      <c r="N524" s="249"/>
      <c r="O524" s="249"/>
    </row>
    <row r="525" spans="1:15" ht="18.75" x14ac:dyDescent="0.25">
      <c r="A525" s="77"/>
      <c r="L525" s="249"/>
      <c r="M525" s="249"/>
      <c r="N525" s="249"/>
      <c r="O525" s="249"/>
    </row>
    <row r="526" spans="1:15" ht="18.75" x14ac:dyDescent="0.25">
      <c r="A526" s="77"/>
      <c r="L526" s="249"/>
      <c r="M526" s="249"/>
      <c r="N526" s="249"/>
      <c r="O526" s="249"/>
    </row>
    <row r="527" spans="1:15" ht="18.75" x14ac:dyDescent="0.25">
      <c r="A527" s="77"/>
      <c r="L527" s="249"/>
      <c r="M527" s="249"/>
      <c r="N527" s="249"/>
      <c r="O527" s="249"/>
    </row>
    <row r="528" spans="1:15" ht="18.75" x14ac:dyDescent="0.25">
      <c r="A528" s="77"/>
      <c r="L528" s="249"/>
      <c r="M528" s="249"/>
      <c r="N528" s="249"/>
      <c r="O528" s="249"/>
    </row>
    <row r="529" spans="1:15" ht="18.75" x14ac:dyDescent="0.25">
      <c r="A529" s="77"/>
      <c r="L529" s="249"/>
      <c r="M529" s="249"/>
      <c r="N529" s="249"/>
      <c r="O529" s="249"/>
    </row>
    <row r="530" spans="1:15" ht="18.75" x14ac:dyDescent="0.25">
      <c r="A530" s="77"/>
      <c r="L530" s="249"/>
      <c r="M530" s="249"/>
      <c r="N530" s="249"/>
      <c r="O530" s="249"/>
    </row>
    <row r="531" spans="1:15" ht="18.75" x14ac:dyDescent="0.25">
      <c r="A531" s="77"/>
      <c r="L531" s="249"/>
      <c r="M531" s="249"/>
      <c r="N531" s="249"/>
      <c r="O531" s="249"/>
    </row>
    <row r="532" spans="1:15" ht="18.75" x14ac:dyDescent="0.25">
      <c r="A532" s="77"/>
      <c r="L532" s="249"/>
      <c r="M532" s="249"/>
      <c r="N532" s="249"/>
      <c r="O532" s="249"/>
    </row>
    <row r="533" spans="1:15" ht="18.75" x14ac:dyDescent="0.25">
      <c r="A533" s="77"/>
      <c r="L533" s="249"/>
      <c r="M533" s="249"/>
      <c r="N533" s="249"/>
      <c r="O533" s="249"/>
    </row>
    <row r="534" spans="1:15" ht="18.75" x14ac:dyDescent="0.25">
      <c r="A534" s="77"/>
      <c r="L534" s="249"/>
      <c r="M534" s="249"/>
      <c r="N534" s="249"/>
      <c r="O534" s="249"/>
    </row>
    <row r="535" spans="1:15" ht="18.75" x14ac:dyDescent="0.25">
      <c r="A535" s="77"/>
      <c r="L535" s="249"/>
      <c r="M535" s="249"/>
      <c r="N535" s="249"/>
      <c r="O535" s="249"/>
    </row>
    <row r="536" spans="1:15" ht="18.75" x14ac:dyDescent="0.25">
      <c r="A536" s="77"/>
      <c r="L536" s="249"/>
      <c r="M536" s="249"/>
      <c r="N536" s="249"/>
      <c r="O536" s="249"/>
    </row>
    <row r="537" spans="1:15" ht="18.75" x14ac:dyDescent="0.25">
      <c r="A537" s="77"/>
      <c r="L537" s="249"/>
      <c r="M537" s="249"/>
      <c r="N537" s="249"/>
      <c r="O537" s="249"/>
    </row>
    <row r="538" spans="1:15" ht="18.75" x14ac:dyDescent="0.25">
      <c r="A538" s="77"/>
      <c r="L538" s="249"/>
      <c r="M538" s="249"/>
      <c r="N538" s="249"/>
      <c r="O538" s="249"/>
    </row>
    <row r="539" spans="1:15" ht="18.75" x14ac:dyDescent="0.25">
      <c r="A539" s="77"/>
      <c r="L539" s="249"/>
      <c r="M539" s="249"/>
      <c r="N539" s="249"/>
      <c r="O539" s="249"/>
    </row>
    <row r="540" spans="1:15" ht="18.75" x14ac:dyDescent="0.25">
      <c r="A540" s="77"/>
      <c r="L540" s="249"/>
      <c r="M540" s="249"/>
      <c r="N540" s="249"/>
      <c r="O540" s="249"/>
    </row>
    <row r="541" spans="1:15" ht="18.75" x14ac:dyDescent="0.25">
      <c r="A541" s="77"/>
      <c r="L541" s="249"/>
      <c r="M541" s="249"/>
      <c r="N541" s="249"/>
      <c r="O541" s="249"/>
    </row>
    <row r="542" spans="1:15" ht="18.75" x14ac:dyDescent="0.25">
      <c r="A542" s="77"/>
      <c r="L542" s="249"/>
      <c r="M542" s="249"/>
      <c r="N542" s="249"/>
      <c r="O542" s="249"/>
    </row>
    <row r="543" spans="1:15" ht="18.75" x14ac:dyDescent="0.25">
      <c r="A543" s="77"/>
      <c r="L543" s="249"/>
      <c r="M543" s="249"/>
      <c r="N543" s="249"/>
      <c r="O543" s="249"/>
    </row>
    <row r="544" spans="1:15" ht="18.75" x14ac:dyDescent="0.25">
      <c r="A544" s="77"/>
      <c r="L544" s="249"/>
      <c r="M544" s="249"/>
      <c r="N544" s="249"/>
      <c r="O544" s="249"/>
    </row>
    <row r="545" spans="1:15" ht="18.75" x14ac:dyDescent="0.25">
      <c r="A545" s="77"/>
      <c r="L545" s="249"/>
      <c r="M545" s="249"/>
      <c r="N545" s="249"/>
      <c r="O545" s="249"/>
    </row>
    <row r="546" spans="1:15" ht="18.75" x14ac:dyDescent="0.25">
      <c r="A546" s="77"/>
      <c r="B546" s="268"/>
      <c r="L546" s="249"/>
      <c r="M546" s="249"/>
      <c r="N546" s="249"/>
      <c r="O546" s="249"/>
    </row>
    <row r="547" spans="1:15" ht="18.75" x14ac:dyDescent="0.25">
      <c r="A547" s="77"/>
      <c r="B547" s="268"/>
      <c r="L547" s="249"/>
      <c r="M547" s="249"/>
      <c r="N547" s="249"/>
      <c r="O547" s="249"/>
    </row>
    <row r="548" spans="1:15" ht="18.75" x14ac:dyDescent="0.25">
      <c r="A548" s="77"/>
      <c r="B548" s="268"/>
      <c r="L548" s="249"/>
      <c r="M548" s="249"/>
      <c r="N548" s="249"/>
      <c r="O548" s="249"/>
    </row>
    <row r="549" spans="1:15" ht="18.75" x14ac:dyDescent="0.25">
      <c r="A549" s="77"/>
      <c r="B549" s="268"/>
      <c r="L549" s="249"/>
      <c r="M549" s="249"/>
      <c r="N549" s="249"/>
      <c r="O549" s="249"/>
    </row>
    <row r="550" spans="1:15" ht="18.75" x14ac:dyDescent="0.25">
      <c r="A550" s="77"/>
      <c r="B550" s="268"/>
      <c r="L550" s="249"/>
      <c r="M550" s="249"/>
      <c r="N550" s="249"/>
      <c r="O550" s="249"/>
    </row>
    <row r="551" spans="1:15" ht="18.75" x14ac:dyDescent="0.25">
      <c r="A551" s="77"/>
      <c r="B551" s="268"/>
      <c r="L551" s="249"/>
      <c r="M551" s="249"/>
      <c r="N551" s="249"/>
      <c r="O551" s="249"/>
    </row>
    <row r="552" spans="1:15" ht="18.75" x14ac:dyDescent="0.25">
      <c r="A552" s="77"/>
      <c r="B552" s="268"/>
      <c r="L552" s="249"/>
      <c r="M552" s="249"/>
      <c r="N552" s="249"/>
      <c r="O552" s="249"/>
    </row>
    <row r="553" spans="1:15" ht="18.75" x14ac:dyDescent="0.25">
      <c r="A553" s="77"/>
      <c r="B553" s="268"/>
      <c r="L553" s="249"/>
      <c r="M553" s="249"/>
      <c r="N553" s="249"/>
      <c r="O553" s="249"/>
    </row>
    <row r="554" spans="1:15" ht="18.75" x14ac:dyDescent="0.25">
      <c r="A554" s="77"/>
      <c r="L554" s="249"/>
      <c r="M554" s="249"/>
      <c r="N554" s="249"/>
      <c r="O554" s="249"/>
    </row>
    <row r="555" spans="1:15" ht="18.75" x14ac:dyDescent="0.25">
      <c r="A555" s="77"/>
      <c r="L555" s="249"/>
      <c r="M555" s="249"/>
      <c r="N555" s="249"/>
      <c r="O555" s="249"/>
    </row>
    <row r="556" spans="1:15" ht="18.75" x14ac:dyDescent="0.25">
      <c r="A556" s="77"/>
      <c r="L556" s="249"/>
      <c r="M556" s="249"/>
      <c r="N556" s="249"/>
      <c r="O556" s="249"/>
    </row>
    <row r="557" spans="1:15" ht="18.75" x14ac:dyDescent="0.25">
      <c r="A557" s="77"/>
      <c r="L557" s="249"/>
      <c r="M557" s="249"/>
      <c r="N557" s="249"/>
      <c r="O557" s="249"/>
    </row>
    <row r="558" spans="1:15" ht="18.75" x14ac:dyDescent="0.25">
      <c r="A558" s="77"/>
      <c r="L558" s="249"/>
      <c r="M558" s="249"/>
      <c r="N558" s="249"/>
      <c r="O558" s="249"/>
    </row>
    <row r="559" spans="1:15" ht="18.75" x14ac:dyDescent="0.25">
      <c r="A559" s="77"/>
      <c r="L559" s="249"/>
      <c r="M559" s="249"/>
      <c r="N559" s="249"/>
      <c r="O559" s="249"/>
    </row>
    <row r="560" spans="1:15" ht="18.75" x14ac:dyDescent="0.25">
      <c r="A560" s="77"/>
      <c r="L560" s="249"/>
      <c r="M560" s="249"/>
      <c r="N560" s="249"/>
      <c r="O560" s="249"/>
    </row>
    <row r="561" spans="1:15" ht="18.75" x14ac:dyDescent="0.25">
      <c r="A561" s="77"/>
      <c r="L561" s="249"/>
      <c r="M561" s="249"/>
      <c r="N561" s="249"/>
      <c r="O561" s="249"/>
    </row>
    <row r="562" spans="1:15" ht="18.75" x14ac:dyDescent="0.25">
      <c r="A562" s="77"/>
      <c r="L562" s="249"/>
      <c r="M562" s="249"/>
      <c r="N562" s="249"/>
      <c r="O562" s="249"/>
    </row>
    <row r="563" spans="1:15" ht="18.75" x14ac:dyDescent="0.25">
      <c r="A563" s="77"/>
      <c r="L563" s="249"/>
      <c r="M563" s="249"/>
      <c r="N563" s="249"/>
      <c r="O563" s="249"/>
    </row>
    <row r="564" spans="1:15" ht="18.75" x14ac:dyDescent="0.25">
      <c r="A564" s="77"/>
      <c r="L564" s="249"/>
      <c r="M564" s="249"/>
      <c r="N564" s="249"/>
      <c r="O564" s="249"/>
    </row>
    <row r="565" spans="1:15" ht="18.75" x14ac:dyDescent="0.25">
      <c r="A565" s="77"/>
      <c r="L565" s="249"/>
      <c r="M565" s="249"/>
      <c r="N565" s="249"/>
      <c r="O565" s="249"/>
    </row>
    <row r="566" spans="1:15" ht="18.75" x14ac:dyDescent="0.25">
      <c r="A566" s="77"/>
      <c r="L566" s="249"/>
      <c r="M566" s="249"/>
      <c r="N566" s="249"/>
      <c r="O566" s="249"/>
    </row>
    <row r="567" spans="1:15" ht="18.75" x14ac:dyDescent="0.25">
      <c r="A567" s="77"/>
      <c r="L567" s="249"/>
      <c r="M567" s="249"/>
      <c r="N567" s="249"/>
      <c r="O567" s="249"/>
    </row>
    <row r="568" spans="1:15" ht="18.75" x14ac:dyDescent="0.25">
      <c r="A568" s="77"/>
      <c r="L568" s="249"/>
      <c r="M568" s="249"/>
      <c r="N568" s="249"/>
      <c r="O568" s="249"/>
    </row>
    <row r="569" spans="1:15" ht="18.75" x14ac:dyDescent="0.25">
      <c r="A569" s="77"/>
      <c r="L569" s="249"/>
      <c r="M569" s="249"/>
      <c r="N569" s="249"/>
      <c r="O569" s="249"/>
    </row>
    <row r="570" spans="1:15" ht="18.75" x14ac:dyDescent="0.25">
      <c r="A570" s="77"/>
      <c r="L570" s="249"/>
      <c r="M570" s="249"/>
      <c r="N570" s="249"/>
      <c r="O570" s="249"/>
    </row>
    <row r="571" spans="1:15" ht="18.75" x14ac:dyDescent="0.25">
      <c r="A571" s="77"/>
      <c r="L571" s="249"/>
      <c r="M571" s="249"/>
      <c r="N571" s="249"/>
      <c r="O571" s="249"/>
    </row>
    <row r="572" spans="1:15" ht="18.75" x14ac:dyDescent="0.25">
      <c r="A572" s="77"/>
      <c r="L572" s="249"/>
      <c r="M572" s="249"/>
      <c r="N572" s="249"/>
      <c r="O572" s="249"/>
    </row>
    <row r="573" spans="1:15" ht="18.75" x14ac:dyDescent="0.25">
      <c r="A573" s="77"/>
      <c r="L573" s="249"/>
      <c r="M573" s="249"/>
      <c r="N573" s="249"/>
      <c r="O573" s="249"/>
    </row>
    <row r="574" spans="1:15" ht="18.75" x14ac:dyDescent="0.25">
      <c r="A574" s="77"/>
      <c r="L574" s="249"/>
      <c r="M574" s="249"/>
      <c r="N574" s="249"/>
      <c r="O574" s="249"/>
    </row>
    <row r="575" spans="1:15" ht="18.75" x14ac:dyDescent="0.25">
      <c r="A575" s="77"/>
      <c r="L575" s="249"/>
      <c r="M575" s="249"/>
      <c r="N575" s="249"/>
      <c r="O575" s="249"/>
    </row>
    <row r="576" spans="1:15" ht="18.75" x14ac:dyDescent="0.25">
      <c r="A576" s="77"/>
      <c r="L576" s="249"/>
      <c r="M576" s="249"/>
      <c r="N576" s="249"/>
      <c r="O576" s="249"/>
    </row>
    <row r="577" spans="1:15" ht="18.75" x14ac:dyDescent="0.25">
      <c r="A577" s="77"/>
      <c r="L577" s="249"/>
      <c r="M577" s="249"/>
      <c r="N577" s="249"/>
      <c r="O577" s="249"/>
    </row>
    <row r="578" spans="1:15" ht="18.75" x14ac:dyDescent="0.25">
      <c r="A578" s="77"/>
      <c r="L578" s="249"/>
      <c r="M578" s="249"/>
      <c r="N578" s="249"/>
      <c r="O578" s="249"/>
    </row>
    <row r="579" spans="1:15" ht="18.75" x14ac:dyDescent="0.25">
      <c r="A579" s="77"/>
      <c r="L579" s="249"/>
      <c r="M579" s="249"/>
      <c r="N579" s="249"/>
      <c r="O579" s="249"/>
    </row>
    <row r="580" spans="1:15" ht="18.75" x14ac:dyDescent="0.25">
      <c r="A580" s="77"/>
      <c r="L580" s="249"/>
      <c r="M580" s="249"/>
      <c r="N580" s="249"/>
      <c r="O580" s="249"/>
    </row>
    <row r="581" spans="1:15" ht="18.75" x14ac:dyDescent="0.25">
      <c r="A581" s="77"/>
      <c r="B581" s="268"/>
      <c r="L581" s="249"/>
      <c r="M581" s="249"/>
      <c r="N581" s="249"/>
      <c r="O581" s="249"/>
    </row>
    <row r="582" spans="1:15" ht="18.75" x14ac:dyDescent="0.25">
      <c r="A582" s="77"/>
      <c r="B582" s="268"/>
      <c r="L582" s="249"/>
      <c r="M582" s="249"/>
      <c r="N582" s="249"/>
      <c r="O582" s="249"/>
    </row>
    <row r="583" spans="1:15" ht="18.75" x14ac:dyDescent="0.25">
      <c r="A583" s="77"/>
      <c r="L583" s="249"/>
      <c r="M583" s="249"/>
      <c r="N583" s="249"/>
      <c r="O583" s="249"/>
    </row>
    <row r="584" spans="1:15" ht="18.75" x14ac:dyDescent="0.25">
      <c r="A584" s="77"/>
      <c r="L584" s="249"/>
      <c r="M584" s="249"/>
      <c r="N584" s="249"/>
      <c r="O584" s="249"/>
    </row>
    <row r="585" spans="1:15" ht="18.75" x14ac:dyDescent="0.25">
      <c r="A585" s="77"/>
      <c r="L585" s="249"/>
      <c r="M585" s="249"/>
      <c r="N585" s="249"/>
      <c r="O585" s="249"/>
    </row>
    <row r="586" spans="1:15" ht="18.75" x14ac:dyDescent="0.25">
      <c r="A586" s="77"/>
      <c r="L586" s="249"/>
      <c r="M586" s="249"/>
      <c r="N586" s="249"/>
      <c r="O586" s="249"/>
    </row>
    <row r="587" spans="1:15" ht="18.75" x14ac:dyDescent="0.25">
      <c r="A587" s="77"/>
      <c r="L587" s="249"/>
      <c r="M587" s="249"/>
      <c r="N587" s="249"/>
      <c r="O587" s="249"/>
    </row>
    <row r="588" spans="1:15" ht="18.75" x14ac:dyDescent="0.25">
      <c r="A588" s="77"/>
      <c r="L588" s="249"/>
      <c r="M588" s="249"/>
      <c r="N588" s="249"/>
      <c r="O588" s="249"/>
    </row>
    <row r="589" spans="1:15" ht="18.75" x14ac:dyDescent="0.25">
      <c r="A589" s="77"/>
      <c r="L589" s="249"/>
      <c r="M589" s="249"/>
      <c r="N589" s="249"/>
      <c r="O589" s="249"/>
    </row>
    <row r="590" spans="1:15" ht="18.75" x14ac:dyDescent="0.25">
      <c r="A590" s="77"/>
      <c r="L590" s="249"/>
      <c r="M590" s="249"/>
      <c r="N590" s="249"/>
      <c r="O590" s="249"/>
    </row>
    <row r="591" spans="1:15" ht="18.75" x14ac:dyDescent="0.25">
      <c r="A591" s="77"/>
      <c r="L591" s="249"/>
      <c r="M591" s="249"/>
      <c r="N591" s="249"/>
      <c r="O591" s="249"/>
    </row>
    <row r="592" spans="1:15" ht="18.75" x14ac:dyDescent="0.25">
      <c r="A592" s="77"/>
      <c r="L592" s="249"/>
      <c r="M592" s="249"/>
      <c r="N592" s="249"/>
      <c r="O592" s="249"/>
    </row>
    <row r="593" spans="1:15" ht="18.75" x14ac:dyDescent="0.25">
      <c r="A593" s="77"/>
      <c r="L593" s="249"/>
      <c r="M593" s="249"/>
      <c r="N593" s="249"/>
      <c r="O593" s="249"/>
    </row>
    <row r="594" spans="1:15" ht="18.75" x14ac:dyDescent="0.25">
      <c r="A594" s="77"/>
      <c r="L594" s="249"/>
      <c r="M594" s="249"/>
      <c r="N594" s="249"/>
      <c r="O594" s="249"/>
    </row>
    <row r="595" spans="1:15" ht="18.75" x14ac:dyDescent="0.25">
      <c r="A595" s="77"/>
      <c r="L595" s="249"/>
      <c r="M595" s="249"/>
      <c r="N595" s="249"/>
      <c r="O595" s="249"/>
    </row>
    <row r="596" spans="1:15" ht="18.75" x14ac:dyDescent="0.25">
      <c r="A596" s="77"/>
      <c r="L596" s="249"/>
      <c r="M596" s="249"/>
      <c r="N596" s="249"/>
      <c r="O596" s="249"/>
    </row>
    <row r="597" spans="1:15" ht="18.75" x14ac:dyDescent="0.25">
      <c r="A597" s="77"/>
      <c r="L597" s="249"/>
      <c r="M597" s="249"/>
      <c r="N597" s="249"/>
      <c r="O597" s="249"/>
    </row>
    <row r="598" spans="1:15" ht="18.75" x14ac:dyDescent="0.25">
      <c r="A598" s="77"/>
      <c r="L598" s="249"/>
      <c r="M598" s="249"/>
      <c r="N598" s="249"/>
      <c r="O598" s="249"/>
    </row>
    <row r="599" spans="1:15" ht="18.75" x14ac:dyDescent="0.25">
      <c r="A599" s="77"/>
      <c r="L599" s="249"/>
      <c r="M599" s="249"/>
      <c r="N599" s="249"/>
      <c r="O599" s="249"/>
    </row>
    <row r="600" spans="1:15" ht="18.75" x14ac:dyDescent="0.25">
      <c r="A600" s="77"/>
      <c r="L600" s="249"/>
      <c r="M600" s="249"/>
      <c r="N600" s="249"/>
      <c r="O600" s="249"/>
    </row>
    <row r="601" spans="1:15" ht="18.75" x14ac:dyDescent="0.25">
      <c r="A601" s="77"/>
      <c r="L601" s="249"/>
      <c r="M601" s="249"/>
      <c r="N601" s="249"/>
      <c r="O601" s="249"/>
    </row>
    <row r="602" spans="1:15" ht="18.75" x14ac:dyDescent="0.25">
      <c r="A602" s="77"/>
      <c r="L602" s="249"/>
      <c r="M602" s="249"/>
      <c r="N602" s="249"/>
      <c r="O602" s="249"/>
    </row>
    <row r="603" spans="1:15" ht="18.75" x14ac:dyDescent="0.25">
      <c r="A603" s="77"/>
      <c r="L603" s="249"/>
      <c r="M603" s="249"/>
      <c r="N603" s="249"/>
      <c r="O603" s="249"/>
    </row>
    <row r="604" spans="1:15" ht="18.75" x14ac:dyDescent="0.25">
      <c r="A604" s="77"/>
      <c r="L604" s="249"/>
      <c r="M604" s="249"/>
      <c r="N604" s="249"/>
      <c r="O604" s="249"/>
    </row>
    <row r="605" spans="1:15" ht="18.75" x14ac:dyDescent="0.25">
      <c r="A605" s="77"/>
      <c r="L605" s="249"/>
      <c r="M605" s="249"/>
      <c r="N605" s="249"/>
      <c r="O605" s="249"/>
    </row>
    <row r="606" spans="1:15" ht="18.75" x14ac:dyDescent="0.25">
      <c r="A606" s="77"/>
      <c r="L606" s="249"/>
      <c r="M606" s="249"/>
      <c r="N606" s="249"/>
      <c r="O606" s="249"/>
    </row>
    <row r="607" spans="1:15" ht="18.75" x14ac:dyDescent="0.25">
      <c r="A607" s="77"/>
      <c r="B607" s="268"/>
      <c r="L607" s="249"/>
      <c r="M607" s="249"/>
      <c r="N607" s="249"/>
      <c r="O607" s="249"/>
    </row>
    <row r="608" spans="1:15" ht="18.75" x14ac:dyDescent="0.25">
      <c r="A608" s="77"/>
      <c r="B608" s="268"/>
      <c r="L608" s="249"/>
      <c r="M608" s="249"/>
      <c r="N608" s="249"/>
      <c r="O608" s="249"/>
    </row>
    <row r="609" spans="1:15" ht="18.75" x14ac:dyDescent="0.25">
      <c r="A609" s="77"/>
      <c r="B609" s="268"/>
      <c r="L609" s="249"/>
      <c r="M609" s="249"/>
      <c r="N609" s="249"/>
      <c r="O609" s="249"/>
    </row>
    <row r="610" spans="1:15" ht="18.75" x14ac:dyDescent="0.25">
      <c r="A610" s="77"/>
      <c r="B610" s="268"/>
      <c r="L610" s="249"/>
      <c r="M610" s="249"/>
      <c r="N610" s="249"/>
      <c r="O610" s="249"/>
    </row>
    <row r="611" spans="1:15" ht="18.75" x14ac:dyDescent="0.25">
      <c r="A611" s="77"/>
      <c r="B611" s="268"/>
      <c r="L611" s="249"/>
      <c r="M611" s="249"/>
      <c r="N611" s="249"/>
      <c r="O611" s="249"/>
    </row>
    <row r="612" spans="1:15" ht="18.75" x14ac:dyDescent="0.25">
      <c r="A612" s="77"/>
      <c r="B612" s="268"/>
      <c r="L612" s="249"/>
      <c r="M612" s="249"/>
      <c r="N612" s="249"/>
      <c r="O612" s="249"/>
    </row>
    <row r="613" spans="1:15" ht="18.75" x14ac:dyDescent="0.25">
      <c r="A613" s="77"/>
      <c r="B613" s="268"/>
      <c r="L613" s="249"/>
      <c r="M613" s="249"/>
      <c r="N613" s="249"/>
      <c r="O613" s="249"/>
    </row>
    <row r="614" spans="1:15" ht="18.75" x14ac:dyDescent="0.25">
      <c r="A614" s="77"/>
      <c r="B614" s="268"/>
      <c r="L614" s="249"/>
      <c r="M614" s="249"/>
      <c r="N614" s="249"/>
      <c r="O614" s="249"/>
    </row>
    <row r="615" spans="1:15" ht="18.75" x14ac:dyDescent="0.25">
      <c r="A615" s="77"/>
      <c r="B615" s="268"/>
      <c r="L615" s="249"/>
      <c r="M615" s="249"/>
      <c r="N615" s="249"/>
      <c r="O615" s="249"/>
    </row>
    <row r="616" spans="1:15" ht="18.75" x14ac:dyDescent="0.25">
      <c r="A616" s="77"/>
      <c r="B616" s="268"/>
      <c r="L616" s="249"/>
      <c r="M616" s="249"/>
      <c r="N616" s="249"/>
      <c r="O616" s="249"/>
    </row>
    <row r="617" spans="1:15" ht="18.75" x14ac:dyDescent="0.25">
      <c r="A617" s="77"/>
      <c r="B617" s="268"/>
      <c r="L617" s="249"/>
      <c r="M617" s="249"/>
      <c r="N617" s="249"/>
      <c r="O617" s="249"/>
    </row>
    <row r="618" spans="1:15" ht="18.75" x14ac:dyDescent="0.25">
      <c r="A618" s="77"/>
      <c r="B618" s="268"/>
      <c r="L618" s="249"/>
      <c r="M618" s="249"/>
      <c r="N618" s="249"/>
      <c r="O618" s="249"/>
    </row>
    <row r="619" spans="1:15" ht="18.75" x14ac:dyDescent="0.25">
      <c r="A619" s="77"/>
      <c r="B619" s="268"/>
      <c r="L619" s="249"/>
      <c r="M619" s="249"/>
      <c r="N619" s="249"/>
      <c r="O619" s="249"/>
    </row>
    <row r="620" spans="1:15" ht="18.75" x14ac:dyDescent="0.25">
      <c r="A620" s="77"/>
      <c r="B620" s="268"/>
      <c r="L620" s="249"/>
      <c r="M620" s="249"/>
      <c r="N620" s="249"/>
      <c r="O620" s="249"/>
    </row>
    <row r="621" spans="1:15" ht="18.75" x14ac:dyDescent="0.25">
      <c r="A621" s="77"/>
      <c r="L621" s="249"/>
      <c r="M621" s="249"/>
      <c r="N621" s="249"/>
      <c r="O621" s="249"/>
    </row>
    <row r="622" spans="1:15" ht="18.75" x14ac:dyDescent="0.25">
      <c r="A622" s="77"/>
      <c r="L622" s="249"/>
      <c r="M622" s="249"/>
      <c r="N622" s="249"/>
      <c r="O622" s="249"/>
    </row>
    <row r="623" spans="1:15" ht="18.75" x14ac:dyDescent="0.25">
      <c r="A623" s="77"/>
      <c r="L623" s="249"/>
      <c r="M623" s="249"/>
      <c r="N623" s="249"/>
      <c r="O623" s="249"/>
    </row>
    <row r="624" spans="1:15" ht="18.75" x14ac:dyDescent="0.25">
      <c r="A624" s="77"/>
      <c r="L624" s="249"/>
      <c r="M624" s="249"/>
      <c r="N624" s="249"/>
      <c r="O624" s="249"/>
    </row>
    <row r="625" spans="1:15" ht="18.75" x14ac:dyDescent="0.25">
      <c r="A625" s="77"/>
      <c r="L625" s="249"/>
      <c r="M625" s="249"/>
      <c r="N625" s="249"/>
      <c r="O625" s="249"/>
    </row>
    <row r="626" spans="1:15" ht="18.75" x14ac:dyDescent="0.25">
      <c r="A626" s="77"/>
      <c r="L626" s="249"/>
      <c r="M626" s="249"/>
      <c r="N626" s="249"/>
      <c r="O626" s="249"/>
    </row>
    <row r="627" spans="1:15" ht="18.75" x14ac:dyDescent="0.25">
      <c r="A627" s="77"/>
      <c r="L627" s="249"/>
      <c r="M627" s="249"/>
      <c r="N627" s="249"/>
      <c r="O627" s="249"/>
    </row>
    <row r="628" spans="1:15" ht="18.75" x14ac:dyDescent="0.25">
      <c r="A628" s="77"/>
      <c r="L628" s="249"/>
      <c r="M628" s="249"/>
      <c r="N628" s="249"/>
      <c r="O628" s="249"/>
    </row>
    <row r="629" spans="1:15" ht="18.75" x14ac:dyDescent="0.25">
      <c r="A629" s="77"/>
      <c r="L629" s="249"/>
      <c r="M629" s="249"/>
      <c r="N629" s="249"/>
      <c r="O629" s="249"/>
    </row>
    <row r="630" spans="1:15" ht="18.75" x14ac:dyDescent="0.25">
      <c r="A630" s="77"/>
      <c r="L630" s="249"/>
      <c r="M630" s="249"/>
      <c r="N630" s="249"/>
      <c r="O630" s="249"/>
    </row>
    <row r="631" spans="1:15" ht="18.75" x14ac:dyDescent="0.25">
      <c r="A631" s="77"/>
      <c r="L631" s="249"/>
      <c r="M631" s="249"/>
      <c r="N631" s="249"/>
      <c r="O631" s="249"/>
    </row>
    <row r="632" spans="1:15" ht="18.75" x14ac:dyDescent="0.25">
      <c r="A632" s="77"/>
      <c r="L632" s="249"/>
      <c r="M632" s="249"/>
      <c r="N632" s="249"/>
      <c r="O632" s="249"/>
    </row>
    <row r="633" spans="1:15" ht="18.75" x14ac:dyDescent="0.25">
      <c r="A633" s="77"/>
      <c r="L633" s="249"/>
      <c r="M633" s="249"/>
      <c r="N633" s="249"/>
      <c r="O633" s="249"/>
    </row>
    <row r="634" spans="1:15" ht="18.75" x14ac:dyDescent="0.25">
      <c r="A634" s="77"/>
      <c r="L634" s="249"/>
      <c r="M634" s="249"/>
      <c r="N634" s="249"/>
      <c r="O634" s="249"/>
    </row>
    <row r="635" spans="1:15" ht="18.75" x14ac:dyDescent="0.25">
      <c r="A635" s="77"/>
      <c r="L635" s="249"/>
      <c r="M635" s="249"/>
      <c r="N635" s="249"/>
      <c r="O635" s="249"/>
    </row>
    <row r="636" spans="1:15" ht="18.75" x14ac:dyDescent="0.25">
      <c r="A636" s="77"/>
      <c r="L636" s="249"/>
      <c r="M636" s="249"/>
      <c r="N636" s="249"/>
      <c r="O636" s="249"/>
    </row>
    <row r="637" spans="1:15" ht="18.75" x14ac:dyDescent="0.25">
      <c r="A637" s="77"/>
      <c r="L637" s="249"/>
      <c r="M637" s="249"/>
      <c r="N637" s="249"/>
      <c r="O637" s="249"/>
    </row>
    <row r="638" spans="1:15" ht="18.75" x14ac:dyDescent="0.25">
      <c r="A638" s="77"/>
      <c r="L638" s="249"/>
      <c r="M638" s="249"/>
      <c r="N638" s="249"/>
      <c r="O638" s="249"/>
    </row>
    <row r="639" spans="1:15" ht="18.75" x14ac:dyDescent="0.25">
      <c r="A639" s="77"/>
      <c r="L639" s="249"/>
      <c r="M639" s="249"/>
      <c r="N639" s="249"/>
      <c r="O639" s="249"/>
    </row>
    <row r="640" spans="1:15" ht="18.75" x14ac:dyDescent="0.25">
      <c r="A640" s="77"/>
      <c r="L640" s="249"/>
      <c r="M640" s="249"/>
      <c r="N640" s="249"/>
      <c r="O640" s="249"/>
    </row>
    <row r="641" spans="1:15" ht="18.75" x14ac:dyDescent="0.25">
      <c r="A641" s="77"/>
      <c r="L641" s="249"/>
      <c r="M641" s="249"/>
      <c r="N641" s="249"/>
      <c r="O641" s="249"/>
    </row>
    <row r="642" spans="1:15" ht="18.75" x14ac:dyDescent="0.25">
      <c r="A642" s="77"/>
      <c r="L642" s="249"/>
      <c r="M642" s="249"/>
      <c r="N642" s="249"/>
      <c r="O642" s="249"/>
    </row>
    <row r="643" spans="1:15" ht="18.75" x14ac:dyDescent="0.25">
      <c r="A643" s="77"/>
      <c r="L643" s="249"/>
      <c r="M643" s="249"/>
      <c r="N643" s="249"/>
      <c r="O643" s="249"/>
    </row>
    <row r="644" spans="1:15" ht="18.75" x14ac:dyDescent="0.25">
      <c r="A644" s="77"/>
      <c r="L644" s="249"/>
      <c r="M644" s="249"/>
      <c r="N644" s="249"/>
      <c r="O644" s="249"/>
    </row>
    <row r="645" spans="1:15" ht="18.75" x14ac:dyDescent="0.25">
      <c r="A645" s="77"/>
      <c r="L645" s="249"/>
      <c r="M645" s="249"/>
      <c r="N645" s="249"/>
      <c r="O645" s="249"/>
    </row>
    <row r="646" spans="1:15" ht="18.75" x14ac:dyDescent="0.25">
      <c r="A646" s="77"/>
      <c r="L646" s="249"/>
      <c r="M646" s="249"/>
      <c r="N646" s="249"/>
      <c r="O646" s="249"/>
    </row>
    <row r="647" spans="1:15" ht="18.75" x14ac:dyDescent="0.25">
      <c r="A647" s="77"/>
      <c r="L647" s="249"/>
      <c r="M647" s="249"/>
      <c r="N647" s="249"/>
      <c r="O647" s="249"/>
    </row>
    <row r="648" spans="1:15" ht="18.75" x14ac:dyDescent="0.25">
      <c r="A648" s="77"/>
      <c r="L648" s="249"/>
      <c r="M648" s="249"/>
      <c r="N648" s="249"/>
      <c r="O648" s="249"/>
    </row>
    <row r="649" spans="1:15" ht="18.75" x14ac:dyDescent="0.25">
      <c r="A649" s="77"/>
      <c r="L649" s="249"/>
      <c r="M649" s="249"/>
      <c r="N649" s="249"/>
      <c r="O649" s="249"/>
    </row>
    <row r="650" spans="1:15" ht="18.75" x14ac:dyDescent="0.25">
      <c r="A650" s="77"/>
      <c r="B650" s="268"/>
      <c r="L650" s="249"/>
      <c r="M650" s="249"/>
      <c r="N650" s="249"/>
      <c r="O650" s="249"/>
    </row>
    <row r="651" spans="1:15" ht="18.75" x14ac:dyDescent="0.25">
      <c r="A651" s="77"/>
      <c r="B651" s="268"/>
      <c r="L651" s="249"/>
      <c r="M651" s="249"/>
      <c r="N651" s="249"/>
      <c r="O651" s="249"/>
    </row>
    <row r="652" spans="1:15" ht="18.75" x14ac:dyDescent="0.25">
      <c r="A652" s="77"/>
      <c r="B652" s="268"/>
      <c r="L652" s="249"/>
      <c r="M652" s="249"/>
      <c r="N652" s="249"/>
      <c r="O652" s="249"/>
    </row>
    <row r="653" spans="1:15" ht="18.75" x14ac:dyDescent="0.25">
      <c r="A653" s="77"/>
      <c r="B653" s="268"/>
      <c r="L653" s="249"/>
      <c r="M653" s="249"/>
      <c r="N653" s="249"/>
      <c r="O653" s="249"/>
    </row>
    <row r="654" spans="1:15" ht="18.75" x14ac:dyDescent="0.25">
      <c r="A654" s="77"/>
      <c r="B654" s="268"/>
      <c r="L654" s="249"/>
      <c r="M654" s="249"/>
      <c r="N654" s="249"/>
      <c r="O654" s="249"/>
    </row>
    <row r="655" spans="1:15" ht="18.75" x14ac:dyDescent="0.25">
      <c r="A655" s="77"/>
      <c r="L655" s="249"/>
      <c r="M655" s="249"/>
      <c r="N655" s="249"/>
      <c r="O655" s="249"/>
    </row>
    <row r="656" spans="1:15" ht="18.75" x14ac:dyDescent="0.25">
      <c r="A656" s="77"/>
      <c r="L656" s="249"/>
      <c r="M656" s="249"/>
      <c r="N656" s="249"/>
      <c r="O656" s="249"/>
    </row>
    <row r="657" spans="1:15" ht="18.75" x14ac:dyDescent="0.25">
      <c r="A657" s="77"/>
      <c r="L657" s="249"/>
      <c r="M657" s="249"/>
      <c r="N657" s="249"/>
      <c r="O657" s="249"/>
    </row>
    <row r="658" spans="1:15" ht="18.75" x14ac:dyDescent="0.25">
      <c r="A658" s="77"/>
      <c r="L658" s="249"/>
      <c r="M658" s="249"/>
      <c r="N658" s="249"/>
      <c r="O658" s="249"/>
    </row>
    <row r="659" spans="1:15" ht="18.75" x14ac:dyDescent="0.25">
      <c r="A659" s="77"/>
      <c r="L659" s="249"/>
      <c r="M659" s="249"/>
      <c r="N659" s="249"/>
      <c r="O659" s="249"/>
    </row>
    <row r="660" spans="1:15" ht="18.75" x14ac:dyDescent="0.25">
      <c r="A660" s="77"/>
      <c r="L660" s="249"/>
      <c r="M660" s="249"/>
      <c r="N660" s="249"/>
      <c r="O660" s="249"/>
    </row>
    <row r="661" spans="1:15" ht="18.75" x14ac:dyDescent="0.25">
      <c r="A661" s="77"/>
      <c r="L661" s="249"/>
      <c r="M661" s="249"/>
      <c r="N661" s="249"/>
      <c r="O661" s="249"/>
    </row>
    <row r="662" spans="1:15" ht="18.75" x14ac:dyDescent="0.25">
      <c r="A662" s="77"/>
      <c r="L662" s="249"/>
      <c r="M662" s="249"/>
      <c r="N662" s="249"/>
      <c r="O662" s="249"/>
    </row>
    <row r="663" spans="1:15" ht="18.75" x14ac:dyDescent="0.25">
      <c r="A663" s="77"/>
      <c r="L663" s="249"/>
      <c r="M663" s="249"/>
      <c r="N663" s="249"/>
      <c r="O663" s="249"/>
    </row>
    <row r="664" spans="1:15" ht="18.75" x14ac:dyDescent="0.25">
      <c r="A664" s="77"/>
      <c r="L664" s="249"/>
      <c r="M664" s="249"/>
      <c r="N664" s="249"/>
      <c r="O664" s="249"/>
    </row>
    <row r="665" spans="1:15" ht="18.75" x14ac:dyDescent="0.25">
      <c r="A665" s="77"/>
      <c r="L665" s="249"/>
      <c r="M665" s="249"/>
      <c r="N665" s="249"/>
      <c r="O665" s="249"/>
    </row>
    <row r="666" spans="1:15" ht="18.75" x14ac:dyDescent="0.25">
      <c r="A666" s="77"/>
      <c r="L666" s="249"/>
      <c r="M666" s="249"/>
      <c r="N666" s="249"/>
      <c r="O666" s="249"/>
    </row>
    <row r="667" spans="1:15" ht="18.75" x14ac:dyDescent="0.25">
      <c r="A667" s="77"/>
      <c r="L667" s="249"/>
      <c r="M667" s="249"/>
      <c r="N667" s="249"/>
      <c r="O667" s="249"/>
    </row>
    <row r="668" spans="1:15" ht="18.75" x14ac:dyDescent="0.25">
      <c r="A668" s="77"/>
      <c r="L668" s="249"/>
      <c r="M668" s="249"/>
      <c r="N668" s="249"/>
      <c r="O668" s="249"/>
    </row>
    <row r="669" spans="1:15" ht="18.75" x14ac:dyDescent="0.25">
      <c r="A669" s="77"/>
      <c r="L669" s="249"/>
      <c r="M669" s="249"/>
      <c r="N669" s="249"/>
      <c r="O669" s="249"/>
    </row>
    <row r="670" spans="1:15" ht="18.75" x14ac:dyDescent="0.25">
      <c r="A670" s="77"/>
      <c r="L670" s="249"/>
      <c r="M670" s="249"/>
      <c r="N670" s="249"/>
      <c r="O670" s="249"/>
    </row>
    <row r="671" spans="1:15" ht="18.75" x14ac:dyDescent="0.25">
      <c r="A671" s="77"/>
      <c r="B671" s="268"/>
      <c r="L671" s="249"/>
      <c r="M671" s="249"/>
      <c r="N671" s="249"/>
      <c r="O671" s="249"/>
    </row>
    <row r="672" spans="1:15" ht="18.75" x14ac:dyDescent="0.25">
      <c r="A672" s="77"/>
      <c r="B672" s="268"/>
      <c r="L672" s="249"/>
      <c r="M672" s="249"/>
      <c r="N672" s="249"/>
      <c r="O672" s="249"/>
    </row>
    <row r="673" spans="1:15" ht="18.75" x14ac:dyDescent="0.25">
      <c r="A673" s="77"/>
      <c r="B673" s="268"/>
      <c r="L673" s="249"/>
      <c r="M673" s="249"/>
      <c r="N673" s="249"/>
      <c r="O673" s="249"/>
    </row>
    <row r="674" spans="1:15" ht="18.75" x14ac:dyDescent="0.25">
      <c r="A674" s="77"/>
      <c r="L674" s="249"/>
      <c r="M674" s="249"/>
      <c r="N674" s="249"/>
      <c r="O674" s="249"/>
    </row>
    <row r="675" spans="1:15" ht="18.75" x14ac:dyDescent="0.25">
      <c r="A675" s="77"/>
      <c r="L675" s="249"/>
      <c r="M675" s="249"/>
      <c r="N675" s="249"/>
      <c r="O675" s="249"/>
    </row>
    <row r="676" spans="1:15" ht="18.75" x14ac:dyDescent="0.25">
      <c r="A676" s="77"/>
      <c r="L676" s="249"/>
      <c r="M676" s="249"/>
      <c r="N676" s="249"/>
      <c r="O676" s="249"/>
    </row>
    <row r="677" spans="1:15" ht="18.75" x14ac:dyDescent="0.25">
      <c r="A677" s="77"/>
      <c r="L677" s="249"/>
      <c r="M677" s="249"/>
      <c r="N677" s="249"/>
      <c r="O677" s="249"/>
    </row>
    <row r="678" spans="1:15" ht="18.75" x14ac:dyDescent="0.25">
      <c r="A678" s="77"/>
      <c r="L678" s="249"/>
      <c r="M678" s="249"/>
      <c r="N678" s="249"/>
      <c r="O678" s="249"/>
    </row>
    <row r="679" spans="1:15" ht="18.75" x14ac:dyDescent="0.25">
      <c r="A679" s="77"/>
      <c r="L679" s="249"/>
      <c r="M679" s="249"/>
      <c r="N679" s="249"/>
      <c r="O679" s="249"/>
    </row>
    <row r="680" spans="1:15" ht="18.75" x14ac:dyDescent="0.25">
      <c r="A680" s="77"/>
      <c r="L680" s="249"/>
      <c r="M680" s="249"/>
      <c r="N680" s="249"/>
      <c r="O680" s="249"/>
    </row>
    <row r="681" spans="1:15" ht="18.75" x14ac:dyDescent="0.25">
      <c r="A681" s="77"/>
      <c r="L681" s="249"/>
      <c r="M681" s="249"/>
      <c r="N681" s="249"/>
      <c r="O681" s="249"/>
    </row>
    <row r="682" spans="1:15" ht="18.75" x14ac:dyDescent="0.25">
      <c r="A682" s="77"/>
      <c r="L682" s="249"/>
      <c r="M682" s="249"/>
      <c r="N682" s="249"/>
      <c r="O682" s="249"/>
    </row>
    <row r="683" spans="1:15" ht="18.75" x14ac:dyDescent="0.25">
      <c r="A683" s="77"/>
      <c r="L683" s="249"/>
      <c r="M683" s="249"/>
      <c r="N683" s="249"/>
      <c r="O683" s="249"/>
    </row>
    <row r="684" spans="1:15" ht="18.75" x14ac:dyDescent="0.25">
      <c r="A684" s="77"/>
      <c r="L684" s="249"/>
      <c r="M684" s="249"/>
      <c r="N684" s="249"/>
      <c r="O684" s="249"/>
    </row>
    <row r="685" spans="1:15" ht="18.75" x14ac:dyDescent="0.25">
      <c r="A685" s="77"/>
      <c r="L685" s="249"/>
      <c r="M685" s="249"/>
      <c r="N685" s="249"/>
      <c r="O685" s="249"/>
    </row>
    <row r="686" spans="1:15" ht="18.75" x14ac:dyDescent="0.25">
      <c r="A686" s="77"/>
      <c r="B686" s="268"/>
      <c r="L686" s="249"/>
      <c r="M686" s="249"/>
      <c r="N686" s="249"/>
      <c r="O686" s="249"/>
    </row>
    <row r="687" spans="1:15" ht="18.75" x14ac:dyDescent="0.25">
      <c r="A687" s="77"/>
      <c r="B687" s="268"/>
      <c r="L687" s="249"/>
      <c r="M687" s="249"/>
      <c r="N687" s="249"/>
      <c r="O687" s="249"/>
    </row>
    <row r="688" spans="1:15" ht="18.75" x14ac:dyDescent="0.25">
      <c r="A688" s="77"/>
      <c r="B688" s="268"/>
      <c r="L688" s="249"/>
      <c r="M688" s="249"/>
      <c r="N688" s="249"/>
      <c r="O688" s="249"/>
    </row>
    <row r="689" spans="1:15" ht="18.75" x14ac:dyDescent="0.25">
      <c r="A689" s="77"/>
      <c r="L689" s="249"/>
      <c r="M689" s="249"/>
      <c r="N689" s="249"/>
      <c r="O689" s="249"/>
    </row>
    <row r="690" spans="1:15" ht="18.75" x14ac:dyDescent="0.25">
      <c r="A690" s="77"/>
      <c r="B690" s="268"/>
      <c r="L690" s="249"/>
      <c r="M690" s="249"/>
      <c r="N690" s="249"/>
      <c r="O690" s="249"/>
    </row>
    <row r="691" spans="1:15" ht="18.75" x14ac:dyDescent="0.25">
      <c r="A691" s="77"/>
      <c r="B691" s="268"/>
      <c r="L691" s="249"/>
      <c r="M691" s="249"/>
      <c r="N691" s="249"/>
      <c r="O691" s="249"/>
    </row>
    <row r="692" spans="1:15" ht="18.75" x14ac:dyDescent="0.25">
      <c r="A692" s="77"/>
      <c r="B692" s="268"/>
      <c r="L692" s="249"/>
      <c r="M692" s="249"/>
      <c r="N692" s="249"/>
      <c r="O692" s="249"/>
    </row>
    <row r="693" spans="1:15" ht="18.75" x14ac:dyDescent="0.25">
      <c r="A693" s="77"/>
      <c r="L693" s="249"/>
      <c r="M693" s="249"/>
      <c r="N693" s="249"/>
      <c r="O693" s="249"/>
    </row>
    <row r="694" spans="1:15" ht="18.75" x14ac:dyDescent="0.25">
      <c r="A694" s="77"/>
      <c r="L694" s="249"/>
      <c r="M694" s="249"/>
      <c r="N694" s="249"/>
      <c r="O694" s="249"/>
    </row>
    <row r="695" spans="1:15" ht="18.75" x14ac:dyDescent="0.25">
      <c r="A695" s="77"/>
      <c r="L695" s="249"/>
      <c r="M695" s="249"/>
      <c r="N695" s="249"/>
      <c r="O695" s="249"/>
    </row>
    <row r="696" spans="1:15" ht="18.75" x14ac:dyDescent="0.25">
      <c r="A696" s="77"/>
      <c r="L696" s="249"/>
      <c r="M696" s="249"/>
      <c r="N696" s="249"/>
      <c r="O696" s="249"/>
    </row>
    <row r="697" spans="1:15" ht="18.75" x14ac:dyDescent="0.25">
      <c r="A697" s="77"/>
      <c r="L697" s="249"/>
      <c r="M697" s="249"/>
      <c r="N697" s="249"/>
      <c r="O697" s="249"/>
    </row>
    <row r="698" spans="1:15" ht="18.75" x14ac:dyDescent="0.25">
      <c r="A698" s="77"/>
      <c r="L698" s="249"/>
      <c r="M698" s="249"/>
      <c r="N698" s="249"/>
      <c r="O698" s="249"/>
    </row>
    <row r="699" spans="1:15" ht="18.75" x14ac:dyDescent="0.25">
      <c r="A699" s="77"/>
      <c r="L699" s="249"/>
      <c r="M699" s="249"/>
      <c r="N699" s="249"/>
      <c r="O699" s="249"/>
    </row>
    <row r="700" spans="1:15" ht="18.75" x14ac:dyDescent="0.25">
      <c r="A700" s="77"/>
      <c r="L700" s="249"/>
      <c r="M700" s="249"/>
      <c r="N700" s="249"/>
      <c r="O700" s="249"/>
    </row>
    <row r="701" spans="1:15" ht="18.75" x14ac:dyDescent="0.25">
      <c r="A701" s="77"/>
      <c r="L701" s="249"/>
      <c r="M701" s="249"/>
      <c r="N701" s="249"/>
      <c r="O701" s="249"/>
    </row>
    <row r="702" spans="1:15" ht="18.75" x14ac:dyDescent="0.25">
      <c r="A702" s="77"/>
      <c r="L702" s="249"/>
      <c r="M702" s="249"/>
      <c r="N702" s="249"/>
      <c r="O702" s="249"/>
    </row>
    <row r="703" spans="1:15" ht="18.75" x14ac:dyDescent="0.25">
      <c r="A703" s="77"/>
      <c r="L703" s="249"/>
      <c r="M703" s="249"/>
      <c r="N703" s="249"/>
      <c r="O703" s="249"/>
    </row>
    <row r="704" spans="1:15" ht="18.75" x14ac:dyDescent="0.25">
      <c r="A704" s="77"/>
      <c r="L704" s="249"/>
      <c r="M704" s="249"/>
      <c r="N704" s="249"/>
      <c r="O704" s="249"/>
    </row>
    <row r="705" spans="1:15" ht="18.75" x14ac:dyDescent="0.25">
      <c r="A705" s="77"/>
      <c r="L705" s="249"/>
      <c r="M705" s="249"/>
      <c r="N705" s="249"/>
      <c r="O705" s="249"/>
    </row>
    <row r="706" spans="1:15" ht="18.75" x14ac:dyDescent="0.25">
      <c r="A706" s="77"/>
      <c r="L706" s="249"/>
      <c r="M706" s="249"/>
      <c r="N706" s="249"/>
      <c r="O706" s="249"/>
    </row>
    <row r="707" spans="1:15" ht="18.75" x14ac:dyDescent="0.25">
      <c r="A707" s="77"/>
      <c r="B707" s="268"/>
      <c r="L707" s="249"/>
      <c r="M707" s="249"/>
      <c r="N707" s="249"/>
      <c r="O707" s="249"/>
    </row>
    <row r="708" spans="1:15" ht="18.75" x14ac:dyDescent="0.25">
      <c r="A708" s="77"/>
      <c r="B708" s="268"/>
      <c r="L708" s="249"/>
      <c r="M708" s="249"/>
      <c r="N708" s="249"/>
      <c r="O708" s="249"/>
    </row>
    <row r="709" spans="1:15" ht="18.75" x14ac:dyDescent="0.25">
      <c r="A709" s="77"/>
      <c r="B709" s="268"/>
      <c r="L709" s="249"/>
      <c r="M709" s="249"/>
      <c r="N709" s="249"/>
      <c r="O709" s="249"/>
    </row>
    <row r="710" spans="1:15" ht="18.75" x14ac:dyDescent="0.25">
      <c r="A710" s="77"/>
      <c r="L710" s="249"/>
      <c r="M710" s="249"/>
      <c r="N710" s="249"/>
      <c r="O710" s="249"/>
    </row>
    <row r="711" spans="1:15" ht="18.75" x14ac:dyDescent="0.25">
      <c r="A711" s="77"/>
      <c r="L711" s="249"/>
      <c r="M711" s="249"/>
      <c r="N711" s="249"/>
      <c r="O711" s="249"/>
    </row>
    <row r="712" spans="1:15" ht="18.75" x14ac:dyDescent="0.25">
      <c r="A712" s="77"/>
      <c r="L712" s="249"/>
      <c r="M712" s="249"/>
      <c r="N712" s="249"/>
      <c r="O712" s="249"/>
    </row>
    <row r="713" spans="1:15" ht="18.75" x14ac:dyDescent="0.25">
      <c r="A713" s="77"/>
      <c r="L713" s="249"/>
      <c r="M713" s="249"/>
      <c r="N713" s="249"/>
      <c r="O713" s="249"/>
    </row>
    <row r="714" spans="1:15" ht="18.75" x14ac:dyDescent="0.25">
      <c r="A714" s="77"/>
      <c r="L714" s="249"/>
      <c r="M714" s="249"/>
      <c r="N714" s="249"/>
      <c r="O714" s="249"/>
    </row>
    <row r="715" spans="1:15" ht="18.75" x14ac:dyDescent="0.25">
      <c r="A715" s="77"/>
      <c r="L715" s="249"/>
      <c r="M715" s="249"/>
      <c r="N715" s="249"/>
      <c r="O715" s="249"/>
    </row>
    <row r="716" spans="1:15" ht="18.75" x14ac:dyDescent="0.25">
      <c r="A716" s="77"/>
      <c r="L716" s="249"/>
      <c r="M716" s="249"/>
      <c r="N716" s="249"/>
      <c r="O716" s="249"/>
    </row>
    <row r="717" spans="1:15" ht="18.75" x14ac:dyDescent="0.25">
      <c r="A717" s="77"/>
      <c r="L717" s="249"/>
      <c r="M717" s="249"/>
      <c r="N717" s="249"/>
      <c r="O717" s="249"/>
    </row>
    <row r="718" spans="1:15" ht="18.75" x14ac:dyDescent="0.25">
      <c r="A718" s="77"/>
      <c r="L718" s="249"/>
      <c r="M718" s="249"/>
      <c r="N718" s="249"/>
      <c r="O718" s="249"/>
    </row>
    <row r="719" spans="1:15" ht="18.75" x14ac:dyDescent="0.25">
      <c r="A719" s="77"/>
      <c r="L719" s="249"/>
      <c r="M719" s="249"/>
      <c r="N719" s="249"/>
      <c r="O719" s="249"/>
    </row>
    <row r="720" spans="1:15" ht="18.75" x14ac:dyDescent="0.25">
      <c r="A720" s="77"/>
      <c r="B720" s="268"/>
      <c r="L720" s="249"/>
      <c r="M720" s="249"/>
      <c r="N720" s="249"/>
      <c r="O720" s="249"/>
    </row>
    <row r="721" spans="1:15" ht="18.75" x14ac:dyDescent="0.25">
      <c r="A721" s="77"/>
      <c r="L721" s="249"/>
      <c r="M721" s="249"/>
      <c r="N721" s="249"/>
      <c r="O721" s="249"/>
    </row>
    <row r="722" spans="1:15" ht="18.75" x14ac:dyDescent="0.25">
      <c r="A722" s="77"/>
      <c r="L722" s="249"/>
      <c r="M722" s="249"/>
      <c r="N722" s="249"/>
      <c r="O722" s="249"/>
    </row>
    <row r="723" spans="1:15" ht="18.75" x14ac:dyDescent="0.25">
      <c r="A723" s="77"/>
      <c r="L723" s="249"/>
      <c r="M723" s="249"/>
      <c r="N723" s="249"/>
      <c r="O723" s="249"/>
    </row>
    <row r="724" spans="1:15" ht="18.75" x14ac:dyDescent="0.25">
      <c r="A724" s="77"/>
      <c r="L724" s="249"/>
      <c r="M724" s="249"/>
      <c r="N724" s="249"/>
      <c r="O724" s="249"/>
    </row>
    <row r="725" spans="1:15" ht="18.75" x14ac:dyDescent="0.25">
      <c r="A725" s="77"/>
      <c r="L725" s="249"/>
      <c r="M725" s="249"/>
      <c r="N725" s="249"/>
      <c r="O725" s="249"/>
    </row>
    <row r="726" spans="1:15" ht="18.75" x14ac:dyDescent="0.25">
      <c r="A726" s="77"/>
      <c r="L726" s="249"/>
      <c r="M726" s="249"/>
      <c r="N726" s="249"/>
      <c r="O726" s="249"/>
    </row>
    <row r="727" spans="1:15" ht="18.75" x14ac:dyDescent="0.25">
      <c r="A727" s="77"/>
      <c r="L727" s="249"/>
      <c r="M727" s="249"/>
      <c r="N727" s="249"/>
      <c r="O727" s="249"/>
    </row>
    <row r="728" spans="1:15" ht="18.75" x14ac:dyDescent="0.25">
      <c r="A728" s="77"/>
      <c r="L728" s="249"/>
      <c r="M728" s="249"/>
      <c r="N728" s="249"/>
      <c r="O728" s="249"/>
    </row>
    <row r="729" spans="1:15" ht="18.75" x14ac:dyDescent="0.25">
      <c r="A729" s="77"/>
      <c r="B729" s="268"/>
      <c r="L729" s="249"/>
      <c r="M729" s="249"/>
      <c r="N729" s="249"/>
      <c r="O729" s="249"/>
    </row>
    <row r="730" spans="1:15" ht="18.75" x14ac:dyDescent="0.25">
      <c r="A730" s="77"/>
      <c r="B730" s="268"/>
      <c r="L730" s="249"/>
      <c r="M730" s="249"/>
      <c r="N730" s="249"/>
      <c r="O730" s="249"/>
    </row>
    <row r="731" spans="1:15" ht="18.75" x14ac:dyDescent="0.25">
      <c r="A731" s="77"/>
      <c r="L731" s="249"/>
      <c r="M731" s="249"/>
      <c r="N731" s="249"/>
      <c r="O731" s="249"/>
    </row>
    <row r="732" spans="1:15" ht="18.75" x14ac:dyDescent="0.25">
      <c r="A732" s="77"/>
      <c r="L732" s="249"/>
      <c r="M732" s="249"/>
      <c r="N732" s="249"/>
      <c r="O732" s="249"/>
    </row>
    <row r="733" spans="1:15" ht="18.75" x14ac:dyDescent="0.25">
      <c r="A733" s="77"/>
      <c r="L733" s="249"/>
      <c r="M733" s="249"/>
      <c r="N733" s="249"/>
      <c r="O733" s="249"/>
    </row>
    <row r="734" spans="1:15" ht="18.75" x14ac:dyDescent="0.25">
      <c r="A734" s="77"/>
      <c r="L734" s="249"/>
      <c r="M734" s="249"/>
      <c r="N734" s="249"/>
      <c r="O734" s="249"/>
    </row>
    <row r="735" spans="1:15" ht="18.75" x14ac:dyDescent="0.25">
      <c r="A735" s="77"/>
      <c r="L735" s="249"/>
      <c r="M735" s="249"/>
      <c r="N735" s="249"/>
      <c r="O735" s="249"/>
    </row>
    <row r="736" spans="1:15" ht="18.75" x14ac:dyDescent="0.25">
      <c r="A736" s="77"/>
      <c r="L736" s="249"/>
      <c r="M736" s="249"/>
      <c r="N736" s="249"/>
      <c r="O736" s="249"/>
    </row>
    <row r="737" spans="1:15" ht="18.75" x14ac:dyDescent="0.25">
      <c r="A737" s="77"/>
      <c r="L737" s="249"/>
      <c r="M737" s="249"/>
      <c r="N737" s="249"/>
      <c r="O737" s="249"/>
    </row>
    <row r="738" spans="1:15" ht="18.75" x14ac:dyDescent="0.25">
      <c r="A738" s="77"/>
      <c r="L738" s="249"/>
      <c r="M738" s="249"/>
      <c r="N738" s="249"/>
      <c r="O738" s="249"/>
    </row>
    <row r="739" spans="1:15" ht="18.75" x14ac:dyDescent="0.25">
      <c r="A739" s="77"/>
      <c r="L739" s="249"/>
      <c r="M739" s="249"/>
      <c r="N739" s="249"/>
      <c r="O739" s="249"/>
    </row>
    <row r="740" spans="1:15" ht="18.75" x14ac:dyDescent="0.25">
      <c r="A740" s="77"/>
      <c r="L740" s="249"/>
      <c r="M740" s="249"/>
      <c r="N740" s="249"/>
      <c r="O740" s="249"/>
    </row>
    <row r="741" spans="1:15" ht="18.75" x14ac:dyDescent="0.25">
      <c r="A741" s="77"/>
      <c r="L741" s="249"/>
      <c r="M741" s="249"/>
      <c r="N741" s="249"/>
      <c r="O741" s="249"/>
    </row>
    <row r="742" spans="1:15" ht="18.75" x14ac:dyDescent="0.25">
      <c r="A742" s="77"/>
      <c r="L742" s="249"/>
      <c r="M742" s="249"/>
      <c r="N742" s="249"/>
      <c r="O742" s="249"/>
    </row>
    <row r="743" spans="1:15" ht="18.75" x14ac:dyDescent="0.25">
      <c r="A743" s="77"/>
      <c r="L743" s="249"/>
      <c r="M743" s="249"/>
      <c r="N743" s="249"/>
      <c r="O743" s="249"/>
    </row>
    <row r="744" spans="1:15" ht="18.75" x14ac:dyDescent="0.25">
      <c r="A744" s="77"/>
      <c r="L744" s="249"/>
      <c r="M744" s="249"/>
      <c r="N744" s="249"/>
      <c r="O744" s="249"/>
    </row>
    <row r="745" spans="1:15" ht="18.75" x14ac:dyDescent="0.25">
      <c r="A745" s="77"/>
      <c r="L745" s="249"/>
      <c r="M745" s="249"/>
      <c r="N745" s="249"/>
      <c r="O745" s="249"/>
    </row>
    <row r="746" spans="1:15" ht="18.75" x14ac:dyDescent="0.25">
      <c r="A746" s="77"/>
      <c r="L746" s="249"/>
      <c r="M746" s="249"/>
      <c r="N746" s="249"/>
      <c r="O746" s="249"/>
    </row>
    <row r="747" spans="1:15" ht="18.75" x14ac:dyDescent="0.25">
      <c r="A747" s="77"/>
      <c r="B747" s="268"/>
      <c r="L747" s="249"/>
      <c r="M747" s="249"/>
      <c r="N747" s="249"/>
      <c r="O747" s="249"/>
    </row>
    <row r="748" spans="1:15" ht="18.75" x14ac:dyDescent="0.25">
      <c r="A748" s="77"/>
      <c r="B748" s="268"/>
      <c r="L748" s="249"/>
      <c r="M748" s="249"/>
      <c r="N748" s="249"/>
      <c r="O748" s="249"/>
    </row>
    <row r="749" spans="1:15" ht="18.75" x14ac:dyDescent="0.25">
      <c r="A749" s="77"/>
      <c r="B749" s="268"/>
      <c r="L749" s="249"/>
      <c r="M749" s="249"/>
      <c r="N749" s="249"/>
      <c r="O749" s="249"/>
    </row>
    <row r="750" spans="1:15" ht="18.75" x14ac:dyDescent="0.25">
      <c r="A750" s="77"/>
      <c r="L750" s="249"/>
      <c r="M750" s="249"/>
      <c r="N750" s="249"/>
      <c r="O750" s="249"/>
    </row>
    <row r="751" spans="1:15" ht="18.75" x14ac:dyDescent="0.25">
      <c r="A751" s="77"/>
      <c r="L751" s="249"/>
      <c r="M751" s="249"/>
      <c r="N751" s="249"/>
      <c r="O751" s="249"/>
    </row>
    <row r="752" spans="1:15" ht="18.75" x14ac:dyDescent="0.25">
      <c r="A752" s="77"/>
      <c r="L752" s="249"/>
      <c r="M752" s="249"/>
      <c r="N752" s="249"/>
      <c r="O752" s="249"/>
    </row>
    <row r="753" spans="1:15" ht="18.75" x14ac:dyDescent="0.25">
      <c r="A753" s="77"/>
      <c r="L753" s="249"/>
      <c r="M753" s="249"/>
      <c r="N753" s="249"/>
      <c r="O753" s="249"/>
    </row>
    <row r="754" spans="1:15" ht="18.75" x14ac:dyDescent="0.25">
      <c r="A754" s="77"/>
      <c r="L754" s="249"/>
      <c r="M754" s="249"/>
      <c r="N754" s="249"/>
      <c r="O754" s="249"/>
    </row>
    <row r="755" spans="1:15" ht="18.75" x14ac:dyDescent="0.25">
      <c r="A755" s="77"/>
      <c r="L755" s="249"/>
      <c r="M755" s="249"/>
      <c r="N755" s="249"/>
      <c r="O755" s="249"/>
    </row>
    <row r="756" spans="1:15" ht="18.75" x14ac:dyDescent="0.25">
      <c r="A756" s="77"/>
      <c r="L756" s="249"/>
      <c r="M756" s="249"/>
      <c r="N756" s="249"/>
      <c r="O756" s="249"/>
    </row>
    <row r="757" spans="1:15" ht="18.75" x14ac:dyDescent="0.25">
      <c r="A757" s="77"/>
      <c r="L757" s="249"/>
      <c r="M757" s="249"/>
      <c r="N757" s="249"/>
      <c r="O757" s="249"/>
    </row>
    <row r="758" spans="1:15" ht="18.75" x14ac:dyDescent="0.25">
      <c r="A758" s="77"/>
      <c r="L758" s="249"/>
      <c r="M758" s="249"/>
      <c r="N758" s="249"/>
      <c r="O758" s="249"/>
    </row>
    <row r="759" spans="1:15" ht="18.75" x14ac:dyDescent="0.25">
      <c r="A759" s="77"/>
      <c r="L759" s="249"/>
      <c r="M759" s="249"/>
      <c r="N759" s="249"/>
      <c r="O759" s="249"/>
    </row>
    <row r="760" spans="1:15" ht="18.75" x14ac:dyDescent="0.25">
      <c r="A760" s="77"/>
      <c r="L760" s="249"/>
      <c r="M760" s="249"/>
      <c r="N760" s="249"/>
      <c r="O760" s="249"/>
    </row>
    <row r="761" spans="1:15" ht="18.75" x14ac:dyDescent="0.25">
      <c r="A761" s="77"/>
      <c r="L761" s="249"/>
      <c r="M761" s="249"/>
      <c r="N761" s="249"/>
      <c r="O761" s="249"/>
    </row>
    <row r="762" spans="1:15" ht="18.75" x14ac:dyDescent="0.25">
      <c r="A762" s="77"/>
      <c r="L762" s="249"/>
      <c r="M762" s="249"/>
      <c r="N762" s="249"/>
      <c r="O762" s="249"/>
    </row>
    <row r="763" spans="1:15" ht="18.75" x14ac:dyDescent="0.25">
      <c r="A763" s="77"/>
      <c r="L763" s="249"/>
      <c r="M763" s="249"/>
      <c r="N763" s="249"/>
      <c r="O763" s="249"/>
    </row>
    <row r="764" spans="1:15" ht="18.75" x14ac:dyDescent="0.25">
      <c r="A764" s="77"/>
      <c r="L764" s="249"/>
      <c r="M764" s="249"/>
      <c r="N764" s="249"/>
      <c r="O764" s="249"/>
    </row>
    <row r="765" spans="1:15" ht="18.75" x14ac:dyDescent="0.25">
      <c r="A765" s="77"/>
      <c r="L765" s="249"/>
      <c r="M765" s="249"/>
      <c r="N765" s="249"/>
      <c r="O765" s="249"/>
    </row>
    <row r="766" spans="1:15" ht="18.75" x14ac:dyDescent="0.25">
      <c r="A766" s="77"/>
      <c r="L766" s="249"/>
      <c r="M766" s="249"/>
      <c r="N766" s="249"/>
      <c r="O766" s="249"/>
    </row>
    <row r="767" spans="1:15" ht="18.75" x14ac:dyDescent="0.25">
      <c r="A767" s="77"/>
      <c r="L767" s="249"/>
      <c r="M767" s="249"/>
      <c r="N767" s="249"/>
      <c r="O767" s="249"/>
    </row>
    <row r="768" spans="1:15" ht="18.75" x14ac:dyDescent="0.25">
      <c r="A768" s="77"/>
      <c r="L768" s="249"/>
      <c r="M768" s="249"/>
      <c r="N768" s="249"/>
      <c r="O768" s="249"/>
    </row>
    <row r="769" spans="1:15" ht="18.75" x14ac:dyDescent="0.25">
      <c r="A769" s="77"/>
      <c r="L769" s="249"/>
      <c r="M769" s="249"/>
      <c r="N769" s="249"/>
      <c r="O769" s="249"/>
    </row>
    <row r="770" spans="1:15" ht="18.75" x14ac:dyDescent="0.25">
      <c r="A770" s="77"/>
      <c r="L770" s="249"/>
      <c r="M770" s="249"/>
      <c r="N770" s="249"/>
      <c r="O770" s="249"/>
    </row>
    <row r="771" spans="1:15" ht="18.75" x14ac:dyDescent="0.25">
      <c r="A771" s="77"/>
      <c r="L771" s="249"/>
      <c r="M771" s="249"/>
      <c r="N771" s="249"/>
      <c r="O771" s="249"/>
    </row>
    <row r="772" spans="1:15" ht="18.75" x14ac:dyDescent="0.25">
      <c r="A772" s="77"/>
      <c r="L772" s="249"/>
      <c r="M772" s="249"/>
      <c r="N772" s="249"/>
      <c r="O772" s="249"/>
    </row>
    <row r="773" spans="1:15" ht="18.75" x14ac:dyDescent="0.25">
      <c r="A773" s="77"/>
      <c r="L773" s="249"/>
      <c r="M773" s="249"/>
      <c r="N773" s="249"/>
      <c r="O773" s="249"/>
    </row>
    <row r="774" spans="1:15" ht="18.75" x14ac:dyDescent="0.25">
      <c r="A774" s="77"/>
      <c r="L774" s="249"/>
      <c r="M774" s="249"/>
      <c r="N774" s="249"/>
      <c r="O774" s="249"/>
    </row>
    <row r="775" spans="1:15" ht="18.75" x14ac:dyDescent="0.25">
      <c r="A775" s="77"/>
      <c r="L775" s="249"/>
      <c r="M775" s="249"/>
      <c r="N775" s="249"/>
      <c r="O775" s="249"/>
    </row>
    <row r="776" spans="1:15" ht="18.75" x14ac:dyDescent="0.25">
      <c r="A776" s="77"/>
      <c r="L776" s="249"/>
      <c r="M776" s="249"/>
      <c r="N776" s="249"/>
      <c r="O776" s="249"/>
    </row>
    <row r="777" spans="1:15" ht="18.75" x14ac:dyDescent="0.25">
      <c r="A777" s="77"/>
      <c r="L777" s="249"/>
      <c r="M777" s="249"/>
      <c r="N777" s="249"/>
      <c r="O777" s="249"/>
    </row>
    <row r="778" spans="1:15" ht="18.75" x14ac:dyDescent="0.25">
      <c r="A778" s="77"/>
      <c r="L778" s="249"/>
      <c r="M778" s="249"/>
      <c r="N778" s="249"/>
      <c r="O778" s="249"/>
    </row>
    <row r="779" spans="1:15" ht="18.75" x14ac:dyDescent="0.25">
      <c r="A779" s="77"/>
      <c r="L779" s="249"/>
      <c r="M779" s="249"/>
      <c r="N779" s="249"/>
      <c r="O779" s="249"/>
    </row>
    <row r="780" spans="1:15" ht="18.75" x14ac:dyDescent="0.25">
      <c r="A780" s="77"/>
      <c r="L780" s="249"/>
      <c r="M780" s="249"/>
      <c r="N780" s="249"/>
      <c r="O780" s="249"/>
    </row>
    <row r="781" spans="1:15" ht="18.75" x14ac:dyDescent="0.25">
      <c r="A781" s="77"/>
      <c r="L781" s="249"/>
      <c r="M781" s="249"/>
      <c r="N781" s="249"/>
      <c r="O781" s="249"/>
    </row>
    <row r="782" spans="1:15" ht="18.75" x14ac:dyDescent="0.25">
      <c r="A782" s="77"/>
      <c r="L782" s="249"/>
      <c r="M782" s="249"/>
      <c r="N782" s="249"/>
      <c r="O782" s="249"/>
    </row>
    <row r="783" spans="1:15" ht="18.75" x14ac:dyDescent="0.25">
      <c r="A783" s="77"/>
      <c r="L783" s="249"/>
      <c r="M783" s="249"/>
      <c r="N783" s="249"/>
      <c r="O783" s="249"/>
    </row>
    <row r="784" spans="1:15" ht="18.75" x14ac:dyDescent="0.25">
      <c r="A784" s="77"/>
      <c r="L784" s="249"/>
      <c r="M784" s="249"/>
      <c r="N784" s="249"/>
      <c r="O784" s="249"/>
    </row>
    <row r="785" spans="1:15" ht="18.75" x14ac:dyDescent="0.25">
      <c r="A785" s="77"/>
      <c r="L785" s="249"/>
      <c r="M785" s="249"/>
      <c r="N785" s="249"/>
      <c r="O785" s="249"/>
    </row>
    <row r="786" spans="1:15" ht="18.75" x14ac:dyDescent="0.25">
      <c r="A786" s="77"/>
      <c r="L786" s="249"/>
      <c r="M786" s="249"/>
      <c r="N786" s="249"/>
      <c r="O786" s="249"/>
    </row>
    <row r="787" spans="1:15" ht="18.75" x14ac:dyDescent="0.25">
      <c r="A787" s="77"/>
      <c r="L787" s="249"/>
      <c r="M787" s="249"/>
      <c r="N787" s="249"/>
      <c r="O787" s="249"/>
    </row>
    <row r="788" spans="1:15" ht="18.75" x14ac:dyDescent="0.25">
      <c r="A788" s="77"/>
      <c r="L788" s="249"/>
      <c r="M788" s="249"/>
      <c r="N788" s="249"/>
      <c r="O788" s="249"/>
    </row>
    <row r="789" spans="1:15" ht="18.75" x14ac:dyDescent="0.25">
      <c r="A789" s="77"/>
      <c r="L789" s="249"/>
      <c r="M789" s="249"/>
      <c r="N789" s="249"/>
      <c r="O789" s="249"/>
    </row>
    <row r="790" spans="1:15" ht="18.75" x14ac:dyDescent="0.25">
      <c r="A790" s="77"/>
      <c r="L790" s="249"/>
      <c r="M790" s="249"/>
      <c r="N790" s="249"/>
      <c r="O790" s="249"/>
    </row>
    <row r="791" spans="1:15" ht="18.75" x14ac:dyDescent="0.25">
      <c r="A791" s="77"/>
      <c r="L791" s="249"/>
      <c r="M791" s="249"/>
      <c r="N791" s="249"/>
      <c r="O791" s="249"/>
    </row>
    <row r="792" spans="1:15" ht="18.75" x14ac:dyDescent="0.25">
      <c r="A792" s="77"/>
      <c r="L792" s="249"/>
      <c r="M792" s="249"/>
      <c r="N792" s="249"/>
      <c r="O792" s="249"/>
    </row>
    <row r="793" spans="1:15" ht="18.75" x14ac:dyDescent="0.25">
      <c r="A793" s="77"/>
      <c r="L793" s="249"/>
      <c r="M793" s="249"/>
      <c r="N793" s="249"/>
      <c r="O793" s="249"/>
    </row>
    <row r="794" spans="1:15" ht="18.75" x14ac:dyDescent="0.25">
      <c r="A794" s="77"/>
      <c r="L794" s="249"/>
      <c r="M794" s="249"/>
      <c r="N794" s="249"/>
      <c r="O794" s="249"/>
    </row>
    <row r="795" spans="1:15" ht="18.75" x14ac:dyDescent="0.25">
      <c r="A795" s="77"/>
      <c r="L795" s="249"/>
      <c r="M795" s="249"/>
      <c r="N795" s="249"/>
      <c r="O795" s="249"/>
    </row>
    <row r="796" spans="1:15" ht="18.75" x14ac:dyDescent="0.25">
      <c r="A796" s="77"/>
      <c r="L796" s="249"/>
      <c r="M796" s="249"/>
      <c r="N796" s="249"/>
      <c r="O796" s="249"/>
    </row>
    <row r="797" spans="1:15" ht="18.75" x14ac:dyDescent="0.25">
      <c r="A797" s="77"/>
      <c r="L797" s="249"/>
      <c r="M797" s="249"/>
      <c r="N797" s="249"/>
      <c r="O797" s="249"/>
    </row>
    <row r="798" spans="1:15" ht="18.75" x14ac:dyDescent="0.25">
      <c r="A798" s="77"/>
      <c r="L798" s="249"/>
      <c r="M798" s="249"/>
      <c r="N798" s="249"/>
      <c r="O798" s="249"/>
    </row>
    <row r="799" spans="1:15" ht="18.75" x14ac:dyDescent="0.25">
      <c r="A799" s="77"/>
      <c r="L799" s="249"/>
      <c r="M799" s="249"/>
      <c r="N799" s="249"/>
      <c r="O799" s="249"/>
    </row>
    <row r="800" spans="1:15" ht="18.75" x14ac:dyDescent="0.25">
      <c r="A800" s="77"/>
      <c r="L800" s="249"/>
      <c r="M800" s="249"/>
      <c r="N800" s="249"/>
      <c r="O800" s="249"/>
    </row>
    <row r="801" spans="1:15" ht="18.75" x14ac:dyDescent="0.25">
      <c r="A801" s="77"/>
      <c r="L801" s="249"/>
      <c r="M801" s="249"/>
      <c r="N801" s="249"/>
      <c r="O801" s="249"/>
    </row>
    <row r="802" spans="1:15" ht="18.75" x14ac:dyDescent="0.25">
      <c r="A802" s="77"/>
      <c r="L802" s="249"/>
      <c r="M802" s="249"/>
      <c r="N802" s="249"/>
      <c r="O802" s="249"/>
    </row>
    <row r="803" spans="1:15" ht="18.75" x14ac:dyDescent="0.25">
      <c r="A803" s="77"/>
      <c r="L803" s="249"/>
      <c r="M803" s="249"/>
      <c r="N803" s="249"/>
      <c r="O803" s="249"/>
    </row>
    <row r="804" spans="1:15" ht="18.75" x14ac:dyDescent="0.25">
      <c r="A804" s="77"/>
      <c r="L804" s="249"/>
      <c r="M804" s="249"/>
      <c r="N804" s="249"/>
      <c r="O804" s="249"/>
    </row>
    <row r="805" spans="1:15" ht="18.75" x14ac:dyDescent="0.25">
      <c r="A805" s="77"/>
      <c r="L805" s="249"/>
      <c r="M805" s="249"/>
      <c r="N805" s="249"/>
      <c r="O805" s="249"/>
    </row>
    <row r="806" spans="1:15" ht="18.75" x14ac:dyDescent="0.25">
      <c r="A806" s="77"/>
      <c r="L806" s="249"/>
      <c r="M806" s="249"/>
      <c r="N806" s="249"/>
      <c r="O806" s="249"/>
    </row>
    <row r="807" spans="1:15" ht="18.75" x14ac:dyDescent="0.25">
      <c r="A807" s="77"/>
      <c r="L807" s="249"/>
      <c r="M807" s="249"/>
      <c r="N807" s="249"/>
      <c r="O807" s="249"/>
    </row>
    <row r="808" spans="1:15" ht="18.75" x14ac:dyDescent="0.25">
      <c r="A808" s="77"/>
      <c r="L808" s="249"/>
      <c r="M808" s="249"/>
      <c r="N808" s="249"/>
      <c r="O808" s="249"/>
    </row>
    <row r="809" spans="1:15" ht="18.75" x14ac:dyDescent="0.25">
      <c r="A809" s="77"/>
      <c r="L809" s="249"/>
      <c r="M809" s="249"/>
      <c r="N809" s="249"/>
      <c r="O809" s="249"/>
    </row>
    <row r="810" spans="1:15" ht="18.75" x14ac:dyDescent="0.25">
      <c r="A810" s="77"/>
      <c r="L810" s="249"/>
      <c r="M810" s="249"/>
      <c r="N810" s="249"/>
      <c r="O810" s="249"/>
    </row>
    <row r="811" spans="1:15" ht="18.75" x14ac:dyDescent="0.25">
      <c r="A811" s="77"/>
      <c r="L811" s="249"/>
      <c r="M811" s="249"/>
      <c r="N811" s="249"/>
      <c r="O811" s="249"/>
    </row>
    <row r="812" spans="1:15" ht="18.75" x14ac:dyDescent="0.25">
      <c r="A812" s="77"/>
      <c r="L812" s="249"/>
      <c r="M812" s="249"/>
      <c r="N812" s="249"/>
      <c r="O812" s="249"/>
    </row>
    <row r="813" spans="1:15" ht="18.75" x14ac:dyDescent="0.25">
      <c r="A813" s="77"/>
      <c r="L813" s="249"/>
      <c r="M813" s="249"/>
      <c r="N813" s="249"/>
      <c r="O813" s="249"/>
    </row>
    <row r="814" spans="1:15" ht="18.75" x14ac:dyDescent="0.25">
      <c r="A814" s="77"/>
      <c r="L814" s="249"/>
      <c r="M814" s="249"/>
      <c r="N814" s="249"/>
      <c r="O814" s="249"/>
    </row>
    <row r="815" spans="1:15" ht="18.75" x14ac:dyDescent="0.25">
      <c r="A815" s="77"/>
      <c r="L815" s="249"/>
      <c r="M815" s="249"/>
      <c r="N815" s="249"/>
      <c r="O815" s="249"/>
    </row>
    <row r="816" spans="1:15" ht="18.75" x14ac:dyDescent="0.25">
      <c r="A816" s="77"/>
      <c r="B816" s="268"/>
      <c r="L816" s="249"/>
      <c r="M816" s="249"/>
      <c r="N816" s="249"/>
      <c r="O816" s="249"/>
    </row>
    <row r="817" spans="1:15" ht="18.75" x14ac:dyDescent="0.25">
      <c r="A817" s="77"/>
      <c r="B817" s="268"/>
      <c r="L817" s="249"/>
      <c r="M817" s="249"/>
      <c r="N817" s="249"/>
      <c r="O817" s="249"/>
    </row>
    <row r="818" spans="1:15" ht="18.75" x14ac:dyDescent="0.25">
      <c r="A818" s="77"/>
      <c r="B818" s="268"/>
      <c r="L818" s="249"/>
      <c r="M818" s="249"/>
      <c r="N818" s="249"/>
      <c r="O818" s="249"/>
    </row>
    <row r="819" spans="1:15" ht="18.75" x14ac:dyDescent="0.25">
      <c r="A819" s="77"/>
      <c r="B819" s="268"/>
      <c r="L819" s="249"/>
      <c r="M819" s="249"/>
      <c r="N819" s="249"/>
      <c r="O819" s="249"/>
    </row>
    <row r="820" spans="1:15" ht="18.75" x14ac:dyDescent="0.25">
      <c r="A820" s="77"/>
      <c r="B820" s="268"/>
      <c r="L820" s="249"/>
      <c r="M820" s="249"/>
      <c r="N820" s="249"/>
      <c r="O820" s="249"/>
    </row>
    <row r="821" spans="1:15" ht="18.75" x14ac:dyDescent="0.25">
      <c r="A821" s="77"/>
      <c r="B821" s="268"/>
      <c r="L821" s="249"/>
      <c r="M821" s="249"/>
      <c r="N821" s="249"/>
      <c r="O821" s="249"/>
    </row>
    <row r="822" spans="1:15" ht="18.75" x14ac:dyDescent="0.25">
      <c r="A822" s="77"/>
      <c r="B822" s="268"/>
      <c r="L822" s="249"/>
      <c r="M822" s="249"/>
      <c r="N822" s="249"/>
      <c r="O822" s="249"/>
    </row>
    <row r="823" spans="1:15" ht="18.75" x14ac:dyDescent="0.25">
      <c r="A823" s="77"/>
      <c r="B823" s="268"/>
      <c r="L823" s="249"/>
      <c r="M823" s="249"/>
      <c r="N823" s="249"/>
      <c r="O823" s="249"/>
    </row>
    <row r="824" spans="1:15" ht="18.75" x14ac:dyDescent="0.25">
      <c r="A824" s="77"/>
      <c r="B824" s="268"/>
      <c r="L824" s="249"/>
      <c r="M824" s="249"/>
      <c r="N824" s="249"/>
      <c r="O824" s="249"/>
    </row>
    <row r="825" spans="1:15" ht="18.75" x14ac:dyDescent="0.25">
      <c r="A825" s="77"/>
      <c r="B825" s="268"/>
      <c r="L825" s="249"/>
      <c r="M825" s="249"/>
      <c r="N825" s="249"/>
      <c r="O825" s="249"/>
    </row>
    <row r="826" spans="1:15" ht="18.75" x14ac:dyDescent="0.25">
      <c r="A826" s="77"/>
      <c r="B826" s="268"/>
      <c r="L826" s="249"/>
      <c r="M826" s="249"/>
      <c r="N826" s="249"/>
      <c r="O826" s="249"/>
    </row>
    <row r="827" spans="1:15" ht="18.75" x14ac:dyDescent="0.25">
      <c r="A827" s="77"/>
      <c r="B827" s="268"/>
      <c r="L827" s="249"/>
      <c r="M827" s="249"/>
      <c r="N827" s="249"/>
      <c r="O827" s="249"/>
    </row>
    <row r="828" spans="1:15" ht="18.75" x14ac:dyDescent="0.25">
      <c r="A828" s="77"/>
      <c r="B828" s="268"/>
      <c r="L828" s="249"/>
      <c r="M828" s="249"/>
      <c r="N828" s="249"/>
      <c r="O828" s="249"/>
    </row>
    <row r="829" spans="1:15" ht="18.75" x14ac:dyDescent="0.25">
      <c r="A829" s="77"/>
      <c r="L829" s="249"/>
      <c r="M829" s="249"/>
      <c r="N829" s="249"/>
      <c r="O829" s="249"/>
    </row>
    <row r="830" spans="1:15" ht="18.75" x14ac:dyDescent="0.25">
      <c r="A830" s="77"/>
      <c r="L830" s="249"/>
      <c r="M830" s="249"/>
      <c r="N830" s="249"/>
      <c r="O830" s="249"/>
    </row>
    <row r="831" spans="1:15" ht="18.75" x14ac:dyDescent="0.25">
      <c r="A831" s="77"/>
      <c r="L831" s="249"/>
      <c r="M831" s="249"/>
      <c r="N831" s="249"/>
      <c r="O831" s="249"/>
    </row>
    <row r="832" spans="1:15" ht="18.75" x14ac:dyDescent="0.25">
      <c r="A832" s="77"/>
      <c r="L832" s="249"/>
      <c r="M832" s="249"/>
      <c r="N832" s="249"/>
      <c r="O832" s="249"/>
    </row>
    <row r="833" spans="1:15" ht="18.75" x14ac:dyDescent="0.25">
      <c r="A833" s="77"/>
      <c r="B833" s="268"/>
      <c r="L833" s="249"/>
      <c r="M833" s="249"/>
      <c r="N833" s="249"/>
      <c r="O833" s="249"/>
    </row>
    <row r="834" spans="1:15" ht="18.75" x14ac:dyDescent="0.25">
      <c r="A834" s="77"/>
      <c r="B834" s="268"/>
      <c r="L834" s="249"/>
      <c r="M834" s="249"/>
      <c r="N834" s="249"/>
      <c r="O834" s="249"/>
    </row>
    <row r="835" spans="1:15" ht="18.75" x14ac:dyDescent="0.25">
      <c r="A835" s="77"/>
      <c r="B835" s="268"/>
      <c r="L835" s="249"/>
      <c r="M835" s="249"/>
      <c r="N835" s="249"/>
      <c r="O835" s="249"/>
    </row>
    <row r="836" spans="1:15" ht="18.75" x14ac:dyDescent="0.25">
      <c r="A836" s="77"/>
      <c r="B836" s="268"/>
      <c r="L836" s="249"/>
      <c r="M836" s="249"/>
      <c r="N836" s="249"/>
      <c r="O836" s="249"/>
    </row>
    <row r="837" spans="1:15" ht="18.75" x14ac:dyDescent="0.25">
      <c r="A837" s="77"/>
      <c r="B837" s="268"/>
      <c r="L837" s="249"/>
      <c r="M837" s="249"/>
      <c r="N837" s="249"/>
      <c r="O837" s="249"/>
    </row>
    <row r="838" spans="1:15" ht="18.75" x14ac:dyDescent="0.25">
      <c r="A838" s="77"/>
      <c r="B838" s="268"/>
      <c r="L838" s="249"/>
      <c r="M838" s="249"/>
      <c r="N838" s="249"/>
      <c r="O838" s="249"/>
    </row>
    <row r="839" spans="1:15" ht="18.75" x14ac:dyDescent="0.25">
      <c r="A839" s="77"/>
      <c r="L839" s="249"/>
      <c r="M839" s="249"/>
      <c r="N839" s="249"/>
      <c r="O839" s="249"/>
    </row>
    <row r="840" spans="1:15" ht="18.75" x14ac:dyDescent="0.25">
      <c r="A840" s="77"/>
      <c r="L840" s="249"/>
      <c r="M840" s="249"/>
      <c r="N840" s="249"/>
      <c r="O840" s="249"/>
    </row>
    <row r="841" spans="1:15" ht="18.75" x14ac:dyDescent="0.25">
      <c r="A841" s="77"/>
      <c r="L841" s="249"/>
      <c r="M841" s="249"/>
      <c r="N841" s="249"/>
      <c r="O841" s="249"/>
    </row>
    <row r="842" spans="1:15" ht="18.75" x14ac:dyDescent="0.25">
      <c r="A842" s="77"/>
      <c r="L842" s="249"/>
      <c r="M842" s="249"/>
      <c r="N842" s="249"/>
      <c r="O842" s="249"/>
    </row>
    <row r="843" spans="1:15" ht="18.75" x14ac:dyDescent="0.25">
      <c r="A843" s="77"/>
      <c r="L843" s="249"/>
      <c r="M843" s="249"/>
      <c r="N843" s="249"/>
      <c r="O843" s="249"/>
    </row>
    <row r="844" spans="1:15" ht="18.75" x14ac:dyDescent="0.25">
      <c r="A844" s="77"/>
      <c r="L844" s="249"/>
      <c r="M844" s="249"/>
      <c r="N844" s="249"/>
      <c r="O844" s="249"/>
    </row>
    <row r="845" spans="1:15" ht="18.75" x14ac:dyDescent="0.25">
      <c r="A845" s="77"/>
      <c r="L845" s="249"/>
      <c r="M845" s="249"/>
      <c r="N845" s="249"/>
      <c r="O845" s="249"/>
    </row>
    <row r="846" spans="1:15" ht="18.75" x14ac:dyDescent="0.25">
      <c r="A846" s="77"/>
      <c r="L846" s="249"/>
      <c r="M846" s="249"/>
      <c r="N846" s="249"/>
      <c r="O846" s="249"/>
    </row>
    <row r="847" spans="1:15" ht="18.75" x14ac:dyDescent="0.25">
      <c r="A847" s="77"/>
      <c r="L847" s="249"/>
      <c r="M847" s="249"/>
      <c r="N847" s="249"/>
      <c r="O847" s="249"/>
    </row>
    <row r="848" spans="1:15" ht="18.75" x14ac:dyDescent="0.25">
      <c r="A848" s="77"/>
      <c r="L848" s="249"/>
      <c r="M848" s="249"/>
      <c r="N848" s="249"/>
      <c r="O848" s="249"/>
    </row>
    <row r="849" spans="1:15" ht="18.75" x14ac:dyDescent="0.25">
      <c r="A849" s="77"/>
      <c r="L849" s="249"/>
      <c r="M849" s="249"/>
      <c r="N849" s="249"/>
      <c r="O849" s="249"/>
    </row>
    <row r="850" spans="1:15" ht="18.75" x14ac:dyDescent="0.25">
      <c r="A850" s="77"/>
      <c r="L850" s="249"/>
      <c r="M850" s="249"/>
      <c r="N850" s="249"/>
      <c r="O850" s="249"/>
    </row>
    <row r="851" spans="1:15" ht="18.75" x14ac:dyDescent="0.25">
      <c r="A851" s="77"/>
      <c r="L851" s="249"/>
      <c r="M851" s="249"/>
      <c r="N851" s="249"/>
      <c r="O851" s="249"/>
    </row>
    <row r="852" spans="1:15" ht="18.75" x14ac:dyDescent="0.25">
      <c r="A852" s="77"/>
      <c r="L852" s="249"/>
      <c r="M852" s="249"/>
      <c r="N852" s="249"/>
      <c r="O852" s="249"/>
    </row>
    <row r="853" spans="1:15" ht="18.75" x14ac:dyDescent="0.25">
      <c r="A853" s="77"/>
      <c r="L853" s="249"/>
      <c r="M853" s="249"/>
      <c r="N853" s="249"/>
      <c r="O853" s="249"/>
    </row>
    <row r="854" spans="1:15" ht="18.75" x14ac:dyDescent="0.25">
      <c r="A854" s="77"/>
      <c r="L854" s="249"/>
      <c r="M854" s="249"/>
      <c r="N854" s="249"/>
      <c r="O854" s="249"/>
    </row>
    <row r="855" spans="1:15" ht="18.75" x14ac:dyDescent="0.25">
      <c r="A855" s="77"/>
      <c r="L855" s="249"/>
      <c r="M855" s="249"/>
      <c r="N855" s="249"/>
      <c r="O855" s="249"/>
    </row>
    <row r="856" spans="1:15" ht="18.75" x14ac:dyDescent="0.25">
      <c r="A856" s="77"/>
      <c r="L856" s="249"/>
      <c r="M856" s="249"/>
      <c r="N856" s="249"/>
      <c r="O856" s="249"/>
    </row>
    <row r="857" spans="1:15" ht="18.75" x14ac:dyDescent="0.25">
      <c r="A857" s="77"/>
      <c r="L857" s="249"/>
      <c r="M857" s="249"/>
      <c r="N857" s="249"/>
      <c r="O857" s="249"/>
    </row>
    <row r="858" spans="1:15" ht="18.75" x14ac:dyDescent="0.25">
      <c r="A858" s="77"/>
      <c r="L858" s="249"/>
      <c r="M858" s="249"/>
      <c r="N858" s="249"/>
      <c r="O858" s="249"/>
    </row>
    <row r="859" spans="1:15" ht="18.75" x14ac:dyDescent="0.25">
      <c r="A859" s="77"/>
      <c r="L859" s="249"/>
      <c r="M859" s="249"/>
      <c r="N859" s="249"/>
      <c r="O859" s="249"/>
    </row>
    <row r="860" spans="1:15" ht="18.75" x14ac:dyDescent="0.25">
      <c r="A860" s="77"/>
      <c r="L860" s="249"/>
      <c r="M860" s="249"/>
      <c r="N860" s="249"/>
      <c r="O860" s="249"/>
    </row>
    <row r="861" spans="1:15" ht="18.75" x14ac:dyDescent="0.25">
      <c r="A861" s="77"/>
      <c r="L861" s="249"/>
      <c r="M861" s="249"/>
      <c r="N861" s="249"/>
      <c r="O861" s="249"/>
    </row>
    <row r="862" spans="1:15" ht="18.75" x14ac:dyDescent="0.25">
      <c r="A862" s="77"/>
      <c r="L862" s="249"/>
      <c r="M862" s="249"/>
      <c r="N862" s="249"/>
      <c r="O862" s="249"/>
    </row>
    <row r="863" spans="1:15" ht="18.75" x14ac:dyDescent="0.25">
      <c r="A863" s="77"/>
      <c r="L863" s="249"/>
      <c r="M863" s="249"/>
      <c r="N863" s="249"/>
      <c r="O863" s="249"/>
    </row>
    <row r="864" spans="1:15" ht="18.75" x14ac:dyDescent="0.25">
      <c r="A864" s="77"/>
      <c r="L864" s="249"/>
      <c r="M864" s="249"/>
      <c r="N864" s="249"/>
      <c r="O864" s="249"/>
    </row>
    <row r="865" spans="1:15" ht="18.75" x14ac:dyDescent="0.25">
      <c r="A865" s="77"/>
      <c r="L865" s="249"/>
      <c r="M865" s="249"/>
      <c r="N865" s="249"/>
      <c r="O865" s="249"/>
    </row>
    <row r="866" spans="1:15" ht="18.75" x14ac:dyDescent="0.25">
      <c r="A866" s="77"/>
      <c r="B866" s="268"/>
      <c r="L866" s="249"/>
      <c r="M866" s="249"/>
      <c r="N866" s="249"/>
      <c r="O866" s="249"/>
    </row>
    <row r="867" spans="1:15" ht="18.75" x14ac:dyDescent="0.25">
      <c r="A867" s="77"/>
      <c r="B867" s="268"/>
      <c r="L867" s="249"/>
      <c r="M867" s="249"/>
      <c r="N867" s="249"/>
      <c r="O867" s="249"/>
    </row>
    <row r="868" spans="1:15" ht="18.75" x14ac:dyDescent="0.25">
      <c r="A868" s="77"/>
      <c r="B868" s="268"/>
      <c r="L868" s="249"/>
      <c r="M868" s="249"/>
      <c r="N868" s="249"/>
      <c r="O868" s="249"/>
    </row>
    <row r="869" spans="1:15" ht="18.75" x14ac:dyDescent="0.25">
      <c r="A869" s="77"/>
      <c r="L869" s="249"/>
      <c r="M869" s="249"/>
      <c r="N869" s="249"/>
      <c r="O869" s="249"/>
    </row>
    <row r="870" spans="1:15" ht="18.75" x14ac:dyDescent="0.25">
      <c r="A870" s="77"/>
      <c r="L870" s="249"/>
      <c r="M870" s="249"/>
      <c r="N870" s="249"/>
      <c r="O870" s="249"/>
    </row>
    <row r="871" spans="1:15" ht="18.75" x14ac:dyDescent="0.25">
      <c r="A871" s="77"/>
      <c r="L871" s="249"/>
      <c r="M871" s="249"/>
      <c r="N871" s="249"/>
      <c r="O871" s="249"/>
    </row>
    <row r="872" spans="1:15" ht="18.75" x14ac:dyDescent="0.25">
      <c r="A872" s="77"/>
      <c r="L872" s="249"/>
      <c r="M872" s="249"/>
      <c r="N872" s="249"/>
      <c r="O872" s="249"/>
    </row>
    <row r="873" spans="1:15" ht="18.75" x14ac:dyDescent="0.25">
      <c r="A873" s="77"/>
      <c r="L873" s="249"/>
      <c r="M873" s="249"/>
      <c r="N873" s="249"/>
      <c r="O873" s="249"/>
    </row>
    <row r="874" spans="1:15" ht="18.75" x14ac:dyDescent="0.25">
      <c r="A874" s="77"/>
      <c r="L874" s="249"/>
      <c r="M874" s="249"/>
      <c r="N874" s="249"/>
      <c r="O874" s="249"/>
    </row>
    <row r="875" spans="1:15" ht="18.75" x14ac:dyDescent="0.25">
      <c r="A875" s="77"/>
      <c r="L875" s="249"/>
      <c r="M875" s="249"/>
      <c r="N875" s="249"/>
      <c r="O875" s="249"/>
    </row>
    <row r="876" spans="1:15" ht="18.75" x14ac:dyDescent="0.25">
      <c r="A876" s="77"/>
      <c r="L876" s="249"/>
      <c r="M876" s="249"/>
      <c r="N876" s="249"/>
      <c r="O876" s="249"/>
    </row>
    <row r="877" spans="1:15" ht="18.75" x14ac:dyDescent="0.25">
      <c r="A877" s="77"/>
      <c r="B877" s="268"/>
      <c r="L877" s="249"/>
      <c r="M877" s="249"/>
      <c r="N877" s="249"/>
      <c r="O877" s="249"/>
    </row>
    <row r="878" spans="1:15" ht="18.75" x14ac:dyDescent="0.25">
      <c r="A878" s="77"/>
      <c r="B878" s="268"/>
      <c r="L878" s="249"/>
      <c r="M878" s="249"/>
      <c r="N878" s="249"/>
      <c r="O878" s="249"/>
    </row>
    <row r="879" spans="1:15" ht="18.75" x14ac:dyDescent="0.25">
      <c r="A879" s="77"/>
      <c r="B879" s="268"/>
      <c r="L879" s="249"/>
      <c r="M879" s="249"/>
      <c r="N879" s="249"/>
      <c r="O879" s="249"/>
    </row>
    <row r="880" spans="1:15" ht="18.75" x14ac:dyDescent="0.25">
      <c r="A880" s="77"/>
      <c r="B880" s="268"/>
      <c r="L880" s="249"/>
      <c r="M880" s="249"/>
      <c r="N880" s="249"/>
      <c r="O880" s="249"/>
    </row>
    <row r="881" spans="1:15" ht="18.75" x14ac:dyDescent="0.25">
      <c r="A881" s="77"/>
      <c r="L881" s="249"/>
      <c r="M881" s="249"/>
      <c r="N881" s="249"/>
      <c r="O881" s="249"/>
    </row>
    <row r="882" spans="1:15" ht="18.75" x14ac:dyDescent="0.25">
      <c r="A882" s="77"/>
      <c r="L882" s="249"/>
      <c r="M882" s="249"/>
      <c r="N882" s="249"/>
      <c r="O882" s="249"/>
    </row>
    <row r="883" spans="1:15" ht="18.75" x14ac:dyDescent="0.25">
      <c r="A883" s="77"/>
      <c r="L883" s="249"/>
      <c r="M883" s="249"/>
      <c r="N883" s="249"/>
      <c r="O883" s="249"/>
    </row>
    <row r="884" spans="1:15" ht="18.75" x14ac:dyDescent="0.25">
      <c r="A884" s="77"/>
      <c r="L884" s="249"/>
      <c r="M884" s="249"/>
      <c r="N884" s="249"/>
      <c r="O884" s="249"/>
    </row>
    <row r="885" spans="1:15" ht="18.75" x14ac:dyDescent="0.25">
      <c r="A885" s="77"/>
      <c r="L885" s="249"/>
      <c r="M885" s="249"/>
      <c r="N885" s="249"/>
      <c r="O885" s="249"/>
    </row>
    <row r="886" spans="1:15" ht="18.75" x14ac:dyDescent="0.25">
      <c r="A886" s="77"/>
      <c r="L886" s="249"/>
      <c r="M886" s="249"/>
      <c r="N886" s="249"/>
      <c r="O886" s="249"/>
    </row>
    <row r="887" spans="1:15" ht="18.75" x14ac:dyDescent="0.25">
      <c r="A887" s="77"/>
      <c r="L887" s="249"/>
      <c r="M887" s="249"/>
      <c r="N887" s="249"/>
      <c r="O887" s="249"/>
    </row>
    <row r="888" spans="1:15" ht="18.75" x14ac:dyDescent="0.25">
      <c r="A888" s="77"/>
      <c r="L888" s="249"/>
      <c r="M888" s="249"/>
      <c r="N888" s="249"/>
      <c r="O888" s="249"/>
    </row>
    <row r="889" spans="1:15" ht="18.75" x14ac:dyDescent="0.25">
      <c r="A889" s="77"/>
      <c r="L889" s="249"/>
      <c r="M889" s="249"/>
      <c r="N889" s="249"/>
      <c r="O889" s="249"/>
    </row>
    <row r="890" spans="1:15" ht="18.75" x14ac:dyDescent="0.25">
      <c r="A890" s="77"/>
      <c r="L890" s="249"/>
      <c r="M890" s="249"/>
      <c r="N890" s="249"/>
      <c r="O890" s="249"/>
    </row>
    <row r="891" spans="1:15" ht="18.75" x14ac:dyDescent="0.25">
      <c r="A891" s="77"/>
      <c r="L891" s="249"/>
      <c r="M891" s="249"/>
      <c r="N891" s="249"/>
      <c r="O891" s="249"/>
    </row>
    <row r="892" spans="1:15" ht="18.75" x14ac:dyDescent="0.25">
      <c r="A892" s="77"/>
      <c r="L892" s="249"/>
      <c r="M892" s="249"/>
      <c r="N892" s="249"/>
      <c r="O892" s="249"/>
    </row>
    <row r="893" spans="1:15" ht="18.75" x14ac:dyDescent="0.25">
      <c r="A893" s="77"/>
      <c r="L893" s="249"/>
      <c r="M893" s="249"/>
      <c r="N893" s="249"/>
      <c r="O893" s="249"/>
    </row>
    <row r="894" spans="1:15" ht="18.75" x14ac:dyDescent="0.25">
      <c r="A894" s="77"/>
      <c r="L894" s="249"/>
      <c r="M894" s="249"/>
      <c r="N894" s="249"/>
      <c r="O894" s="249"/>
    </row>
    <row r="895" spans="1:15" ht="18.75" x14ac:dyDescent="0.25">
      <c r="A895" s="77"/>
      <c r="L895" s="249"/>
      <c r="M895" s="249"/>
      <c r="N895" s="249"/>
      <c r="O895" s="249"/>
    </row>
    <row r="896" spans="1:15" ht="18.75" x14ac:dyDescent="0.25">
      <c r="A896" s="77"/>
      <c r="L896" s="249"/>
      <c r="M896" s="249"/>
      <c r="N896" s="249"/>
      <c r="O896" s="249"/>
    </row>
    <row r="897" spans="1:15" ht="18.75" x14ac:dyDescent="0.25">
      <c r="A897" s="77"/>
      <c r="L897" s="249"/>
      <c r="M897" s="249"/>
      <c r="N897" s="249"/>
      <c r="O897" s="249"/>
    </row>
    <row r="898" spans="1:15" ht="18.75" x14ac:dyDescent="0.25">
      <c r="A898" s="77"/>
      <c r="L898" s="249"/>
      <c r="M898" s="249"/>
      <c r="N898" s="249"/>
      <c r="O898" s="249"/>
    </row>
    <row r="899" spans="1:15" ht="18.75" x14ac:dyDescent="0.25">
      <c r="A899" s="77"/>
      <c r="L899" s="249"/>
      <c r="M899" s="249"/>
      <c r="N899" s="249"/>
      <c r="O899" s="249"/>
    </row>
    <row r="900" spans="1:15" ht="18.75" x14ac:dyDescent="0.25">
      <c r="A900" s="77"/>
      <c r="L900" s="249"/>
      <c r="M900" s="249"/>
      <c r="N900" s="249"/>
      <c r="O900" s="249"/>
    </row>
    <row r="901" spans="1:15" ht="18.75" x14ac:dyDescent="0.25">
      <c r="A901" s="77"/>
      <c r="L901" s="249"/>
      <c r="M901" s="249"/>
      <c r="N901" s="249"/>
      <c r="O901" s="249"/>
    </row>
    <row r="902" spans="1:15" ht="18.75" x14ac:dyDescent="0.25">
      <c r="A902" s="77"/>
      <c r="L902" s="249"/>
      <c r="M902" s="249"/>
      <c r="N902" s="249"/>
      <c r="O902" s="249"/>
    </row>
    <row r="903" spans="1:15" ht="18.75" x14ac:dyDescent="0.25">
      <c r="A903" s="77"/>
      <c r="L903" s="249"/>
      <c r="M903" s="249"/>
      <c r="N903" s="249"/>
      <c r="O903" s="249"/>
    </row>
    <row r="904" spans="1:15" ht="18.75" x14ac:dyDescent="0.25">
      <c r="A904" s="77"/>
      <c r="L904" s="249"/>
      <c r="M904" s="249"/>
      <c r="N904" s="249"/>
      <c r="O904" s="249"/>
    </row>
    <row r="905" spans="1:15" ht="18.75" x14ac:dyDescent="0.25">
      <c r="A905" s="77"/>
      <c r="L905" s="249"/>
      <c r="M905" s="249"/>
      <c r="N905" s="249"/>
      <c r="O905" s="249"/>
    </row>
    <row r="906" spans="1:15" ht="18.75" x14ac:dyDescent="0.25">
      <c r="A906" s="77"/>
      <c r="L906" s="249"/>
      <c r="M906" s="249"/>
      <c r="N906" s="249"/>
      <c r="O906" s="249"/>
    </row>
    <row r="907" spans="1:15" ht="18.75" x14ac:dyDescent="0.25">
      <c r="A907" s="77"/>
      <c r="L907" s="249"/>
      <c r="M907" s="249"/>
      <c r="N907" s="249"/>
      <c r="O907" s="249"/>
    </row>
    <row r="908" spans="1:15" ht="18.75" x14ac:dyDescent="0.25">
      <c r="A908" s="77"/>
      <c r="L908" s="249"/>
      <c r="M908" s="249"/>
      <c r="N908" s="249"/>
      <c r="O908" s="249"/>
    </row>
    <row r="909" spans="1:15" ht="18.75" x14ac:dyDescent="0.25">
      <c r="A909" s="77"/>
      <c r="L909" s="249"/>
      <c r="M909" s="249"/>
      <c r="N909" s="249"/>
      <c r="O909" s="249"/>
    </row>
    <row r="910" spans="1:15" ht="18.75" x14ac:dyDescent="0.25">
      <c r="A910" s="77"/>
      <c r="L910" s="249"/>
      <c r="M910" s="249"/>
      <c r="N910" s="249"/>
      <c r="O910" s="249"/>
    </row>
    <row r="911" spans="1:15" ht="18.75" x14ac:dyDescent="0.25">
      <c r="A911" s="77"/>
      <c r="L911" s="249"/>
      <c r="M911" s="249"/>
      <c r="N911" s="249"/>
      <c r="O911" s="249"/>
    </row>
    <row r="912" spans="1:15" ht="18.75" x14ac:dyDescent="0.25">
      <c r="A912" s="77"/>
      <c r="L912" s="249"/>
      <c r="M912" s="249"/>
      <c r="N912" s="249"/>
      <c r="O912" s="249"/>
    </row>
    <row r="913" spans="1:15" ht="18.75" x14ac:dyDescent="0.25">
      <c r="A913" s="77"/>
      <c r="L913" s="249"/>
      <c r="M913" s="249"/>
      <c r="N913" s="249"/>
      <c r="O913" s="249"/>
    </row>
    <row r="914" spans="1:15" ht="18.75" x14ac:dyDescent="0.25">
      <c r="A914" s="77"/>
      <c r="L914" s="249"/>
      <c r="M914" s="249"/>
      <c r="N914" s="249"/>
      <c r="O914" s="249"/>
    </row>
    <row r="915" spans="1:15" ht="18.75" x14ac:dyDescent="0.25">
      <c r="A915" s="77"/>
      <c r="L915" s="249"/>
      <c r="M915" s="249"/>
      <c r="N915" s="249"/>
      <c r="O915" s="249"/>
    </row>
    <row r="916" spans="1:15" ht="18.75" x14ac:dyDescent="0.25">
      <c r="A916" s="77"/>
      <c r="B916" s="268"/>
      <c r="L916" s="249"/>
      <c r="M916" s="249"/>
      <c r="N916" s="249"/>
      <c r="O916" s="249"/>
    </row>
    <row r="917" spans="1:15" ht="18.75" x14ac:dyDescent="0.25">
      <c r="A917" s="77"/>
      <c r="B917" s="268"/>
      <c r="L917" s="249"/>
      <c r="M917" s="249"/>
      <c r="N917" s="249"/>
      <c r="O917" s="249"/>
    </row>
    <row r="918" spans="1:15" ht="18.75" x14ac:dyDescent="0.25">
      <c r="A918" s="77"/>
      <c r="B918" s="268"/>
      <c r="L918" s="249"/>
      <c r="M918" s="249"/>
      <c r="N918" s="249"/>
      <c r="O918" s="249"/>
    </row>
    <row r="919" spans="1:15" ht="18.75" x14ac:dyDescent="0.25">
      <c r="A919" s="77"/>
      <c r="L919" s="249"/>
      <c r="M919" s="249"/>
      <c r="N919" s="249"/>
      <c r="O919" s="249"/>
    </row>
    <row r="920" spans="1:15" ht="18.75" x14ac:dyDescent="0.25">
      <c r="A920" s="77"/>
      <c r="L920" s="249"/>
      <c r="M920" s="249"/>
      <c r="N920" s="249"/>
      <c r="O920" s="249"/>
    </row>
    <row r="921" spans="1:15" ht="18.75" x14ac:dyDescent="0.25">
      <c r="A921" s="77"/>
      <c r="L921" s="249"/>
      <c r="M921" s="249"/>
      <c r="N921" s="249"/>
      <c r="O921" s="249"/>
    </row>
    <row r="922" spans="1:15" ht="18.75" x14ac:dyDescent="0.25">
      <c r="A922" s="77"/>
      <c r="L922" s="249"/>
      <c r="M922" s="249"/>
      <c r="N922" s="249"/>
      <c r="O922" s="249"/>
    </row>
    <row r="923" spans="1:15" ht="18.75" x14ac:dyDescent="0.25">
      <c r="A923" s="77"/>
      <c r="L923" s="249"/>
      <c r="M923" s="249"/>
      <c r="N923" s="249"/>
      <c r="O923" s="249"/>
    </row>
    <row r="924" spans="1:15" ht="18.75" x14ac:dyDescent="0.25">
      <c r="A924" s="77"/>
      <c r="L924" s="249"/>
      <c r="M924" s="249"/>
      <c r="N924" s="249"/>
      <c r="O924" s="249"/>
    </row>
    <row r="925" spans="1:15" ht="18.75" x14ac:dyDescent="0.25">
      <c r="A925" s="77"/>
      <c r="L925" s="249"/>
      <c r="M925" s="249"/>
      <c r="N925" s="249"/>
      <c r="O925" s="249"/>
    </row>
    <row r="926" spans="1:15" ht="18.75" x14ac:dyDescent="0.25">
      <c r="A926" s="77"/>
      <c r="B926" s="268"/>
      <c r="L926" s="249"/>
      <c r="M926" s="249"/>
      <c r="N926" s="249"/>
      <c r="O926" s="249"/>
    </row>
    <row r="927" spans="1:15" ht="18.75" x14ac:dyDescent="0.25">
      <c r="A927" s="77"/>
      <c r="B927" s="268"/>
      <c r="L927" s="249"/>
      <c r="M927" s="249"/>
      <c r="N927" s="249"/>
      <c r="O927" s="249"/>
    </row>
    <row r="928" spans="1:15" ht="18.75" x14ac:dyDescent="0.25">
      <c r="A928" s="77"/>
      <c r="B928" s="268"/>
      <c r="L928" s="249"/>
      <c r="M928" s="249"/>
      <c r="N928" s="249"/>
      <c r="O928" s="249"/>
    </row>
    <row r="929" spans="1:15" ht="18.75" x14ac:dyDescent="0.25">
      <c r="A929" s="77"/>
      <c r="B929" s="268"/>
      <c r="L929" s="249"/>
      <c r="M929" s="249"/>
      <c r="N929" s="249"/>
      <c r="O929" s="249"/>
    </row>
    <row r="930" spans="1:15" ht="18.75" x14ac:dyDescent="0.25">
      <c r="A930" s="77"/>
      <c r="B930" s="268"/>
      <c r="L930" s="249"/>
      <c r="M930" s="249"/>
      <c r="N930" s="249"/>
      <c r="O930" s="249"/>
    </row>
    <row r="931" spans="1:15" ht="18.75" x14ac:dyDescent="0.25">
      <c r="A931" s="77"/>
      <c r="B931" s="268"/>
      <c r="L931" s="249"/>
      <c r="M931" s="249"/>
      <c r="N931" s="249"/>
      <c r="O931" s="249"/>
    </row>
    <row r="932" spans="1:15" ht="18.75" x14ac:dyDescent="0.25">
      <c r="A932" s="77"/>
      <c r="L932" s="249"/>
      <c r="M932" s="249"/>
      <c r="N932" s="249"/>
      <c r="O932" s="249"/>
    </row>
    <row r="933" spans="1:15" ht="18.75" x14ac:dyDescent="0.25">
      <c r="A933" s="77"/>
      <c r="L933" s="249"/>
      <c r="M933" s="249"/>
      <c r="N933" s="249"/>
      <c r="O933" s="249"/>
    </row>
    <row r="934" spans="1:15" ht="18.75" x14ac:dyDescent="0.25">
      <c r="A934" s="77"/>
      <c r="L934" s="249"/>
      <c r="M934" s="249"/>
      <c r="N934" s="249"/>
      <c r="O934" s="249"/>
    </row>
    <row r="935" spans="1:15" ht="18.75" x14ac:dyDescent="0.25">
      <c r="A935" s="77"/>
      <c r="L935" s="249"/>
      <c r="M935" s="249"/>
      <c r="N935" s="249"/>
      <c r="O935" s="249"/>
    </row>
    <row r="936" spans="1:15" ht="18.75" x14ac:dyDescent="0.25">
      <c r="A936" s="77"/>
      <c r="L936" s="249"/>
      <c r="M936" s="249"/>
      <c r="N936" s="249"/>
      <c r="O936" s="249"/>
    </row>
    <row r="937" spans="1:15" ht="18.75" x14ac:dyDescent="0.25">
      <c r="A937" s="77"/>
      <c r="L937" s="249"/>
      <c r="M937" s="249"/>
      <c r="N937" s="249"/>
      <c r="O937" s="249"/>
    </row>
    <row r="938" spans="1:15" ht="18.75" x14ac:dyDescent="0.25">
      <c r="A938" s="77"/>
      <c r="L938" s="249"/>
      <c r="M938" s="249"/>
      <c r="N938" s="249"/>
      <c r="O938" s="249"/>
    </row>
    <row r="939" spans="1:15" ht="18.75" x14ac:dyDescent="0.25">
      <c r="A939" s="77"/>
      <c r="B939" s="268"/>
      <c r="L939" s="249"/>
      <c r="M939" s="249"/>
      <c r="N939" s="249"/>
      <c r="O939" s="249"/>
    </row>
    <row r="940" spans="1:15" ht="18.75" x14ac:dyDescent="0.25">
      <c r="A940" s="77"/>
      <c r="B940" s="268"/>
      <c r="L940" s="249"/>
      <c r="M940" s="249"/>
      <c r="N940" s="249"/>
      <c r="O940" s="249"/>
    </row>
    <row r="941" spans="1:15" ht="18.75" x14ac:dyDescent="0.25">
      <c r="A941" s="77"/>
      <c r="L941" s="249"/>
      <c r="M941" s="249"/>
      <c r="N941" s="249"/>
      <c r="O941" s="249"/>
    </row>
    <row r="942" spans="1:15" ht="18.75" x14ac:dyDescent="0.25">
      <c r="A942" s="77"/>
      <c r="L942" s="249"/>
      <c r="M942" s="249"/>
      <c r="N942" s="249"/>
      <c r="O942" s="249"/>
    </row>
    <row r="943" spans="1:15" ht="18.75" x14ac:dyDescent="0.25">
      <c r="A943" s="77"/>
      <c r="L943" s="249"/>
      <c r="M943" s="249"/>
      <c r="N943" s="249"/>
      <c r="O943" s="249"/>
    </row>
    <row r="944" spans="1:15" ht="18.75" x14ac:dyDescent="0.25">
      <c r="A944" s="77"/>
      <c r="L944" s="249"/>
      <c r="M944" s="249"/>
      <c r="N944" s="249"/>
      <c r="O944" s="249"/>
    </row>
    <row r="945" spans="1:15" ht="18.75" x14ac:dyDescent="0.25">
      <c r="A945" s="77"/>
      <c r="L945" s="249"/>
      <c r="M945" s="249"/>
      <c r="N945" s="249"/>
      <c r="O945" s="249"/>
    </row>
    <row r="946" spans="1:15" ht="18.75" x14ac:dyDescent="0.25">
      <c r="A946" s="77"/>
      <c r="L946" s="249"/>
      <c r="M946" s="249"/>
      <c r="N946" s="249"/>
      <c r="O946" s="249"/>
    </row>
    <row r="947" spans="1:15" ht="18.75" x14ac:dyDescent="0.25">
      <c r="A947" s="77"/>
      <c r="L947" s="249"/>
      <c r="M947" s="249"/>
      <c r="N947" s="249"/>
      <c r="O947" s="249"/>
    </row>
    <row r="948" spans="1:15" ht="18.75" x14ac:dyDescent="0.25">
      <c r="A948" s="77"/>
      <c r="L948" s="249"/>
      <c r="M948" s="249"/>
      <c r="N948" s="249"/>
      <c r="O948" s="249"/>
    </row>
    <row r="949" spans="1:15" ht="18.75" x14ac:dyDescent="0.25">
      <c r="A949" s="77"/>
      <c r="L949" s="249"/>
      <c r="M949" s="249"/>
      <c r="N949" s="249"/>
      <c r="O949" s="249"/>
    </row>
    <row r="950" spans="1:15" ht="18.75" x14ac:dyDescent="0.25">
      <c r="A950" s="77"/>
      <c r="L950" s="249"/>
      <c r="M950" s="249"/>
      <c r="N950" s="249"/>
      <c r="O950" s="249"/>
    </row>
    <row r="951" spans="1:15" ht="18.75" x14ac:dyDescent="0.25">
      <c r="A951" s="77"/>
      <c r="L951" s="249"/>
      <c r="M951" s="249"/>
      <c r="N951" s="249"/>
      <c r="O951" s="249"/>
    </row>
    <row r="952" spans="1:15" ht="18.75" x14ac:dyDescent="0.25">
      <c r="A952" s="77"/>
      <c r="L952" s="249"/>
      <c r="M952" s="249"/>
      <c r="N952" s="249"/>
      <c r="O952" s="249"/>
    </row>
    <row r="953" spans="1:15" ht="18.75" x14ac:dyDescent="0.25">
      <c r="A953" s="77"/>
      <c r="L953" s="249"/>
      <c r="M953" s="249"/>
      <c r="N953" s="249"/>
      <c r="O953" s="249"/>
    </row>
    <row r="954" spans="1:15" ht="18.75" x14ac:dyDescent="0.25">
      <c r="A954" s="77"/>
      <c r="L954" s="249"/>
      <c r="M954" s="249"/>
      <c r="N954" s="249"/>
      <c r="O954" s="249"/>
    </row>
    <row r="955" spans="1:15" ht="18.75" x14ac:dyDescent="0.25">
      <c r="A955" s="77"/>
      <c r="L955" s="249"/>
      <c r="M955" s="249"/>
      <c r="N955" s="249"/>
      <c r="O955" s="249"/>
    </row>
    <row r="956" spans="1:15" ht="18.75" x14ac:dyDescent="0.25">
      <c r="A956" s="77"/>
      <c r="L956" s="249"/>
      <c r="M956" s="249"/>
      <c r="N956" s="249"/>
      <c r="O956" s="249"/>
    </row>
    <row r="957" spans="1:15" ht="18.75" x14ac:dyDescent="0.25">
      <c r="A957" s="77"/>
      <c r="L957" s="249"/>
      <c r="M957" s="249"/>
      <c r="N957" s="249"/>
      <c r="O957" s="249"/>
    </row>
    <row r="958" spans="1:15" ht="18.75" x14ac:dyDescent="0.25">
      <c r="A958" s="77"/>
      <c r="L958" s="249"/>
      <c r="M958" s="249"/>
      <c r="N958" s="249"/>
      <c r="O958" s="249"/>
    </row>
    <row r="959" spans="1:15" ht="18.75" x14ac:dyDescent="0.25">
      <c r="A959" s="77"/>
      <c r="L959" s="249"/>
      <c r="M959" s="249"/>
      <c r="N959" s="249"/>
      <c r="O959" s="249"/>
    </row>
    <row r="960" spans="1:15" ht="18.75" x14ac:dyDescent="0.25">
      <c r="A960" s="77"/>
      <c r="L960" s="249"/>
      <c r="M960" s="249"/>
      <c r="N960" s="249"/>
      <c r="O960" s="249"/>
    </row>
    <row r="961" spans="1:15" ht="18.75" x14ac:dyDescent="0.25">
      <c r="A961" s="77"/>
      <c r="L961" s="249"/>
      <c r="M961" s="249"/>
      <c r="N961" s="249"/>
      <c r="O961" s="249"/>
    </row>
    <row r="962" spans="1:15" ht="18.75" x14ac:dyDescent="0.25">
      <c r="A962" s="77"/>
      <c r="L962" s="249"/>
      <c r="M962" s="249"/>
      <c r="N962" s="249"/>
      <c r="O962" s="249"/>
    </row>
    <row r="963" spans="1:15" ht="18.75" x14ac:dyDescent="0.25">
      <c r="A963" s="77"/>
      <c r="L963" s="249"/>
      <c r="M963" s="249"/>
      <c r="N963" s="249"/>
      <c r="O963" s="249"/>
    </row>
    <row r="964" spans="1:15" ht="18.75" x14ac:dyDescent="0.25">
      <c r="A964" s="77"/>
      <c r="L964" s="249"/>
      <c r="M964" s="249"/>
      <c r="N964" s="249"/>
      <c r="O964" s="249"/>
    </row>
    <row r="965" spans="1:15" ht="18.75" x14ac:dyDescent="0.25">
      <c r="A965" s="77"/>
      <c r="L965" s="249"/>
      <c r="M965" s="249"/>
      <c r="N965" s="249"/>
      <c r="O965" s="249"/>
    </row>
    <row r="966" spans="1:15" ht="18.75" x14ac:dyDescent="0.25">
      <c r="A966" s="77"/>
      <c r="L966" s="249"/>
      <c r="M966" s="249"/>
      <c r="N966" s="249"/>
      <c r="O966" s="249"/>
    </row>
    <row r="967" spans="1:15" ht="18.75" x14ac:dyDescent="0.25">
      <c r="A967" s="77"/>
      <c r="L967" s="249"/>
      <c r="M967" s="249"/>
      <c r="N967" s="249"/>
      <c r="O967" s="249"/>
    </row>
    <row r="968" spans="1:15" ht="18.75" x14ac:dyDescent="0.25">
      <c r="A968" s="77"/>
      <c r="L968" s="249"/>
      <c r="M968" s="249"/>
      <c r="N968" s="249"/>
      <c r="O968" s="249"/>
    </row>
    <row r="969" spans="1:15" ht="18.75" x14ac:dyDescent="0.25">
      <c r="A969" s="77"/>
      <c r="L969" s="249"/>
      <c r="M969" s="249"/>
      <c r="N969" s="249"/>
      <c r="O969" s="249"/>
    </row>
    <row r="970" spans="1:15" ht="18.75" x14ac:dyDescent="0.25">
      <c r="A970" s="77"/>
      <c r="L970" s="249"/>
      <c r="M970" s="249"/>
      <c r="N970" s="249"/>
      <c r="O970" s="249"/>
    </row>
    <row r="971" spans="1:15" ht="18.75" x14ac:dyDescent="0.25">
      <c r="A971" s="77"/>
      <c r="L971" s="249"/>
      <c r="M971" s="249"/>
      <c r="N971" s="249"/>
      <c r="O971" s="249"/>
    </row>
    <row r="972" spans="1:15" ht="18.75" x14ac:dyDescent="0.25">
      <c r="A972" s="77"/>
      <c r="L972" s="249"/>
      <c r="M972" s="249"/>
      <c r="N972" s="249"/>
      <c r="O972" s="249"/>
    </row>
    <row r="973" spans="1:15" ht="18.75" x14ac:dyDescent="0.25">
      <c r="A973" s="77"/>
      <c r="L973" s="249"/>
      <c r="M973" s="249"/>
      <c r="N973" s="249"/>
      <c r="O973" s="249"/>
    </row>
    <row r="974" spans="1:15" ht="18.75" x14ac:dyDescent="0.25">
      <c r="A974" s="77"/>
      <c r="L974" s="249"/>
      <c r="M974" s="249"/>
      <c r="N974" s="249"/>
      <c r="O974" s="249"/>
    </row>
    <row r="975" spans="1:15" ht="18.75" x14ac:dyDescent="0.25">
      <c r="A975" s="77"/>
      <c r="L975" s="249"/>
      <c r="M975" s="249"/>
      <c r="N975" s="249"/>
      <c r="O975" s="249"/>
    </row>
    <row r="976" spans="1:15" ht="18.75" x14ac:dyDescent="0.25">
      <c r="A976" s="77"/>
      <c r="L976" s="249"/>
      <c r="M976" s="249"/>
      <c r="N976" s="249"/>
      <c r="O976" s="249"/>
    </row>
    <row r="977" spans="1:15" ht="18.75" x14ac:dyDescent="0.25">
      <c r="A977" s="77"/>
      <c r="L977" s="249"/>
      <c r="M977" s="249"/>
      <c r="N977" s="249"/>
      <c r="O977" s="249"/>
    </row>
    <row r="978" spans="1:15" ht="18.75" x14ac:dyDescent="0.25">
      <c r="A978" s="77"/>
      <c r="L978" s="249"/>
      <c r="M978" s="249"/>
      <c r="N978" s="249"/>
      <c r="O978" s="249"/>
    </row>
    <row r="979" spans="1:15" ht="18.75" x14ac:dyDescent="0.25">
      <c r="A979" s="77"/>
      <c r="L979" s="249"/>
      <c r="M979" s="249"/>
      <c r="N979" s="249"/>
      <c r="O979" s="249"/>
    </row>
    <row r="980" spans="1:15" ht="18.75" x14ac:dyDescent="0.25">
      <c r="A980" s="77"/>
      <c r="L980" s="249"/>
      <c r="M980" s="249"/>
      <c r="N980" s="249"/>
      <c r="O980" s="249"/>
    </row>
    <row r="981" spans="1:15" ht="18.75" x14ac:dyDescent="0.25">
      <c r="A981" s="77"/>
      <c r="L981" s="249"/>
      <c r="M981" s="249"/>
      <c r="N981" s="249"/>
      <c r="O981" s="249"/>
    </row>
    <row r="982" spans="1:15" ht="18.75" x14ac:dyDescent="0.25">
      <c r="A982" s="77"/>
      <c r="L982" s="249"/>
      <c r="M982" s="249"/>
      <c r="N982" s="249"/>
      <c r="O982" s="249"/>
    </row>
    <row r="983" spans="1:15" ht="18.75" x14ac:dyDescent="0.25">
      <c r="A983" s="77"/>
      <c r="L983" s="249"/>
      <c r="M983" s="249"/>
      <c r="N983" s="249"/>
      <c r="O983" s="249"/>
    </row>
    <row r="984" spans="1:15" ht="18.75" x14ac:dyDescent="0.25">
      <c r="A984" s="77"/>
      <c r="L984" s="249"/>
      <c r="M984" s="249"/>
      <c r="N984" s="249"/>
      <c r="O984" s="249"/>
    </row>
    <row r="985" spans="1:15" ht="18.75" x14ac:dyDescent="0.25">
      <c r="A985" s="77"/>
      <c r="L985" s="249"/>
      <c r="M985" s="249"/>
      <c r="N985" s="249"/>
      <c r="O985" s="249"/>
    </row>
    <row r="986" spans="1:15" ht="18.75" x14ac:dyDescent="0.25">
      <c r="A986" s="77"/>
      <c r="L986" s="249"/>
      <c r="M986" s="249"/>
      <c r="N986" s="249"/>
      <c r="O986" s="249"/>
    </row>
    <row r="987" spans="1:15" ht="18.75" x14ac:dyDescent="0.25">
      <c r="A987" s="77"/>
      <c r="L987" s="249"/>
      <c r="M987" s="249"/>
      <c r="N987" s="249"/>
      <c r="O987" s="249"/>
    </row>
    <row r="988" spans="1:15" ht="18.75" x14ac:dyDescent="0.25">
      <c r="A988" s="77"/>
      <c r="L988" s="249"/>
      <c r="M988" s="249"/>
      <c r="N988" s="249"/>
      <c r="O988" s="249"/>
    </row>
    <row r="989" spans="1:15" ht="18.75" x14ac:dyDescent="0.25">
      <c r="A989" s="77"/>
      <c r="L989" s="249"/>
      <c r="M989" s="249"/>
      <c r="N989" s="249"/>
      <c r="O989" s="249"/>
    </row>
    <row r="990" spans="1:15" ht="18.75" x14ac:dyDescent="0.25">
      <c r="A990" s="77"/>
      <c r="L990" s="249"/>
      <c r="M990" s="249"/>
      <c r="N990" s="249"/>
      <c r="O990" s="249"/>
    </row>
    <row r="991" spans="1:15" ht="18.75" x14ac:dyDescent="0.25">
      <c r="A991" s="77"/>
      <c r="L991" s="249"/>
      <c r="M991" s="249"/>
      <c r="N991" s="249"/>
      <c r="O991" s="249"/>
    </row>
    <row r="992" spans="1:15" ht="18.75" x14ac:dyDescent="0.25">
      <c r="A992" s="77"/>
      <c r="L992" s="249"/>
      <c r="M992" s="249"/>
      <c r="N992" s="249"/>
      <c r="O992" s="249"/>
    </row>
    <row r="993" spans="1:15" ht="18.75" x14ac:dyDescent="0.25">
      <c r="A993" s="77"/>
      <c r="L993" s="249"/>
      <c r="M993" s="249"/>
      <c r="N993" s="249"/>
      <c r="O993" s="249"/>
    </row>
    <row r="994" spans="1:15" ht="18.75" x14ac:dyDescent="0.25">
      <c r="A994" s="77"/>
      <c r="L994" s="249"/>
      <c r="M994" s="249"/>
      <c r="N994" s="249"/>
      <c r="O994" s="249"/>
    </row>
    <row r="995" spans="1:15" ht="18.75" x14ac:dyDescent="0.25">
      <c r="A995" s="77"/>
      <c r="L995" s="249"/>
      <c r="M995" s="249"/>
      <c r="N995" s="249"/>
      <c r="O995" s="249"/>
    </row>
    <row r="996" spans="1:15" ht="18.75" x14ac:dyDescent="0.25">
      <c r="A996" s="77"/>
      <c r="L996" s="249"/>
      <c r="M996" s="249"/>
      <c r="N996" s="249"/>
      <c r="O996" s="249"/>
    </row>
    <row r="997" spans="1:15" ht="18.75" x14ac:dyDescent="0.25">
      <c r="A997" s="77"/>
      <c r="L997" s="249"/>
      <c r="M997" s="249"/>
      <c r="N997" s="249"/>
      <c r="O997" s="249"/>
    </row>
    <row r="998" spans="1:15" ht="18.75" x14ac:dyDescent="0.25">
      <c r="A998" s="77"/>
      <c r="L998" s="249"/>
      <c r="M998" s="249"/>
      <c r="N998" s="249"/>
      <c r="O998" s="249"/>
    </row>
    <row r="999" spans="1:15" ht="18.75" x14ac:dyDescent="0.25">
      <c r="A999" s="77"/>
      <c r="B999" s="268"/>
      <c r="L999" s="249"/>
      <c r="M999" s="249"/>
      <c r="N999" s="249"/>
      <c r="O999" s="249"/>
    </row>
    <row r="1000" spans="1:15" ht="18.75" x14ac:dyDescent="0.25">
      <c r="A1000" s="77"/>
      <c r="B1000" s="268"/>
      <c r="L1000" s="249"/>
      <c r="M1000" s="249"/>
      <c r="N1000" s="249"/>
      <c r="O1000" s="249"/>
    </row>
    <row r="1001" spans="1:15" ht="18.75" x14ac:dyDescent="0.25">
      <c r="A1001" s="77"/>
      <c r="B1001" s="268"/>
      <c r="L1001" s="249"/>
      <c r="M1001" s="249"/>
      <c r="N1001" s="249"/>
      <c r="O1001" s="249"/>
    </row>
    <row r="1002" spans="1:15" ht="18.75" x14ac:dyDescent="0.25">
      <c r="A1002" s="77"/>
      <c r="L1002" s="249"/>
      <c r="M1002" s="249"/>
      <c r="N1002" s="249"/>
      <c r="O1002" s="249"/>
    </row>
    <row r="1003" spans="1:15" ht="18.75" x14ac:dyDescent="0.25">
      <c r="A1003" s="77"/>
      <c r="L1003" s="249"/>
      <c r="M1003" s="249"/>
      <c r="N1003" s="249"/>
      <c r="O1003" s="249"/>
    </row>
    <row r="1004" spans="1:15" ht="18.75" x14ac:dyDescent="0.25">
      <c r="A1004" s="77"/>
      <c r="L1004" s="249"/>
      <c r="M1004" s="249"/>
      <c r="N1004" s="249"/>
      <c r="O1004" s="249"/>
    </row>
    <row r="1005" spans="1:15" ht="18.75" x14ac:dyDescent="0.25">
      <c r="A1005" s="77"/>
      <c r="L1005" s="249"/>
      <c r="M1005" s="249"/>
      <c r="N1005" s="249"/>
      <c r="O1005" s="249"/>
    </row>
    <row r="1006" spans="1:15" ht="18.75" x14ac:dyDescent="0.25">
      <c r="A1006" s="77"/>
      <c r="L1006" s="249"/>
      <c r="M1006" s="249"/>
      <c r="N1006" s="249"/>
      <c r="O1006" s="249"/>
    </row>
    <row r="1007" spans="1:15" ht="18.75" x14ac:dyDescent="0.25">
      <c r="A1007" s="77"/>
      <c r="L1007" s="249"/>
      <c r="M1007" s="249"/>
      <c r="N1007" s="249"/>
      <c r="O1007" s="249"/>
    </row>
    <row r="1008" spans="1:15" ht="18.75" x14ac:dyDescent="0.25">
      <c r="A1008" s="77"/>
      <c r="L1008" s="249"/>
      <c r="M1008" s="249"/>
      <c r="N1008" s="249"/>
      <c r="O1008" s="249"/>
    </row>
    <row r="1009" spans="1:15" ht="18.75" x14ac:dyDescent="0.25">
      <c r="A1009" s="77"/>
      <c r="L1009" s="249"/>
      <c r="M1009" s="249"/>
      <c r="N1009" s="249"/>
      <c r="O1009" s="249"/>
    </row>
    <row r="1010" spans="1:15" ht="18.75" x14ac:dyDescent="0.25">
      <c r="A1010" s="77"/>
      <c r="L1010" s="249"/>
      <c r="M1010" s="249"/>
      <c r="N1010" s="249"/>
      <c r="O1010" s="249"/>
    </row>
    <row r="1011" spans="1:15" ht="18.75" x14ac:dyDescent="0.25">
      <c r="A1011" s="77"/>
      <c r="L1011" s="249"/>
      <c r="M1011" s="249"/>
      <c r="N1011" s="249"/>
      <c r="O1011" s="249"/>
    </row>
    <row r="1012" spans="1:15" ht="18.75" x14ac:dyDescent="0.25">
      <c r="A1012" s="77"/>
      <c r="L1012" s="249"/>
      <c r="M1012" s="249"/>
      <c r="N1012" s="249"/>
      <c r="O1012" s="249"/>
    </row>
    <row r="1013" spans="1:15" ht="18.75" x14ac:dyDescent="0.25">
      <c r="A1013" s="77"/>
      <c r="L1013" s="249"/>
      <c r="M1013" s="249"/>
      <c r="N1013" s="249"/>
      <c r="O1013" s="249"/>
    </row>
    <row r="1014" spans="1:15" ht="18.75" x14ac:dyDescent="0.25">
      <c r="A1014" s="77"/>
      <c r="L1014" s="249"/>
      <c r="M1014" s="249"/>
      <c r="N1014" s="249"/>
      <c r="O1014" s="249"/>
    </row>
    <row r="1015" spans="1:15" ht="18.75" x14ac:dyDescent="0.25">
      <c r="A1015" s="77"/>
      <c r="L1015" s="249"/>
      <c r="M1015" s="249"/>
      <c r="N1015" s="249"/>
      <c r="O1015" s="249"/>
    </row>
    <row r="1016" spans="1:15" ht="18.75" x14ac:dyDescent="0.25">
      <c r="A1016" s="77"/>
      <c r="L1016" s="249"/>
      <c r="M1016" s="249"/>
      <c r="N1016" s="249"/>
      <c r="O1016" s="249"/>
    </row>
    <row r="1017" spans="1:15" ht="18.75" x14ac:dyDescent="0.25">
      <c r="A1017" s="77"/>
      <c r="L1017" s="249"/>
      <c r="M1017" s="249"/>
      <c r="N1017" s="249"/>
      <c r="O1017" s="249"/>
    </row>
    <row r="1018" spans="1:15" ht="18.75" x14ac:dyDescent="0.25">
      <c r="A1018" s="77"/>
      <c r="L1018" s="249"/>
      <c r="M1018" s="249"/>
      <c r="N1018" s="249"/>
      <c r="O1018" s="249"/>
    </row>
    <row r="1019" spans="1:15" ht="18.75" x14ac:dyDescent="0.25">
      <c r="A1019" s="77"/>
      <c r="L1019" s="249"/>
      <c r="M1019" s="249"/>
      <c r="N1019" s="249"/>
      <c r="O1019" s="249"/>
    </row>
    <row r="1020" spans="1:15" ht="18.75" x14ac:dyDescent="0.25">
      <c r="A1020" s="77"/>
      <c r="L1020" s="249"/>
      <c r="M1020" s="249"/>
      <c r="N1020" s="249"/>
      <c r="O1020" s="249"/>
    </row>
    <row r="1021" spans="1:15" ht="18.75" x14ac:dyDescent="0.25">
      <c r="A1021" s="77"/>
      <c r="L1021" s="249"/>
      <c r="M1021" s="249"/>
      <c r="N1021" s="249"/>
      <c r="O1021" s="249"/>
    </row>
    <row r="1022" spans="1:15" ht="18.75" x14ac:dyDescent="0.25">
      <c r="A1022" s="77"/>
      <c r="L1022" s="249"/>
      <c r="M1022" s="249"/>
      <c r="N1022" s="249"/>
      <c r="O1022" s="249"/>
    </row>
    <row r="1023" spans="1:15" ht="18.75" x14ac:dyDescent="0.25">
      <c r="A1023" s="77"/>
      <c r="L1023" s="249"/>
      <c r="M1023" s="249"/>
      <c r="N1023" s="249"/>
      <c r="O1023" s="249"/>
    </row>
    <row r="1024" spans="1:15" ht="18.75" x14ac:dyDescent="0.25">
      <c r="A1024" s="77"/>
      <c r="L1024" s="249"/>
      <c r="M1024" s="249"/>
      <c r="N1024" s="249"/>
      <c r="O1024" s="249"/>
    </row>
    <row r="1025" spans="1:15" ht="18.75" x14ac:dyDescent="0.25">
      <c r="A1025" s="77"/>
      <c r="L1025" s="249"/>
      <c r="M1025" s="249"/>
      <c r="N1025" s="249"/>
      <c r="O1025" s="249"/>
    </row>
    <row r="1026" spans="1:15" ht="18.75" x14ac:dyDescent="0.25">
      <c r="A1026" s="77"/>
      <c r="L1026" s="249"/>
      <c r="M1026" s="249"/>
      <c r="N1026" s="249"/>
      <c r="O1026" s="249"/>
    </row>
    <row r="1027" spans="1:15" ht="18.75" x14ac:dyDescent="0.25">
      <c r="A1027" s="77"/>
      <c r="L1027" s="249"/>
      <c r="M1027" s="249"/>
      <c r="N1027" s="249"/>
      <c r="O1027" s="249"/>
    </row>
    <row r="1028" spans="1:15" ht="18.75" x14ac:dyDescent="0.25">
      <c r="A1028" s="77"/>
      <c r="L1028" s="249"/>
      <c r="M1028" s="249"/>
      <c r="N1028" s="249"/>
      <c r="O1028" s="249"/>
    </row>
    <row r="1029" spans="1:15" ht="18.75" x14ac:dyDescent="0.25">
      <c r="A1029" s="77"/>
      <c r="L1029" s="249"/>
      <c r="M1029" s="249"/>
      <c r="N1029" s="249"/>
      <c r="O1029" s="249"/>
    </row>
    <row r="1030" spans="1:15" ht="18.75" x14ac:dyDescent="0.25">
      <c r="A1030" s="77"/>
      <c r="L1030" s="249"/>
      <c r="M1030" s="249"/>
      <c r="N1030" s="249"/>
      <c r="O1030" s="249"/>
    </row>
    <row r="1031" spans="1:15" ht="18.75" x14ac:dyDescent="0.25">
      <c r="A1031" s="77"/>
      <c r="L1031" s="249"/>
      <c r="M1031" s="249"/>
      <c r="N1031" s="249"/>
      <c r="O1031" s="249"/>
    </row>
    <row r="1032" spans="1:15" ht="18.75" x14ac:dyDescent="0.25">
      <c r="A1032" s="77"/>
      <c r="L1032" s="249"/>
      <c r="M1032" s="249"/>
      <c r="N1032" s="249"/>
      <c r="O1032" s="249"/>
    </row>
    <row r="1033" spans="1:15" ht="18.75" x14ac:dyDescent="0.25">
      <c r="A1033" s="77"/>
      <c r="L1033" s="249"/>
      <c r="M1033" s="249"/>
      <c r="N1033" s="249"/>
      <c r="O1033" s="249"/>
    </row>
    <row r="1034" spans="1:15" ht="18.75" x14ac:dyDescent="0.25">
      <c r="A1034" s="77"/>
      <c r="L1034" s="249"/>
      <c r="M1034" s="249"/>
      <c r="N1034" s="249"/>
      <c r="O1034" s="249"/>
    </row>
    <row r="1035" spans="1:15" ht="18.75" x14ac:dyDescent="0.25">
      <c r="A1035" s="77"/>
      <c r="L1035" s="249"/>
      <c r="M1035" s="249"/>
      <c r="N1035" s="249"/>
      <c r="O1035" s="249"/>
    </row>
    <row r="1036" spans="1:15" x14ac:dyDescent="0.25">
      <c r="A1036" s="77"/>
    </row>
    <row r="1037" spans="1:15" x14ac:dyDescent="0.25">
      <c r="A1037" s="77"/>
    </row>
    <row r="1038" spans="1:15" x14ac:dyDescent="0.25">
      <c r="A1038" s="77"/>
    </row>
    <row r="1039" spans="1:15" x14ac:dyDescent="0.25">
      <c r="A1039" s="77"/>
    </row>
  </sheetData>
  <conditionalFormatting sqref="C7">
    <cfRule type="duplicateValues" dxfId="227" priority="169"/>
  </conditionalFormatting>
  <conditionalFormatting sqref="C2">
    <cfRule type="duplicateValues" dxfId="226" priority="168"/>
  </conditionalFormatting>
  <conditionalFormatting sqref="C3">
    <cfRule type="duplicateValues" dxfId="225" priority="167"/>
  </conditionalFormatting>
  <conditionalFormatting sqref="C4:C6">
    <cfRule type="duplicateValues" dxfId="224" priority="166"/>
  </conditionalFormatting>
  <conditionalFormatting sqref="B8">
    <cfRule type="duplicateValues" dxfId="223" priority="102"/>
  </conditionalFormatting>
  <conditionalFormatting sqref="B2:B7">
    <cfRule type="duplicateValues" dxfId="222" priority="1"/>
  </conditionalFormatting>
  <pageMargins left="0" right="0" top="0" bottom="0" header="0" footer="0"/>
  <pageSetup paperSize="11" scale="10" orientation="landscape" r:id="rId1"/>
  <headerFooter>
    <oddFooter>&amp;L_x000D_&amp;1#&amp;"Calibri"&amp;8&amp;K000000 Classified as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FFCC"/>
  </sheetPr>
  <dimension ref="A1:AL75"/>
  <sheetViews>
    <sheetView topLeftCell="A9" zoomScale="80" zoomScaleNormal="80" workbookViewId="0">
      <selection activeCell="C15" sqref="C15"/>
    </sheetView>
  </sheetViews>
  <sheetFormatPr defaultRowHeight="15" x14ac:dyDescent="0.25"/>
  <cols>
    <col min="2" max="2" width="13.140625" customWidth="1"/>
    <col min="3" max="3" width="20.42578125" customWidth="1"/>
    <col min="4" max="4" width="13" customWidth="1"/>
    <col min="5" max="5" width="13.42578125" customWidth="1"/>
    <col min="6" max="6" width="12.42578125" style="4" customWidth="1"/>
    <col min="7" max="7" width="6.42578125" style="236" customWidth="1"/>
    <col min="8" max="8" width="10.5703125" style="237" customWidth="1"/>
    <col min="9" max="9" width="8.42578125" style="229" customWidth="1"/>
    <col min="10" max="10" width="9.42578125" style="229" customWidth="1"/>
    <col min="11" max="11" width="14.42578125" customWidth="1"/>
    <col min="12" max="12" width="17.42578125" customWidth="1"/>
    <col min="13" max="13" width="12" customWidth="1"/>
    <col min="14" max="14" width="5.42578125" style="4" customWidth="1"/>
    <col min="15" max="15" width="39.42578125" customWidth="1"/>
    <col min="16" max="16" width="9.42578125" customWidth="1"/>
    <col min="17" max="18" width="9.42578125" style="4"/>
    <col min="19" max="21" width="5.42578125" customWidth="1"/>
    <col min="22" max="22" width="6.42578125" customWidth="1"/>
    <col min="26" max="26" width="7" customWidth="1"/>
    <col min="27" max="27" width="9.42578125" customWidth="1"/>
    <col min="28" max="28" width="21" customWidth="1"/>
    <col min="30" max="30" width="10.42578125" bestFit="1" customWidth="1"/>
    <col min="31" max="31" width="10.42578125" customWidth="1"/>
    <col min="33" max="33" width="34.42578125" customWidth="1"/>
    <col min="34" max="34" width="13" customWidth="1"/>
    <col min="36" max="36" width="12.42578125" customWidth="1"/>
    <col min="37" max="37" width="10.42578125" customWidth="1"/>
  </cols>
  <sheetData>
    <row r="1" spans="1:38" ht="18.75" x14ac:dyDescent="0.3">
      <c r="E1" s="175" t="s">
        <v>117</v>
      </c>
    </row>
    <row r="2" spans="1:38" ht="31.5" x14ac:dyDescent="0.35">
      <c r="A2" s="153" t="s">
        <v>174</v>
      </c>
      <c r="B2" s="1"/>
      <c r="C2" s="157" t="s">
        <v>175</v>
      </c>
      <c r="D2" s="5"/>
      <c r="E2" s="2"/>
      <c r="F2" s="6"/>
      <c r="G2" s="238"/>
      <c r="H2" s="239"/>
      <c r="I2" s="230"/>
      <c r="J2" s="230"/>
      <c r="K2" s="2"/>
      <c r="L2" s="2"/>
      <c r="O2" s="159" t="s">
        <v>176</v>
      </c>
      <c r="P2" s="75"/>
      <c r="V2" s="161" t="s">
        <v>177</v>
      </c>
      <c r="AA2" s="159" t="s">
        <v>178</v>
      </c>
      <c r="AB2" s="75"/>
      <c r="AD2" t="s">
        <v>179</v>
      </c>
      <c r="AE2" s="272" t="s">
        <v>180</v>
      </c>
      <c r="AG2" s="160" t="s">
        <v>181</v>
      </c>
      <c r="AH2" t="s">
        <v>179</v>
      </c>
      <c r="AJ2" s="159" t="s">
        <v>182</v>
      </c>
    </row>
    <row r="3" spans="1:38" s="68" customFormat="1" ht="21.75" customHeight="1" x14ac:dyDescent="0.25">
      <c r="A3" s="154" t="s">
        <v>120</v>
      </c>
      <c r="B3" s="76" t="s">
        <v>133</v>
      </c>
      <c r="C3" s="77" t="s">
        <v>183</v>
      </c>
      <c r="D3" s="77" t="s">
        <v>120</v>
      </c>
      <c r="E3" s="77" t="s">
        <v>184</v>
      </c>
      <c r="F3" s="77" t="s">
        <v>185</v>
      </c>
      <c r="G3" s="240" t="s">
        <v>186</v>
      </c>
      <c r="H3" s="241" t="s">
        <v>187</v>
      </c>
      <c r="I3" s="231" t="s">
        <v>188</v>
      </c>
      <c r="J3" s="231" t="s">
        <v>189</v>
      </c>
      <c r="K3" s="77" t="s">
        <v>190</v>
      </c>
      <c r="L3" s="77" t="s">
        <v>136</v>
      </c>
      <c r="M3" s="77" t="s">
        <v>179</v>
      </c>
      <c r="N3" s="77" t="s">
        <v>191</v>
      </c>
      <c r="O3" s="77" t="s">
        <v>125</v>
      </c>
      <c r="P3" s="78" t="s">
        <v>192</v>
      </c>
      <c r="Q3" s="77" t="s">
        <v>193</v>
      </c>
      <c r="R3" s="68" t="s">
        <v>179</v>
      </c>
      <c r="S3" s="77" t="s">
        <v>191</v>
      </c>
      <c r="T3" s="77" t="s">
        <v>194</v>
      </c>
      <c r="U3" s="77" t="s">
        <v>195</v>
      </c>
      <c r="V3" s="261" t="s">
        <v>196</v>
      </c>
      <c r="W3" s="77" t="s">
        <v>197</v>
      </c>
      <c r="X3" s="78" t="s">
        <v>192</v>
      </c>
      <c r="Z3" s="77" t="s">
        <v>97</v>
      </c>
      <c r="AA3" s="275">
        <v>44348</v>
      </c>
      <c r="AC3"/>
      <c r="AD3" s="171">
        <v>43252</v>
      </c>
      <c r="AE3" s="171">
        <v>44378</v>
      </c>
      <c r="AF3" s="77" t="s">
        <v>191</v>
      </c>
      <c r="AG3" s="68" t="s">
        <v>198</v>
      </c>
      <c r="AJ3" s="77" t="s">
        <v>199</v>
      </c>
      <c r="AK3" s="77" t="s">
        <v>200</v>
      </c>
      <c r="AL3" s="77" t="s">
        <v>201</v>
      </c>
    </row>
    <row r="4" spans="1:38" x14ac:dyDescent="0.25">
      <c r="A4" s="158" t="s">
        <v>202</v>
      </c>
      <c r="B4" s="220">
        <v>25</v>
      </c>
      <c r="C4" s="86" t="s">
        <v>94</v>
      </c>
      <c r="D4" s="86" t="s">
        <v>95</v>
      </c>
      <c r="E4" s="86" t="s">
        <v>96</v>
      </c>
      <c r="F4" s="68">
        <v>9375757585</v>
      </c>
      <c r="G4" s="226">
        <v>5.25</v>
      </c>
      <c r="H4" s="227">
        <v>44659</v>
      </c>
      <c r="I4" s="223">
        <v>4.75</v>
      </c>
      <c r="J4" s="224">
        <v>44501</v>
      </c>
      <c r="K4" s="68" t="s">
        <v>203</v>
      </c>
      <c r="L4" s="68" t="s">
        <v>204</v>
      </c>
      <c r="M4" s="222"/>
      <c r="N4" s="4">
        <v>1</v>
      </c>
      <c r="O4" t="s">
        <v>205</v>
      </c>
      <c r="S4" s="4">
        <v>1</v>
      </c>
      <c r="T4" s="4">
        <v>26</v>
      </c>
      <c r="U4" s="4">
        <v>72</v>
      </c>
      <c r="V4" s="4">
        <v>54</v>
      </c>
      <c r="W4" s="4">
        <v>465</v>
      </c>
      <c r="Z4" t="s">
        <v>206</v>
      </c>
      <c r="AA4">
        <v>750</v>
      </c>
      <c r="AB4" t="s">
        <v>207</v>
      </c>
      <c r="AD4">
        <v>670</v>
      </c>
      <c r="AF4" s="4" t="s">
        <v>208</v>
      </c>
      <c r="AG4" t="s">
        <v>209</v>
      </c>
      <c r="AH4" t="s">
        <v>210</v>
      </c>
      <c r="AI4" s="4">
        <v>1</v>
      </c>
      <c r="AJ4" t="s">
        <v>211</v>
      </c>
      <c r="AK4" s="4" t="s">
        <v>212</v>
      </c>
      <c r="AL4" s="4">
        <v>6</v>
      </c>
    </row>
    <row r="5" spans="1:38" x14ac:dyDescent="0.25">
      <c r="A5" s="158"/>
      <c r="B5" s="220">
        <v>26</v>
      </c>
      <c r="C5" s="86" t="s">
        <v>213</v>
      </c>
      <c r="D5" s="86" t="s">
        <v>214</v>
      </c>
      <c r="E5" s="86" t="s">
        <v>215</v>
      </c>
      <c r="F5" s="68">
        <v>9099909895</v>
      </c>
      <c r="G5" s="226">
        <v>5.5</v>
      </c>
      <c r="H5" s="227"/>
      <c r="I5" s="223"/>
      <c r="J5" s="224"/>
      <c r="K5" s="68"/>
      <c r="L5" s="68" t="s">
        <v>216</v>
      </c>
      <c r="M5" s="222"/>
      <c r="S5" s="4"/>
      <c r="T5" s="4"/>
      <c r="U5" s="4"/>
      <c r="V5" s="4"/>
      <c r="W5" s="4"/>
      <c r="AF5" s="4"/>
      <c r="AI5" s="4"/>
      <c r="AK5" s="4"/>
      <c r="AL5" s="4"/>
    </row>
    <row r="6" spans="1:38" x14ac:dyDescent="0.25">
      <c r="A6" s="158"/>
      <c r="B6" s="220">
        <v>27</v>
      </c>
      <c r="C6" s="86" t="s">
        <v>730</v>
      </c>
      <c r="D6" s="86" t="s">
        <v>731</v>
      </c>
      <c r="E6" s="86"/>
      <c r="F6" s="68"/>
      <c r="G6" s="226">
        <v>5.75</v>
      </c>
      <c r="H6" s="227">
        <v>46143</v>
      </c>
      <c r="I6" s="223"/>
      <c r="J6" s="224"/>
      <c r="K6" s="68"/>
      <c r="L6" s="68"/>
      <c r="M6" s="222"/>
      <c r="S6" s="4"/>
      <c r="T6" s="4"/>
      <c r="U6" s="4"/>
      <c r="V6" s="4"/>
      <c r="W6" s="4"/>
      <c r="AF6" s="4"/>
      <c r="AI6" s="4"/>
      <c r="AK6" s="4"/>
      <c r="AL6" s="4"/>
    </row>
    <row r="7" spans="1:38" x14ac:dyDescent="0.25">
      <c r="A7" s="158"/>
      <c r="B7" s="220">
        <v>28</v>
      </c>
      <c r="C7" s="86" t="s">
        <v>217</v>
      </c>
      <c r="D7" s="86" t="s">
        <v>218</v>
      </c>
      <c r="E7" s="86"/>
      <c r="F7" s="68"/>
      <c r="G7" s="226">
        <v>5.5</v>
      </c>
      <c r="H7" s="227"/>
      <c r="I7" s="223"/>
      <c r="J7" s="224"/>
      <c r="K7" s="142" t="s">
        <v>219</v>
      </c>
      <c r="L7" s="68" t="s">
        <v>220</v>
      </c>
      <c r="M7" s="222"/>
      <c r="S7" s="4"/>
      <c r="T7" s="4"/>
      <c r="U7" s="4"/>
      <c r="V7" s="4"/>
      <c r="W7" s="4"/>
      <c r="AF7" s="4"/>
      <c r="AI7" s="4"/>
      <c r="AK7" s="4"/>
      <c r="AL7" s="4"/>
    </row>
    <row r="8" spans="1:38" x14ac:dyDescent="0.25">
      <c r="A8" s="155" t="s">
        <v>221</v>
      </c>
      <c r="B8" s="220">
        <v>30</v>
      </c>
      <c r="C8" s="86" t="s">
        <v>0</v>
      </c>
      <c r="D8" s="86" t="s">
        <v>1</v>
      </c>
      <c r="E8" s="86" t="s">
        <v>2</v>
      </c>
      <c r="F8" s="68">
        <v>9427727930</v>
      </c>
      <c r="G8" s="228">
        <v>5</v>
      </c>
      <c r="H8" s="227">
        <v>43216</v>
      </c>
      <c r="I8" s="225">
        <v>4.75</v>
      </c>
      <c r="J8" s="224">
        <v>43216</v>
      </c>
      <c r="K8" s="142" t="s">
        <v>222</v>
      </c>
      <c r="L8" s="68" t="s">
        <v>223</v>
      </c>
      <c r="M8" s="222" t="s">
        <v>224</v>
      </c>
      <c r="N8" s="4">
        <v>2</v>
      </c>
      <c r="O8" t="s">
        <v>225</v>
      </c>
      <c r="S8" s="4">
        <v>2</v>
      </c>
      <c r="T8" s="4">
        <v>25</v>
      </c>
      <c r="U8" s="4">
        <v>71</v>
      </c>
      <c r="V8" s="4">
        <v>56</v>
      </c>
      <c r="W8" s="4">
        <v>470</v>
      </c>
      <c r="Z8" t="s">
        <v>226</v>
      </c>
      <c r="AA8">
        <v>750</v>
      </c>
      <c r="AB8" t="s">
        <v>227</v>
      </c>
      <c r="AD8">
        <v>870</v>
      </c>
      <c r="AF8" s="4" t="s">
        <v>228</v>
      </c>
      <c r="AG8" t="s">
        <v>229</v>
      </c>
      <c r="AH8" t="s">
        <v>230</v>
      </c>
      <c r="AI8" s="4">
        <v>2</v>
      </c>
      <c r="AJ8" t="s">
        <v>231</v>
      </c>
      <c r="AK8" s="4" t="s">
        <v>212</v>
      </c>
      <c r="AL8" s="4">
        <v>6</v>
      </c>
    </row>
    <row r="9" spans="1:38" x14ac:dyDescent="0.25">
      <c r="A9" s="155"/>
      <c r="B9" s="220">
        <v>32</v>
      </c>
      <c r="C9" s="86" t="s">
        <v>34</v>
      </c>
      <c r="D9" s="86" t="s">
        <v>232</v>
      </c>
      <c r="E9" s="86" t="s">
        <v>36</v>
      </c>
      <c r="F9" s="68" t="s">
        <v>233</v>
      </c>
      <c r="G9" s="226">
        <v>5.5</v>
      </c>
      <c r="H9" s="227">
        <v>44751</v>
      </c>
      <c r="I9" s="223">
        <v>5</v>
      </c>
      <c r="J9" s="224">
        <v>44501</v>
      </c>
      <c r="K9" s="142" t="s">
        <v>219</v>
      </c>
      <c r="L9" s="86" t="s">
        <v>234</v>
      </c>
      <c r="M9" s="86"/>
      <c r="S9" s="4"/>
      <c r="T9" s="4"/>
      <c r="U9" s="4"/>
      <c r="V9" s="4"/>
      <c r="W9" s="4"/>
      <c r="Z9" t="s">
        <v>235</v>
      </c>
      <c r="AA9">
        <v>1250</v>
      </c>
      <c r="AB9" t="s">
        <v>236</v>
      </c>
      <c r="AD9">
        <v>1100</v>
      </c>
      <c r="AF9" s="4"/>
      <c r="AI9" s="4"/>
      <c r="AK9" s="4"/>
      <c r="AL9" s="4"/>
    </row>
    <row r="10" spans="1:38" x14ac:dyDescent="0.25">
      <c r="A10" s="158" t="s">
        <v>237</v>
      </c>
      <c r="B10" s="220">
        <v>33</v>
      </c>
      <c r="C10" s="86" t="s">
        <v>28</v>
      </c>
      <c r="D10" s="86" t="s">
        <v>29</v>
      </c>
      <c r="E10" s="86" t="s">
        <v>30</v>
      </c>
      <c r="F10" s="68">
        <v>9909918018</v>
      </c>
      <c r="G10" s="236">
        <v>5.5</v>
      </c>
      <c r="H10" s="237">
        <v>44957</v>
      </c>
      <c r="I10" s="287">
        <v>5.25</v>
      </c>
      <c r="J10" s="259">
        <v>44659</v>
      </c>
      <c r="K10" s="142" t="s">
        <v>219</v>
      </c>
      <c r="L10" s="86" t="s">
        <v>238</v>
      </c>
      <c r="M10" s="86"/>
      <c r="N10" s="4">
        <v>3</v>
      </c>
      <c r="O10" t="s">
        <v>239</v>
      </c>
      <c r="Q10" s="4">
        <v>27</v>
      </c>
      <c r="S10" s="4">
        <v>3</v>
      </c>
      <c r="T10" s="4">
        <v>23</v>
      </c>
      <c r="U10" s="4">
        <v>74</v>
      </c>
      <c r="V10" s="4">
        <v>56</v>
      </c>
      <c r="W10" s="4">
        <v>450</v>
      </c>
      <c r="Z10" t="s">
        <v>240</v>
      </c>
      <c r="AB10" t="s">
        <v>241</v>
      </c>
      <c r="AC10">
        <v>870</v>
      </c>
      <c r="AD10" t="e">
        <f>AC10/AA10</f>
        <v>#DIV/0!</v>
      </c>
      <c r="AF10" s="4" t="s">
        <v>242</v>
      </c>
      <c r="AI10" s="4">
        <v>3</v>
      </c>
      <c r="AK10" s="4"/>
      <c r="AL10" s="4"/>
    </row>
    <row r="11" spans="1:38" x14ac:dyDescent="0.25">
      <c r="A11" s="158"/>
      <c r="B11" s="220">
        <v>34</v>
      </c>
      <c r="C11" s="86" t="s">
        <v>243</v>
      </c>
      <c r="D11" s="86" t="s">
        <v>244</v>
      </c>
      <c r="E11" s="86" t="s">
        <v>245</v>
      </c>
      <c r="F11" s="68">
        <v>9824902600</v>
      </c>
      <c r="G11" s="236">
        <v>5.5</v>
      </c>
      <c r="I11" s="287"/>
      <c r="J11" s="259"/>
      <c r="K11" s="142" t="s">
        <v>222</v>
      </c>
      <c r="L11" s="86"/>
      <c r="M11" s="86"/>
      <c r="S11" s="4"/>
      <c r="T11" s="4"/>
      <c r="U11" s="4"/>
      <c r="V11" s="4"/>
      <c r="W11" s="4"/>
      <c r="AF11" s="4"/>
      <c r="AI11" s="4"/>
      <c r="AK11" s="4"/>
      <c r="AL11" s="4"/>
    </row>
    <row r="12" spans="1:38" x14ac:dyDescent="0.25">
      <c r="A12" s="155" t="s">
        <v>181</v>
      </c>
      <c r="B12" s="220">
        <v>35</v>
      </c>
      <c r="C12" s="86" t="s">
        <v>60</v>
      </c>
      <c r="D12" s="86" t="s">
        <v>61</v>
      </c>
      <c r="E12" s="86" t="s">
        <v>62</v>
      </c>
      <c r="F12" s="68">
        <v>9374108737</v>
      </c>
      <c r="I12" s="225">
        <v>4.25</v>
      </c>
      <c r="J12" s="224">
        <v>43384</v>
      </c>
      <c r="K12" s="173" t="s">
        <v>246</v>
      </c>
      <c r="L12" s="274" t="s">
        <v>247</v>
      </c>
      <c r="M12" s="222"/>
      <c r="N12" s="4">
        <v>4</v>
      </c>
      <c r="O12" t="s">
        <v>225</v>
      </c>
      <c r="S12" s="4">
        <v>4</v>
      </c>
      <c r="T12" s="4">
        <v>28.5</v>
      </c>
      <c r="U12" s="4">
        <v>60</v>
      </c>
      <c r="V12" s="4">
        <v>58.5</v>
      </c>
      <c r="W12" s="4">
        <v>480</v>
      </c>
      <c r="Y12" t="s">
        <v>248</v>
      </c>
      <c r="Z12" t="s">
        <v>249</v>
      </c>
      <c r="AB12" t="s">
        <v>250</v>
      </c>
      <c r="AF12" s="4" t="s">
        <v>251</v>
      </c>
      <c r="AI12" s="4">
        <v>4</v>
      </c>
      <c r="AK12" s="4"/>
      <c r="AL12" s="4"/>
    </row>
    <row r="13" spans="1:38" x14ac:dyDescent="0.25">
      <c r="A13" s="158" t="s">
        <v>200</v>
      </c>
      <c r="B13" s="220">
        <v>36</v>
      </c>
      <c r="C13" s="86" t="s">
        <v>252</v>
      </c>
      <c r="D13" s="86" t="s">
        <v>253</v>
      </c>
      <c r="E13" s="86"/>
      <c r="F13" s="68"/>
      <c r="G13" s="226">
        <v>5.5</v>
      </c>
      <c r="H13" s="227">
        <v>44680</v>
      </c>
      <c r="I13" s="223">
        <v>4.75</v>
      </c>
      <c r="J13" s="224">
        <v>44409</v>
      </c>
      <c r="K13" s="142" t="s">
        <v>222</v>
      </c>
      <c r="L13" s="86" t="s">
        <v>254</v>
      </c>
      <c r="M13" s="86"/>
      <c r="N13" s="4">
        <v>5</v>
      </c>
      <c r="O13" t="s">
        <v>225</v>
      </c>
      <c r="S13" s="4">
        <v>5</v>
      </c>
      <c r="T13" s="4">
        <v>24</v>
      </c>
      <c r="U13" s="4">
        <v>60</v>
      </c>
      <c r="V13" s="4">
        <v>51</v>
      </c>
      <c r="W13" s="4">
        <v>380</v>
      </c>
      <c r="Y13" t="s">
        <v>248</v>
      </c>
      <c r="Z13" t="s">
        <v>255</v>
      </c>
      <c r="AA13">
        <v>0.25</v>
      </c>
      <c r="AB13" t="s">
        <v>256</v>
      </c>
      <c r="AF13" s="4" t="s">
        <v>257</v>
      </c>
      <c r="AG13" t="s">
        <v>258</v>
      </c>
      <c r="AH13" t="s">
        <v>108</v>
      </c>
      <c r="AI13" s="4">
        <v>5</v>
      </c>
      <c r="AK13" s="4"/>
      <c r="AL13" s="4"/>
    </row>
    <row r="14" spans="1:38" x14ac:dyDescent="0.25">
      <c r="A14" s="156"/>
      <c r="B14" s="220">
        <v>38</v>
      </c>
      <c r="C14" s="86" t="s">
        <v>67</v>
      </c>
      <c r="D14" s="86" t="s">
        <v>68</v>
      </c>
      <c r="E14" s="86" t="s">
        <v>69</v>
      </c>
      <c r="F14" s="68" t="s">
        <v>259</v>
      </c>
      <c r="G14" s="236">
        <v>6</v>
      </c>
      <c r="I14" s="225"/>
      <c r="J14" s="224"/>
      <c r="K14" s="68" t="s">
        <v>203</v>
      </c>
      <c r="L14" s="274" t="s">
        <v>260</v>
      </c>
      <c r="M14" s="222"/>
      <c r="N14" s="4">
        <v>6</v>
      </c>
      <c r="S14" s="4">
        <v>6</v>
      </c>
      <c r="T14" s="4">
        <v>27</v>
      </c>
      <c r="U14" s="4">
        <v>74</v>
      </c>
      <c r="V14" s="4">
        <v>54</v>
      </c>
      <c r="W14" s="4">
        <v>505</v>
      </c>
      <c r="Z14" t="s">
        <v>261</v>
      </c>
      <c r="AA14" t="s">
        <v>261</v>
      </c>
      <c r="AF14" s="4" t="s">
        <v>262</v>
      </c>
      <c r="AG14" t="s">
        <v>263</v>
      </c>
      <c r="AH14" t="s">
        <v>264</v>
      </c>
      <c r="AK14" s="4"/>
      <c r="AL14" s="4"/>
    </row>
    <row r="15" spans="1:38" x14ac:dyDescent="0.25">
      <c r="A15" s="156"/>
      <c r="B15" s="220">
        <v>40</v>
      </c>
      <c r="C15" s="86" t="s">
        <v>73</v>
      </c>
      <c r="D15" s="86" t="s">
        <v>74</v>
      </c>
      <c r="E15" s="86" t="s">
        <v>75</v>
      </c>
      <c r="F15" s="68" t="s">
        <v>265</v>
      </c>
      <c r="G15" s="236">
        <v>5.25</v>
      </c>
      <c r="H15" s="237">
        <v>44635</v>
      </c>
      <c r="I15" s="287">
        <v>5</v>
      </c>
      <c r="J15" s="259">
        <v>44569</v>
      </c>
      <c r="K15" s="68" t="s">
        <v>266</v>
      </c>
      <c r="L15" s="86" t="s">
        <v>267</v>
      </c>
      <c r="M15" s="86"/>
      <c r="N15" s="4">
        <v>7</v>
      </c>
      <c r="S15" s="4">
        <v>7</v>
      </c>
      <c r="T15" s="4">
        <v>26</v>
      </c>
      <c r="U15" s="4">
        <v>71</v>
      </c>
      <c r="V15" s="4">
        <v>55</v>
      </c>
      <c r="W15" s="4">
        <v>470</v>
      </c>
      <c r="Z15" t="s">
        <v>268</v>
      </c>
      <c r="AB15" t="s">
        <v>269</v>
      </c>
      <c r="AD15">
        <v>600</v>
      </c>
      <c r="AF15" s="4" t="s">
        <v>270</v>
      </c>
      <c r="AG15" t="s">
        <v>271</v>
      </c>
      <c r="AH15" t="s">
        <v>272</v>
      </c>
      <c r="AK15" s="4"/>
      <c r="AL15" s="4"/>
    </row>
    <row r="16" spans="1:38" x14ac:dyDescent="0.25">
      <c r="B16" s="220">
        <v>41</v>
      </c>
      <c r="C16" s="86" t="s">
        <v>79</v>
      </c>
      <c r="D16" s="86" t="s">
        <v>80</v>
      </c>
      <c r="E16" s="86" t="s">
        <v>81</v>
      </c>
      <c r="F16" s="68" t="s">
        <v>273</v>
      </c>
      <c r="G16" s="228">
        <v>5.75</v>
      </c>
      <c r="H16" s="237">
        <v>44635</v>
      </c>
      <c r="I16" s="225">
        <v>5</v>
      </c>
      <c r="J16" s="224">
        <v>44075</v>
      </c>
      <c r="K16" s="142" t="s">
        <v>203</v>
      </c>
      <c r="L16" s="86" t="s">
        <v>274</v>
      </c>
      <c r="M16" s="86"/>
      <c r="N16" s="4">
        <v>8</v>
      </c>
      <c r="O16" t="s">
        <v>275</v>
      </c>
      <c r="Q16" s="4">
        <v>60</v>
      </c>
      <c r="S16" s="4"/>
      <c r="T16" s="4"/>
      <c r="U16" s="4"/>
      <c r="V16" s="4"/>
      <c r="Z16" t="s">
        <v>276</v>
      </c>
      <c r="AB16" t="s">
        <v>277</v>
      </c>
      <c r="AD16">
        <v>600</v>
      </c>
      <c r="AF16" s="4" t="s">
        <v>278</v>
      </c>
      <c r="AG16" t="s">
        <v>279</v>
      </c>
      <c r="AK16" s="4"/>
      <c r="AL16" s="4"/>
    </row>
    <row r="17" spans="2:38" x14ac:dyDescent="0.25">
      <c r="B17" s="220">
        <v>42</v>
      </c>
      <c r="C17" s="86" t="s">
        <v>11</v>
      </c>
      <c r="D17" s="86" t="s">
        <v>12</v>
      </c>
      <c r="E17" s="86" t="s">
        <v>13</v>
      </c>
      <c r="F17" s="68">
        <v>9825118843</v>
      </c>
      <c r="G17" s="226">
        <v>5</v>
      </c>
      <c r="H17" s="227">
        <v>44020</v>
      </c>
      <c r="I17" s="232">
        <v>4.5</v>
      </c>
      <c r="J17" s="233">
        <v>43284</v>
      </c>
      <c r="K17" s="142" t="s">
        <v>222</v>
      </c>
      <c r="L17" s="86" t="s">
        <v>280</v>
      </c>
      <c r="M17" s="86"/>
      <c r="N17" s="4">
        <v>9</v>
      </c>
      <c r="O17" t="s">
        <v>281</v>
      </c>
      <c r="T17" s="4">
        <v>28</v>
      </c>
      <c r="U17" s="4">
        <v>75</v>
      </c>
      <c r="V17" s="4"/>
      <c r="X17" t="s">
        <v>282</v>
      </c>
      <c r="Y17" t="s">
        <v>283</v>
      </c>
      <c r="Z17" t="s">
        <v>284</v>
      </c>
      <c r="AA17">
        <v>700</v>
      </c>
      <c r="AB17" t="s">
        <v>285</v>
      </c>
      <c r="AD17">
        <v>600</v>
      </c>
      <c r="AF17" s="4" t="s">
        <v>286</v>
      </c>
      <c r="AG17" t="s">
        <v>287</v>
      </c>
      <c r="AK17" s="4"/>
      <c r="AL17" s="4"/>
    </row>
    <row r="18" spans="2:38" x14ac:dyDescent="0.25">
      <c r="B18" s="220">
        <v>43</v>
      </c>
      <c r="C18" s="86" t="s">
        <v>288</v>
      </c>
      <c r="D18" s="86" t="s">
        <v>289</v>
      </c>
      <c r="E18" s="86"/>
      <c r="F18" s="68"/>
      <c r="G18" s="236">
        <v>5.5</v>
      </c>
      <c r="H18" s="237">
        <v>44659</v>
      </c>
      <c r="I18" s="223">
        <v>5</v>
      </c>
      <c r="J18" s="224">
        <v>44594</v>
      </c>
      <c r="K18" s="142" t="s">
        <v>222</v>
      </c>
      <c r="L18" s="86" t="s">
        <v>290</v>
      </c>
      <c r="M18" s="86"/>
      <c r="V18" s="4"/>
      <c r="X18" s="171">
        <v>45310</v>
      </c>
      <c r="AF18" s="4"/>
      <c r="AK18" s="4"/>
      <c r="AL18" s="4"/>
    </row>
    <row r="19" spans="2:38" ht="20.100000000000001" customHeight="1" x14ac:dyDescent="0.25">
      <c r="B19" s="220">
        <v>44</v>
      </c>
      <c r="C19" s="86" t="s">
        <v>291</v>
      </c>
      <c r="D19" s="86" t="s">
        <v>292</v>
      </c>
      <c r="E19" s="86"/>
      <c r="F19" s="68">
        <v>8780464871</v>
      </c>
      <c r="G19" s="228">
        <v>5</v>
      </c>
      <c r="H19" s="227">
        <v>44075</v>
      </c>
      <c r="I19" s="232"/>
      <c r="J19" s="235"/>
      <c r="K19" s="68"/>
      <c r="L19" s="86"/>
      <c r="M19" s="86"/>
      <c r="N19" s="4">
        <v>10</v>
      </c>
      <c r="O19" t="s">
        <v>293</v>
      </c>
      <c r="S19" t="s">
        <v>194</v>
      </c>
      <c r="T19" t="s">
        <v>97</v>
      </c>
      <c r="V19" s="4"/>
      <c r="AB19" t="s">
        <v>294</v>
      </c>
      <c r="AC19" t="s">
        <v>295</v>
      </c>
      <c r="AD19" s="275">
        <v>44420</v>
      </c>
      <c r="AE19" s="7" t="s">
        <v>296</v>
      </c>
      <c r="AF19" s="4" t="s">
        <v>297</v>
      </c>
      <c r="AG19" t="s">
        <v>298</v>
      </c>
      <c r="AK19" s="4"/>
    </row>
    <row r="20" spans="2:38" ht="30" customHeight="1" x14ac:dyDescent="0.25">
      <c r="B20" s="220">
        <v>45</v>
      </c>
      <c r="C20" s="86" t="s">
        <v>6</v>
      </c>
      <c r="D20" s="86" t="s">
        <v>7</v>
      </c>
      <c r="E20" s="86" t="s">
        <v>8</v>
      </c>
      <c r="F20" s="68" t="s">
        <v>299</v>
      </c>
      <c r="G20" s="228">
        <v>4.5</v>
      </c>
      <c r="H20" s="227">
        <v>43983</v>
      </c>
      <c r="I20" s="232">
        <v>4.75</v>
      </c>
      <c r="J20" s="233" t="s">
        <v>300</v>
      </c>
      <c r="K20" s="68" t="s">
        <v>203</v>
      </c>
      <c r="L20" s="86" t="s">
        <v>301</v>
      </c>
      <c r="M20" s="86" t="s">
        <v>302</v>
      </c>
      <c r="N20" s="4">
        <v>11</v>
      </c>
      <c r="O20" t="s">
        <v>303</v>
      </c>
      <c r="S20">
        <v>2000</v>
      </c>
      <c r="T20">
        <v>6300</v>
      </c>
      <c r="V20" s="4"/>
    </row>
    <row r="21" spans="2:38" ht="33" customHeight="1" x14ac:dyDescent="0.25">
      <c r="B21" s="220">
        <v>46</v>
      </c>
      <c r="C21" s="86" t="s">
        <v>64</v>
      </c>
      <c r="D21" s="86" t="s">
        <v>65</v>
      </c>
      <c r="E21" s="86" t="s">
        <v>66</v>
      </c>
      <c r="F21" s="68"/>
      <c r="G21" s="236" t="s">
        <v>304</v>
      </c>
      <c r="H21" s="237">
        <v>44179</v>
      </c>
      <c r="I21" s="225"/>
      <c r="J21" s="224"/>
      <c r="K21" s="68" t="s">
        <v>203</v>
      </c>
      <c r="L21" s="68"/>
      <c r="M21" s="222"/>
      <c r="N21" s="4">
        <v>12</v>
      </c>
      <c r="O21" s="256" t="s">
        <v>97</v>
      </c>
      <c r="S21" t="s">
        <v>305</v>
      </c>
      <c r="T21" t="s">
        <v>306</v>
      </c>
      <c r="AA21" s="170" t="s">
        <v>307</v>
      </c>
    </row>
    <row r="22" spans="2:38" x14ac:dyDescent="0.25">
      <c r="B22" s="220">
        <v>47</v>
      </c>
      <c r="C22" s="86" t="s">
        <v>308</v>
      </c>
      <c r="D22" s="86" t="s">
        <v>309</v>
      </c>
      <c r="E22" s="86"/>
      <c r="F22" s="68"/>
      <c r="G22" s="236" t="s">
        <v>310</v>
      </c>
      <c r="I22" s="225"/>
      <c r="J22" s="224"/>
      <c r="K22" s="68" t="s">
        <v>203</v>
      </c>
      <c r="L22" s="68" t="s">
        <v>311</v>
      </c>
      <c r="M22" s="222"/>
      <c r="O22" s="256"/>
      <c r="AA22" s="170"/>
    </row>
    <row r="23" spans="2:38" x14ac:dyDescent="0.25">
      <c r="B23" s="220">
        <v>48</v>
      </c>
      <c r="C23" s="86" t="s">
        <v>76</v>
      </c>
      <c r="D23" s="86" t="s">
        <v>77</v>
      </c>
      <c r="E23" s="86"/>
      <c r="F23" s="68" t="s">
        <v>312</v>
      </c>
      <c r="G23" s="226">
        <v>4.7</v>
      </c>
      <c r="H23" s="227">
        <v>44001</v>
      </c>
      <c r="I23" s="232">
        <v>4.25</v>
      </c>
      <c r="J23" s="235">
        <v>43500</v>
      </c>
      <c r="K23" s="68" t="s">
        <v>266</v>
      </c>
      <c r="L23" s="86"/>
      <c r="M23" s="86" t="s">
        <v>313</v>
      </c>
      <c r="AB23" s="170"/>
      <c r="AC23" s="170"/>
      <c r="AD23" s="170"/>
      <c r="AE23" s="170"/>
    </row>
    <row r="24" spans="2:38" x14ac:dyDescent="0.25">
      <c r="B24" s="220">
        <v>49</v>
      </c>
      <c r="C24" s="86" t="s">
        <v>314</v>
      </c>
      <c r="D24" s="86" t="s">
        <v>315</v>
      </c>
      <c r="E24" s="86"/>
      <c r="F24" s="68"/>
      <c r="G24" s="226"/>
      <c r="H24" s="227"/>
      <c r="I24" s="232"/>
      <c r="J24" s="235"/>
      <c r="K24" s="68"/>
      <c r="L24" s="86" t="s">
        <v>316</v>
      </c>
      <c r="M24" s="86"/>
      <c r="AB24" s="170"/>
      <c r="AC24" s="170"/>
      <c r="AD24" s="170"/>
      <c r="AE24" s="170"/>
    </row>
    <row r="25" spans="2:38" x14ac:dyDescent="0.25">
      <c r="B25" s="220">
        <v>50</v>
      </c>
      <c r="C25" s="86" t="s">
        <v>317</v>
      </c>
      <c r="D25" s="86" t="s">
        <v>102</v>
      </c>
      <c r="E25" s="86" t="s">
        <v>103</v>
      </c>
      <c r="F25" s="68" t="s">
        <v>318</v>
      </c>
      <c r="G25" s="242">
        <v>4.75</v>
      </c>
      <c r="H25" s="227">
        <v>44204</v>
      </c>
      <c r="I25" s="234">
        <v>4.5</v>
      </c>
      <c r="J25" s="235">
        <v>43922</v>
      </c>
      <c r="K25" s="142" t="s">
        <v>222</v>
      </c>
      <c r="L25" s="86" t="s">
        <v>319</v>
      </c>
      <c r="M25" s="86" t="s">
        <v>320</v>
      </c>
      <c r="Z25" t="s">
        <v>321</v>
      </c>
    </row>
    <row r="26" spans="2:38" x14ac:dyDescent="0.25">
      <c r="B26" s="3">
        <v>51</v>
      </c>
      <c r="C26" s="86" t="s">
        <v>322</v>
      </c>
      <c r="D26" s="4" t="s">
        <v>323</v>
      </c>
      <c r="E26" s="86" t="s">
        <v>324</v>
      </c>
      <c r="F26" s="4">
        <v>9586763650</v>
      </c>
      <c r="G26" s="228">
        <v>6</v>
      </c>
      <c r="I26" s="232"/>
      <c r="J26" s="259"/>
      <c r="K26" s="68"/>
      <c r="L26" s="86" t="s">
        <v>325</v>
      </c>
      <c r="M26" s="86"/>
    </row>
    <row r="27" spans="2:38" x14ac:dyDescent="0.25">
      <c r="B27" s="220">
        <v>52</v>
      </c>
      <c r="C27" s="86" t="s">
        <v>326</v>
      </c>
      <c r="D27" s="86" t="s">
        <v>327</v>
      </c>
      <c r="E27" s="86"/>
      <c r="F27" s="68"/>
      <c r="G27" s="228">
        <v>5.6</v>
      </c>
      <c r="H27" s="227">
        <v>44663</v>
      </c>
      <c r="I27" s="225">
        <v>5.0999999999999996</v>
      </c>
      <c r="J27" s="224">
        <v>44136</v>
      </c>
      <c r="K27" s="142" t="s">
        <v>219</v>
      </c>
      <c r="L27" s="68"/>
      <c r="M27" s="222"/>
      <c r="Z27" t="s">
        <v>206</v>
      </c>
      <c r="AB27" t="s">
        <v>207</v>
      </c>
    </row>
    <row r="28" spans="2:38" x14ac:dyDescent="0.25">
      <c r="B28" s="3">
        <v>53</v>
      </c>
      <c r="C28" t="s">
        <v>98</v>
      </c>
      <c r="D28" s="4" t="s">
        <v>99</v>
      </c>
      <c r="E28" t="s">
        <v>100</v>
      </c>
      <c r="F28" s="4">
        <v>9824814223</v>
      </c>
      <c r="G28" s="228">
        <v>5</v>
      </c>
      <c r="H28" s="237">
        <v>44063</v>
      </c>
      <c r="I28" s="232">
        <v>4.5</v>
      </c>
      <c r="J28" s="259">
        <v>43715</v>
      </c>
      <c r="K28" s="68" t="s">
        <v>328</v>
      </c>
      <c r="L28" s="86"/>
      <c r="M28" s="86"/>
      <c r="Z28" t="s">
        <v>226</v>
      </c>
      <c r="AB28" t="s">
        <v>227</v>
      </c>
    </row>
    <row r="29" spans="2:38" x14ac:dyDescent="0.25">
      <c r="B29" s="220">
        <v>54</v>
      </c>
      <c r="C29" s="86" t="s">
        <v>329</v>
      </c>
      <c r="D29" s="86" t="s">
        <v>330</v>
      </c>
      <c r="E29" s="86"/>
      <c r="F29" s="68"/>
      <c r="G29" s="226">
        <v>5</v>
      </c>
      <c r="H29" s="227">
        <v>44303</v>
      </c>
      <c r="I29" s="232"/>
      <c r="J29" s="233"/>
      <c r="K29" s="68" t="s">
        <v>328</v>
      </c>
      <c r="L29" s="86"/>
      <c r="M29" s="86"/>
      <c r="Z29" t="s">
        <v>235</v>
      </c>
      <c r="AB29" t="s">
        <v>236</v>
      </c>
    </row>
    <row r="30" spans="2:38" ht="24" x14ac:dyDescent="0.25">
      <c r="B30" s="68">
        <v>55</v>
      </c>
      <c r="C30" s="86" t="s">
        <v>104</v>
      </c>
      <c r="D30" s="86" t="s">
        <v>105</v>
      </c>
      <c r="E30" s="86" t="s">
        <v>106</v>
      </c>
      <c r="F30" s="68" t="s">
        <v>331</v>
      </c>
      <c r="G30" s="242">
        <v>4.75</v>
      </c>
      <c r="H30" s="227">
        <v>44470</v>
      </c>
      <c r="I30" s="234" t="s">
        <v>332</v>
      </c>
      <c r="J30" s="235">
        <v>43922</v>
      </c>
      <c r="K30" s="174" t="s">
        <v>333</v>
      </c>
      <c r="L30" s="86" t="s">
        <v>334</v>
      </c>
      <c r="M30" s="86" t="s">
        <v>320</v>
      </c>
      <c r="Z30" t="s">
        <v>240</v>
      </c>
      <c r="AB30" t="s">
        <v>241</v>
      </c>
    </row>
    <row r="31" spans="2:38" x14ac:dyDescent="0.25">
      <c r="B31" s="220">
        <v>56</v>
      </c>
      <c r="C31" s="86" t="s">
        <v>335</v>
      </c>
      <c r="D31" s="86" t="s">
        <v>336</v>
      </c>
      <c r="E31" s="86"/>
      <c r="F31" s="68"/>
      <c r="G31" s="226"/>
      <c r="H31" s="227"/>
      <c r="I31" s="232"/>
      <c r="J31" s="233"/>
      <c r="K31" s="68" t="s">
        <v>203</v>
      </c>
      <c r="L31" s="86"/>
      <c r="M31" s="86"/>
      <c r="Z31" t="s">
        <v>249</v>
      </c>
      <c r="AB31" t="s">
        <v>250</v>
      </c>
    </row>
    <row r="32" spans="2:38" x14ac:dyDescent="0.25">
      <c r="B32" s="220">
        <v>57</v>
      </c>
      <c r="C32" s="86" t="s">
        <v>337</v>
      </c>
      <c r="D32" s="86" t="s">
        <v>338</v>
      </c>
      <c r="E32" s="86"/>
      <c r="F32" s="68"/>
      <c r="G32" s="226">
        <v>5.75</v>
      </c>
      <c r="H32" s="227">
        <v>45390</v>
      </c>
      <c r="I32" s="232"/>
      <c r="J32" s="233"/>
      <c r="K32" s="68"/>
      <c r="L32" s="86" t="s">
        <v>339</v>
      </c>
      <c r="M32" s="86"/>
    </row>
    <row r="33" spans="2:28" x14ac:dyDescent="0.25">
      <c r="B33" s="220">
        <v>60</v>
      </c>
      <c r="C33" s="86" t="s">
        <v>70</v>
      </c>
      <c r="D33" s="86" t="s">
        <v>71</v>
      </c>
      <c r="E33" s="86" t="s">
        <v>72</v>
      </c>
      <c r="F33" s="68" t="s">
        <v>340</v>
      </c>
      <c r="I33" s="225">
        <v>4.75</v>
      </c>
      <c r="J33" s="224">
        <v>44306</v>
      </c>
      <c r="K33" s="142" t="s">
        <v>222</v>
      </c>
      <c r="L33" s="222" t="s">
        <v>341</v>
      </c>
      <c r="M33" s="86"/>
    </row>
    <row r="34" spans="2:28" x14ac:dyDescent="0.25">
      <c r="B34" s="220">
        <v>65</v>
      </c>
      <c r="C34" s="86" t="s">
        <v>56</v>
      </c>
      <c r="D34" s="86" t="s">
        <v>57</v>
      </c>
      <c r="E34" s="86" t="s">
        <v>58</v>
      </c>
      <c r="F34" s="68" t="s">
        <v>342</v>
      </c>
      <c r="G34" s="228">
        <v>5.5</v>
      </c>
      <c r="H34" s="227">
        <v>44986</v>
      </c>
      <c r="I34" s="228">
        <v>5.25</v>
      </c>
      <c r="J34" s="227">
        <v>44659</v>
      </c>
      <c r="K34" s="68" t="s">
        <v>266</v>
      </c>
      <c r="L34" s="222" t="s">
        <v>343</v>
      </c>
      <c r="M34" s="86"/>
      <c r="Z34" t="s">
        <v>255</v>
      </c>
      <c r="AB34" t="s">
        <v>256</v>
      </c>
    </row>
    <row r="35" spans="2:28" x14ac:dyDescent="0.25">
      <c r="B35" s="220">
        <v>70</v>
      </c>
      <c r="C35" s="86" t="s">
        <v>107</v>
      </c>
      <c r="D35" s="86" t="s">
        <v>108</v>
      </c>
      <c r="E35" s="86" t="s">
        <v>109</v>
      </c>
      <c r="F35" s="68" t="s">
        <v>344</v>
      </c>
      <c r="G35" s="228">
        <v>6.25</v>
      </c>
      <c r="H35" s="227">
        <v>44668</v>
      </c>
      <c r="I35" s="225">
        <v>5.75</v>
      </c>
      <c r="J35" s="224">
        <v>43983</v>
      </c>
      <c r="K35" s="142" t="s">
        <v>222</v>
      </c>
      <c r="L35" s="86" t="s">
        <v>345</v>
      </c>
      <c r="M35" s="86" t="s">
        <v>346</v>
      </c>
      <c r="Z35" t="s">
        <v>97</v>
      </c>
    </row>
    <row r="36" spans="2:28" x14ac:dyDescent="0.25">
      <c r="B36" s="220">
        <v>71</v>
      </c>
      <c r="C36" s="86" t="s">
        <v>347</v>
      </c>
      <c r="D36" s="86" t="s">
        <v>348</v>
      </c>
      <c r="E36" s="86"/>
      <c r="F36" s="68"/>
      <c r="G36" s="228">
        <v>5.5</v>
      </c>
      <c r="H36" s="227"/>
      <c r="I36" s="225"/>
      <c r="J36" s="225"/>
      <c r="K36" s="68" t="s">
        <v>266</v>
      </c>
      <c r="L36" s="86" t="s">
        <v>349</v>
      </c>
      <c r="M36" s="86"/>
    </row>
    <row r="37" spans="2:28" x14ac:dyDescent="0.25">
      <c r="B37" s="220">
        <v>72</v>
      </c>
      <c r="C37" s="86" t="s">
        <v>85</v>
      </c>
      <c r="D37" s="86" t="s">
        <v>86</v>
      </c>
      <c r="E37" s="86" t="s">
        <v>87</v>
      </c>
      <c r="F37" s="68"/>
      <c r="G37" s="236">
        <v>5.25</v>
      </c>
      <c r="H37" s="237">
        <v>44648</v>
      </c>
      <c r="I37" s="287">
        <v>5</v>
      </c>
      <c r="J37" s="259">
        <v>44501</v>
      </c>
      <c r="K37" s="68" t="s">
        <v>266</v>
      </c>
      <c r="L37" s="86"/>
      <c r="M37" s="86" t="s">
        <v>350</v>
      </c>
      <c r="W37" s="4"/>
      <c r="Z37" t="s">
        <v>268</v>
      </c>
      <c r="AB37" t="s">
        <v>269</v>
      </c>
    </row>
    <row r="38" spans="2:28" x14ac:dyDescent="0.25">
      <c r="B38" s="220">
        <v>73</v>
      </c>
      <c r="C38" s="86" t="s">
        <v>110</v>
      </c>
      <c r="D38" s="86"/>
      <c r="E38" s="86" t="s">
        <v>111</v>
      </c>
      <c r="F38" s="221" t="s">
        <v>351</v>
      </c>
      <c r="G38" s="243">
        <v>5.4</v>
      </c>
      <c r="H38" s="244"/>
      <c r="I38" s="232"/>
      <c r="J38" s="233"/>
      <c r="K38" s="68"/>
      <c r="L38" s="86"/>
      <c r="M38" s="86"/>
      <c r="Z38" t="s">
        <v>276</v>
      </c>
      <c r="AB38" t="s">
        <v>277</v>
      </c>
    </row>
    <row r="39" spans="2:28" x14ac:dyDescent="0.25">
      <c r="B39" s="220">
        <v>74</v>
      </c>
      <c r="C39" s="86" t="s">
        <v>352</v>
      </c>
      <c r="D39" s="86" t="s">
        <v>353</v>
      </c>
      <c r="E39" s="86"/>
      <c r="F39" s="68"/>
      <c r="G39" s="228">
        <v>5.75</v>
      </c>
      <c r="H39" s="227">
        <v>44786</v>
      </c>
      <c r="I39" s="232">
        <v>5</v>
      </c>
      <c r="J39" s="232" t="s">
        <v>354</v>
      </c>
      <c r="K39" s="68" t="s">
        <v>203</v>
      </c>
      <c r="L39" s="68" t="s">
        <v>355</v>
      </c>
      <c r="M39" s="222"/>
    </row>
    <row r="40" spans="2:28" x14ac:dyDescent="0.25">
      <c r="B40" s="220">
        <v>75</v>
      </c>
      <c r="C40" s="86" t="s">
        <v>38</v>
      </c>
      <c r="D40" s="86" t="s">
        <v>39</v>
      </c>
      <c r="E40" s="86"/>
      <c r="F40" s="68" t="s">
        <v>356</v>
      </c>
      <c r="G40" s="228">
        <v>5.5</v>
      </c>
      <c r="H40" s="227">
        <v>44637</v>
      </c>
      <c r="I40" s="232">
        <v>5.5</v>
      </c>
      <c r="J40" s="305">
        <v>44637</v>
      </c>
      <c r="K40" s="142" t="s">
        <v>222</v>
      </c>
      <c r="L40" s="86" t="s">
        <v>357</v>
      </c>
      <c r="M40" s="86" t="s">
        <v>358</v>
      </c>
      <c r="Z40" t="s">
        <v>284</v>
      </c>
      <c r="AB40" t="s">
        <v>285</v>
      </c>
    </row>
    <row r="41" spans="2:28" x14ac:dyDescent="0.25">
      <c r="B41" s="68">
        <v>80</v>
      </c>
      <c r="C41" s="86" t="s">
        <v>24</v>
      </c>
      <c r="D41" s="86" t="s">
        <v>25</v>
      </c>
      <c r="E41" s="86"/>
      <c r="F41" s="68" t="s">
        <v>359</v>
      </c>
      <c r="G41" s="228">
        <v>5.5</v>
      </c>
      <c r="H41" s="227">
        <v>44674</v>
      </c>
      <c r="I41" s="232">
        <v>4.5</v>
      </c>
      <c r="J41" s="232" t="s">
        <v>360</v>
      </c>
      <c r="K41" s="142" t="s">
        <v>222</v>
      </c>
      <c r="L41" s="86"/>
      <c r="M41" s="86" t="s">
        <v>361</v>
      </c>
    </row>
    <row r="42" spans="2:28" x14ac:dyDescent="0.25">
      <c r="B42" s="68">
        <v>81</v>
      </c>
      <c r="C42" s="86" t="s">
        <v>112</v>
      </c>
      <c r="D42" s="86" t="s">
        <v>113</v>
      </c>
      <c r="E42" s="86"/>
      <c r="F42" s="68"/>
      <c r="G42" s="228"/>
      <c r="H42" s="227"/>
      <c r="I42" s="232"/>
      <c r="J42" s="232"/>
      <c r="K42" s="142" t="s">
        <v>222</v>
      </c>
      <c r="L42" s="222"/>
      <c r="M42" s="86"/>
    </row>
    <row r="43" spans="2:28" x14ac:dyDescent="0.25">
      <c r="B43" s="68">
        <v>83</v>
      </c>
      <c r="C43" s="86" t="s">
        <v>82</v>
      </c>
      <c r="D43" s="86" t="s">
        <v>83</v>
      </c>
      <c r="E43" s="86"/>
      <c r="F43" s="68">
        <v>9429365856</v>
      </c>
      <c r="G43" s="228">
        <v>5.5</v>
      </c>
      <c r="H43" s="227">
        <v>44695</v>
      </c>
      <c r="I43" s="232">
        <v>5.25</v>
      </c>
      <c r="J43" s="305">
        <v>44550</v>
      </c>
      <c r="K43" s="142" t="s">
        <v>222</v>
      </c>
      <c r="L43" s="86" t="s">
        <v>362</v>
      </c>
      <c r="M43" s="86"/>
    </row>
    <row r="44" spans="2:28" x14ac:dyDescent="0.25">
      <c r="B44" s="68">
        <v>85</v>
      </c>
      <c r="C44" s="86" t="s">
        <v>47</v>
      </c>
      <c r="D44" s="86" t="s">
        <v>48</v>
      </c>
      <c r="E44" s="86" t="s">
        <v>49</v>
      </c>
      <c r="F44" s="68"/>
      <c r="G44" s="228">
        <v>5.5</v>
      </c>
      <c r="H44" s="227">
        <v>44798</v>
      </c>
      <c r="I44" s="225">
        <v>5</v>
      </c>
      <c r="J44" s="224">
        <v>44554</v>
      </c>
      <c r="K44" s="142" t="s">
        <v>222</v>
      </c>
      <c r="L44" s="86" t="s">
        <v>363</v>
      </c>
      <c r="M44" s="86"/>
    </row>
    <row r="45" spans="2:28" x14ac:dyDescent="0.25">
      <c r="B45" s="68">
        <v>86</v>
      </c>
      <c r="C45" s="86" t="s">
        <v>364</v>
      </c>
      <c r="D45" s="86" t="s">
        <v>365</v>
      </c>
      <c r="I45" s="232"/>
      <c r="J45" s="232"/>
      <c r="L45" s="86" t="s">
        <v>366</v>
      </c>
    </row>
    <row r="46" spans="2:28" x14ac:dyDescent="0.25">
      <c r="B46" s="68">
        <v>87</v>
      </c>
      <c r="C46" s="86" t="s">
        <v>367</v>
      </c>
      <c r="D46" s="86" t="s">
        <v>368</v>
      </c>
      <c r="G46" s="236">
        <v>5.5</v>
      </c>
      <c r="I46" s="232"/>
      <c r="J46" s="232"/>
      <c r="K46" s="142" t="s">
        <v>222</v>
      </c>
      <c r="L46" s="86" t="s">
        <v>369</v>
      </c>
    </row>
    <row r="47" spans="2:28" x14ac:dyDescent="0.25">
      <c r="B47" s="68">
        <v>90</v>
      </c>
      <c r="C47" s="86" t="s">
        <v>91</v>
      </c>
      <c r="D47" s="86" t="s">
        <v>92</v>
      </c>
      <c r="E47" s="86" t="s">
        <v>370</v>
      </c>
      <c r="F47" s="68"/>
      <c r="G47" s="228">
        <v>4.75</v>
      </c>
      <c r="H47" s="227">
        <v>44301</v>
      </c>
      <c r="I47" s="232" t="s">
        <v>97</v>
      </c>
      <c r="J47" s="232" t="s">
        <v>97</v>
      </c>
      <c r="K47" s="68" t="s">
        <v>266</v>
      </c>
      <c r="L47" s="222"/>
      <c r="M47" s="86"/>
    </row>
    <row r="48" spans="2:28" x14ac:dyDescent="0.25">
      <c r="B48" s="68">
        <v>92</v>
      </c>
      <c r="C48" s="86" t="s">
        <v>371</v>
      </c>
      <c r="D48" s="86" t="s">
        <v>372</v>
      </c>
      <c r="E48" s="86" t="s">
        <v>373</v>
      </c>
      <c r="F48" s="68"/>
      <c r="G48" s="228">
        <v>6.5</v>
      </c>
      <c r="H48" s="227">
        <v>44994</v>
      </c>
      <c r="I48" s="232"/>
      <c r="J48" s="232"/>
      <c r="K48" s="68"/>
      <c r="L48" s="222"/>
      <c r="M48" s="86"/>
    </row>
    <row r="49" spans="2:18" x14ac:dyDescent="0.25">
      <c r="B49" s="68">
        <v>95</v>
      </c>
      <c r="C49" s="86" t="s">
        <v>51</v>
      </c>
      <c r="D49" s="86" t="s">
        <v>52</v>
      </c>
      <c r="E49" s="86" t="s">
        <v>53</v>
      </c>
      <c r="F49" s="68" t="s">
        <v>374</v>
      </c>
      <c r="G49" s="228">
        <v>4.2</v>
      </c>
      <c r="H49" s="227">
        <v>43121</v>
      </c>
      <c r="I49" s="232" t="s">
        <v>97</v>
      </c>
      <c r="J49" s="232" t="s">
        <v>97</v>
      </c>
      <c r="K49" s="68" t="s">
        <v>266</v>
      </c>
      <c r="L49" s="222" t="s">
        <v>375</v>
      </c>
      <c r="M49" s="86" t="s">
        <v>376</v>
      </c>
      <c r="Q49"/>
      <c r="R49"/>
    </row>
    <row r="50" spans="2:18" x14ac:dyDescent="0.25">
      <c r="B50" s="68">
        <v>94</v>
      </c>
      <c r="C50" s="86" t="s">
        <v>377</v>
      </c>
      <c r="D50" s="86" t="s">
        <v>89</v>
      </c>
      <c r="E50" s="86" t="s">
        <v>90</v>
      </c>
      <c r="F50" s="68">
        <v>9825242471</v>
      </c>
      <c r="G50" s="228">
        <v>5.75</v>
      </c>
      <c r="H50" s="227">
        <v>44659</v>
      </c>
      <c r="I50" s="232">
        <v>5.25</v>
      </c>
      <c r="J50" s="305">
        <v>44550</v>
      </c>
      <c r="K50" s="142" t="s">
        <v>222</v>
      </c>
      <c r="L50" s="222" t="s">
        <v>378</v>
      </c>
      <c r="M50" s="86"/>
      <c r="N50" s="7"/>
    </row>
    <row r="51" spans="2:18" x14ac:dyDescent="0.25">
      <c r="B51" s="68">
        <v>96</v>
      </c>
      <c r="C51" s="86" t="s">
        <v>379</v>
      </c>
      <c r="D51" s="86" t="s">
        <v>380</v>
      </c>
      <c r="E51" s="86"/>
      <c r="F51" s="68"/>
      <c r="G51" s="228"/>
      <c r="H51" s="227"/>
      <c r="I51" s="232"/>
      <c r="J51" s="232"/>
      <c r="K51" s="142"/>
      <c r="L51" s="222"/>
      <c r="M51" s="86"/>
      <c r="N51" s="7"/>
    </row>
    <row r="52" spans="2:18" x14ac:dyDescent="0.25">
      <c r="B52" s="68">
        <v>61</v>
      </c>
      <c r="C52" s="86" t="s">
        <v>20</v>
      </c>
      <c r="D52" s="86" t="s">
        <v>21</v>
      </c>
      <c r="E52" s="86"/>
      <c r="F52" s="68" t="s">
        <v>97</v>
      </c>
      <c r="G52" s="228">
        <v>4</v>
      </c>
      <c r="H52" s="227">
        <v>44075</v>
      </c>
      <c r="I52" s="232" t="s">
        <v>97</v>
      </c>
      <c r="J52" s="232" t="s">
        <v>97</v>
      </c>
      <c r="K52" s="68" t="s">
        <v>203</v>
      </c>
      <c r="L52" s="222"/>
      <c r="M52" s="86"/>
    </row>
    <row r="53" spans="2:18" x14ac:dyDescent="0.25">
      <c r="B53" s="68"/>
      <c r="C53" s="86" t="s">
        <v>114</v>
      </c>
      <c r="D53" s="86" t="s">
        <v>115</v>
      </c>
      <c r="E53" s="86" t="s">
        <v>116</v>
      </c>
      <c r="F53" s="68" t="s">
        <v>381</v>
      </c>
      <c r="G53" s="228">
        <v>4.5</v>
      </c>
      <c r="H53" s="227" t="s">
        <v>360</v>
      </c>
      <c r="I53" s="232" t="s">
        <v>97</v>
      </c>
      <c r="J53" s="232" t="s">
        <v>97</v>
      </c>
      <c r="K53" s="68" t="s">
        <v>203</v>
      </c>
      <c r="L53" s="86" t="s">
        <v>382</v>
      </c>
      <c r="M53" s="86"/>
    </row>
    <row r="54" spans="2:18" x14ac:dyDescent="0.25">
      <c r="B54" s="68">
        <v>31</v>
      </c>
      <c r="C54" s="86" t="s">
        <v>383</v>
      </c>
      <c r="D54" s="86" t="s">
        <v>384</v>
      </c>
      <c r="E54" s="86"/>
      <c r="F54" s="68"/>
      <c r="G54" s="228"/>
      <c r="H54" s="227"/>
      <c r="I54" s="232"/>
      <c r="J54" s="232"/>
      <c r="K54" s="68"/>
      <c r="L54" s="86"/>
      <c r="M54" s="86"/>
    </row>
    <row r="55" spans="2:18" x14ac:dyDescent="0.25">
      <c r="B55" s="4"/>
      <c r="C55" s="7" t="s">
        <v>385</v>
      </c>
      <c r="D55" s="7"/>
      <c r="F55"/>
      <c r="G55" s="245"/>
      <c r="H55" s="246"/>
      <c r="I55" s="232"/>
      <c r="J55" s="232"/>
    </row>
    <row r="56" spans="2:18" x14ac:dyDescent="0.25">
      <c r="F56"/>
      <c r="G56" s="245"/>
      <c r="H56" s="246"/>
      <c r="I56" s="232"/>
      <c r="J56" s="232"/>
    </row>
    <row r="57" spans="2:18" x14ac:dyDescent="0.25">
      <c r="C57" t="s">
        <v>386</v>
      </c>
      <c r="D57" t="s">
        <v>387</v>
      </c>
      <c r="E57" t="s">
        <v>388</v>
      </c>
      <c r="F57" t="s">
        <v>389</v>
      </c>
      <c r="G57" s="245"/>
      <c r="H57" s="246"/>
    </row>
    <row r="58" spans="2:18" x14ac:dyDescent="0.25">
      <c r="B58" s="4">
        <v>1</v>
      </c>
      <c r="F58"/>
      <c r="G58" s="245"/>
      <c r="H58" s="246"/>
    </row>
    <row r="59" spans="2:18" x14ac:dyDescent="0.25">
      <c r="C59" t="s">
        <v>390</v>
      </c>
      <c r="D59" t="s">
        <v>156</v>
      </c>
      <c r="E59" t="s">
        <v>157</v>
      </c>
      <c r="F59" s="4" t="s">
        <v>391</v>
      </c>
      <c r="G59" s="245"/>
      <c r="H59" s="246"/>
    </row>
    <row r="60" spans="2:18" x14ac:dyDescent="0.25">
      <c r="B60" s="4">
        <v>2</v>
      </c>
      <c r="C60" t="s">
        <v>392</v>
      </c>
      <c r="F60" t="s">
        <v>393</v>
      </c>
      <c r="G60" s="245"/>
      <c r="H60" s="246"/>
      <c r="L60" t="s">
        <v>394</v>
      </c>
    </row>
    <row r="61" spans="2:18" x14ac:dyDescent="0.25">
      <c r="C61" t="s">
        <v>395</v>
      </c>
      <c r="F61" t="s">
        <v>396</v>
      </c>
      <c r="G61" s="245"/>
      <c r="H61" s="246"/>
    </row>
    <row r="62" spans="2:18" x14ac:dyDescent="0.25">
      <c r="C62" t="s">
        <v>397</v>
      </c>
      <c r="F62"/>
      <c r="G62" s="245"/>
      <c r="H62" s="246"/>
    </row>
    <row r="63" spans="2:18" x14ac:dyDescent="0.25">
      <c r="C63" t="s">
        <v>398</v>
      </c>
      <c r="F63"/>
      <c r="G63" s="245"/>
      <c r="H63" s="246"/>
    </row>
    <row r="64" spans="2:18" x14ac:dyDescent="0.25">
      <c r="C64" s="152" t="s">
        <v>399</v>
      </c>
      <c r="F64"/>
      <c r="G64" s="245"/>
      <c r="H64" s="246"/>
    </row>
    <row r="65" spans="2:18" x14ac:dyDescent="0.25">
      <c r="C65" s="152"/>
      <c r="F65"/>
      <c r="G65" s="245"/>
      <c r="H65" s="246"/>
    </row>
    <row r="66" spans="2:18" x14ac:dyDescent="0.25">
      <c r="C66" t="s">
        <v>94</v>
      </c>
      <c r="D66" t="s">
        <v>400</v>
      </c>
      <c r="E66" t="s">
        <v>401</v>
      </c>
      <c r="F66" t="s">
        <v>402</v>
      </c>
      <c r="G66" s="245"/>
      <c r="H66" s="246"/>
      <c r="L66" t="s">
        <v>204</v>
      </c>
    </row>
    <row r="67" spans="2:18" x14ac:dyDescent="0.25">
      <c r="B67" s="4">
        <v>3</v>
      </c>
      <c r="C67" t="s">
        <v>403</v>
      </c>
      <c r="F67"/>
      <c r="G67" s="245"/>
      <c r="H67" s="246"/>
    </row>
    <row r="68" spans="2:18" x14ac:dyDescent="0.25">
      <c r="C68" t="s">
        <v>404</v>
      </c>
      <c r="F68"/>
      <c r="G68" s="245"/>
      <c r="H68" s="246"/>
    </row>
    <row r="69" spans="2:18" x14ac:dyDescent="0.25">
      <c r="C69" t="s">
        <v>405</v>
      </c>
      <c r="F69"/>
      <c r="G69" s="245"/>
      <c r="H69" s="246"/>
      <c r="Q69"/>
      <c r="R69"/>
    </row>
    <row r="70" spans="2:18" x14ac:dyDescent="0.25">
      <c r="C70" s="152" t="s">
        <v>406</v>
      </c>
      <c r="F70"/>
      <c r="G70" s="245"/>
      <c r="H70" s="246"/>
      <c r="N70"/>
      <c r="Q70"/>
      <c r="R70"/>
    </row>
    <row r="71" spans="2:18" x14ac:dyDescent="0.25">
      <c r="F71"/>
      <c r="G71" s="245"/>
      <c r="H71" s="246"/>
      <c r="N71"/>
    </row>
    <row r="72" spans="2:18" x14ac:dyDescent="0.25">
      <c r="C72" t="s">
        <v>407</v>
      </c>
      <c r="E72" t="s">
        <v>408</v>
      </c>
      <c r="F72" t="s">
        <v>409</v>
      </c>
      <c r="G72" s="245"/>
      <c r="H72" s="246"/>
    </row>
    <row r="73" spans="2:18" x14ac:dyDescent="0.25">
      <c r="B73">
        <v>4</v>
      </c>
      <c r="C73" t="s">
        <v>410</v>
      </c>
      <c r="E73" t="s">
        <v>411</v>
      </c>
      <c r="F73"/>
      <c r="G73" s="245"/>
      <c r="H73" s="246"/>
    </row>
    <row r="74" spans="2:18" x14ac:dyDescent="0.25">
      <c r="C74" t="s">
        <v>412</v>
      </c>
    </row>
    <row r="75" spans="2:18" x14ac:dyDescent="0.25">
      <c r="C75" t="s">
        <v>413</v>
      </c>
    </row>
  </sheetData>
  <sortState xmlns:xlrd2="http://schemas.microsoft.com/office/spreadsheetml/2017/richdata2" ref="B5:M47">
    <sortCondition ref="B4"/>
  </sortState>
  <customSheetViews>
    <customSheetView guid="{A079800B-DC1B-408F-91C7-3CFEB27825BC}" scale="85" topLeftCell="A25">
      <selection activeCell="E38" sqref="E38"/>
      <pageMargins left="0" right="0" top="0" bottom="0" header="0" footer="0"/>
      <pageSetup paperSize="9" orientation="portrait" verticalDpi="0" r:id="rId1"/>
    </customSheetView>
    <customSheetView guid="{6EFE602B-DDBA-4BA7-94F6-DB3212BD68C7}" scale="85" topLeftCell="A25">
      <selection activeCell="E38" sqref="E38"/>
      <pageMargins left="0" right="0" top="0" bottom="0" header="0" footer="0"/>
      <pageSetup paperSize="9" orientation="portrait" verticalDpi="0" r:id="rId2"/>
    </customSheetView>
  </customSheetViews>
  <hyperlinks>
    <hyperlink ref="C70" r:id="rId3" xr:uid="{00000000-0004-0000-0200-000000000000}"/>
    <hyperlink ref="C64" r:id="rId4" xr:uid="{00000000-0004-0000-0200-000001000000}"/>
    <hyperlink ref="A3" location="Master!C1" display="Party" xr:uid="{00000000-0004-0000-0200-000002000000}"/>
    <hyperlink ref="A4" location="Master!O1" display="Furnace" xr:uid="{00000000-0004-0000-0200-000003000000}"/>
    <hyperlink ref="A8" location="Master!T1" display="Pot" xr:uid="{00000000-0004-0000-0200-000004000000}"/>
    <hyperlink ref="A10" location="Master!Y1" display="Bhadu" xr:uid="{00000000-0004-0000-0200-000005000000}"/>
    <hyperlink ref="A12" location="Master!AD1" display="Cycle" xr:uid="{00000000-0004-0000-0200-000006000000}"/>
    <hyperlink ref="A13" location="Master!AG1" display="Vehical" xr:uid="{00000000-0004-0000-0200-000007000000}"/>
  </hyperlinks>
  <pageMargins left="0.7" right="0.7" top="0.75" bottom="0.75" header="0.3" footer="0.3"/>
  <pageSetup paperSize="9" orientation="portrait" r:id="rId5"/>
  <headerFooter>
    <oddFooter>&amp;L_x000D_&amp;1#&amp;"Calibri"&amp;8&amp;K000000 Classified as Confidential</oddFooter>
  </headerFooter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0066"/>
  </sheetPr>
  <dimension ref="A1:X1024"/>
  <sheetViews>
    <sheetView zoomScale="70" zoomScaleNormal="70" workbookViewId="0">
      <selection activeCell="C7" sqref="C7"/>
    </sheetView>
  </sheetViews>
  <sheetFormatPr defaultColWidth="9.42578125" defaultRowHeight="15" x14ac:dyDescent="0.25"/>
  <cols>
    <col min="1" max="1" width="7.42578125" style="9" customWidth="1"/>
    <col min="2" max="4" width="6.42578125" style="9" customWidth="1"/>
    <col min="5" max="5" width="9.42578125" style="9" customWidth="1"/>
    <col min="6" max="6" width="7.42578125" style="9" customWidth="1"/>
    <col min="7" max="7" width="4.42578125" style="9" customWidth="1"/>
    <col min="8" max="8" width="7.42578125" style="9" customWidth="1"/>
    <col min="9" max="11" width="6.42578125" style="9" customWidth="1"/>
    <col min="12" max="12" width="9.42578125" style="9" customWidth="1"/>
    <col min="13" max="13" width="7.42578125" style="9" customWidth="1"/>
    <col min="14" max="14" width="3.42578125" style="9" customWidth="1"/>
    <col min="15" max="15" width="7.42578125" style="9" customWidth="1"/>
    <col min="16" max="18" width="6.42578125" style="9" customWidth="1"/>
    <col min="19" max="19" width="9.42578125" style="9" customWidth="1"/>
    <col min="20" max="20" width="7.42578125" style="9" customWidth="1"/>
    <col min="21" max="16384" width="9.42578125" style="9"/>
  </cols>
  <sheetData>
    <row r="1" spans="1:22" ht="20.100000000000001" customHeight="1" x14ac:dyDescent="0.25">
      <c r="E1" s="9" t="s">
        <v>414</v>
      </c>
      <c r="G1" s="88"/>
      <c r="N1" s="88"/>
    </row>
    <row r="2" spans="1:22" ht="24" customHeight="1" x14ac:dyDescent="0.25">
      <c r="A2" s="72"/>
      <c r="B2" s="72"/>
      <c r="C2" s="570" t="s">
        <v>415</v>
      </c>
      <c r="D2" s="570"/>
      <c r="E2" s="73"/>
      <c r="F2" s="73"/>
      <c r="G2" s="89"/>
      <c r="H2" s="10"/>
      <c r="I2" s="571" t="s">
        <v>416</v>
      </c>
      <c r="J2" s="571"/>
      <c r="K2" s="571"/>
      <c r="L2" s="10"/>
      <c r="M2" s="11"/>
      <c r="N2" s="89"/>
      <c r="O2" s="12"/>
      <c r="P2" s="12"/>
      <c r="Q2" s="572" t="s">
        <v>417</v>
      </c>
      <c r="R2" s="572"/>
      <c r="S2" s="12"/>
      <c r="T2" s="12"/>
      <c r="V2"/>
    </row>
    <row r="3" spans="1:22" ht="15.75" x14ac:dyDescent="0.25">
      <c r="A3" s="72"/>
      <c r="B3" s="72"/>
      <c r="C3" s="13"/>
      <c r="D3" s="13"/>
      <c r="E3" s="73"/>
      <c r="F3" s="73"/>
      <c r="G3" s="89"/>
      <c r="H3" s="10"/>
      <c r="I3" s="13"/>
      <c r="J3" s="13" t="s">
        <v>418</v>
      </c>
      <c r="K3" s="13" t="s">
        <v>419</v>
      </c>
      <c r="L3" s="10" t="s">
        <v>420</v>
      </c>
      <c r="M3" s="11" t="s">
        <v>421</v>
      </c>
      <c r="N3" s="89"/>
      <c r="O3" s="12"/>
      <c r="P3" s="12"/>
      <c r="Q3" s="14" t="s">
        <v>418</v>
      </c>
      <c r="R3" s="15" t="s">
        <v>419</v>
      </c>
      <c r="S3" s="166" t="s">
        <v>422</v>
      </c>
      <c r="T3" s="167"/>
      <c r="U3" s="87" t="s">
        <v>97</v>
      </c>
      <c r="V3"/>
    </row>
    <row r="4" spans="1:22" x14ac:dyDescent="0.25">
      <c r="A4" s="16"/>
      <c r="B4" s="17">
        <v>9</v>
      </c>
      <c r="C4" s="18">
        <f>U17+1</f>
        <v>44851</v>
      </c>
      <c r="D4" s="19" t="str">
        <f>IFERROR(VLOOKUP(B4&amp;C4,LDB,25,0),"EMPTY")</f>
        <v>EMPTY</v>
      </c>
      <c r="E4" s="20"/>
      <c r="F4" s="20"/>
      <c r="G4" s="89"/>
      <c r="H4" s="21"/>
      <c r="I4" s="22">
        <v>9</v>
      </c>
      <c r="J4" s="23">
        <f>U17</f>
        <v>44850</v>
      </c>
      <c r="K4" s="24" t="str">
        <f>IFERROR(VLOOKUP(I4&amp;J4,LDB,25,0),"EMPTY")</f>
        <v>EMPTY</v>
      </c>
      <c r="L4" s="50" t="str">
        <f>IFERROR(VLOOKUP($I4&amp;$J4,LDB,26,0),"EMPTY")</f>
        <v>EMPTY</v>
      </c>
      <c r="M4" s="165" t="str">
        <f>IFERROR(VLOOKUP($I4&amp;$J4,LDB,27,0),"EMPTY")</f>
        <v>EMPTY</v>
      </c>
      <c r="N4" s="89"/>
      <c r="O4" s="25"/>
      <c r="P4" s="26">
        <v>9</v>
      </c>
      <c r="Q4" s="127">
        <f>$U17-1</f>
        <v>44849</v>
      </c>
      <c r="R4" s="128" t="str">
        <f>IFERROR(VLOOKUP($P4&amp;$Q4,LDB,29,0),"EMPTY")</f>
        <v>EMPTY</v>
      </c>
      <c r="S4" s="50" t="str">
        <f>IFERROR(VLOOKUP($P4&amp;$Q4,LDB,29,0),"EMPTY")</f>
        <v>EMPTY</v>
      </c>
      <c r="T4" s="51" t="str">
        <f>IFERROR(VLOOKUP($P4&amp;$Q4,LDB,30,0),"EMPTY")</f>
        <v>EMPTY</v>
      </c>
      <c r="U4"/>
      <c r="V4"/>
    </row>
    <row r="5" spans="1:22" x14ac:dyDescent="0.25">
      <c r="A5" s="27" t="s">
        <v>423</v>
      </c>
      <c r="B5" s="27" t="s">
        <v>424</v>
      </c>
      <c r="C5" s="27" t="s">
        <v>120</v>
      </c>
      <c r="D5" s="27" t="s">
        <v>125</v>
      </c>
      <c r="E5" s="27" t="s">
        <v>425</v>
      </c>
      <c r="F5" s="27" t="s">
        <v>197</v>
      </c>
      <c r="G5" s="89"/>
      <c r="H5" s="28" t="s">
        <v>423</v>
      </c>
      <c r="I5" s="28" t="s">
        <v>424</v>
      </c>
      <c r="J5" s="28" t="s">
        <v>120</v>
      </c>
      <c r="K5" s="28" t="s">
        <v>125</v>
      </c>
      <c r="L5" s="28" t="s">
        <v>425</v>
      </c>
      <c r="M5" s="28" t="s">
        <v>197</v>
      </c>
      <c r="N5" s="89"/>
      <c r="O5" s="29" t="s">
        <v>423</v>
      </c>
      <c r="P5" s="29"/>
      <c r="Q5" s="29"/>
      <c r="R5" s="29" t="s">
        <v>125</v>
      </c>
      <c r="S5" s="29" t="s">
        <v>425</v>
      </c>
      <c r="T5" s="29" t="s">
        <v>197</v>
      </c>
      <c r="U5"/>
      <c r="V5"/>
    </row>
    <row r="6" spans="1:22" x14ac:dyDescent="0.25">
      <c r="A6" s="69">
        <v>50</v>
      </c>
      <c r="B6" s="69">
        <f>IFERROR(VLOOKUP($A6,Loading,2,FALSE),"")</f>
        <v>12</v>
      </c>
      <c r="C6" s="69" t="str">
        <f>IFERROR(VLOOKUP($A6,Loading,5,FALSE),"")</f>
        <v>BHARAT</v>
      </c>
      <c r="D6" s="69">
        <f>IFERROR(VLOOKUP($A6,Loading,6,FALSE),"")</f>
        <v>16.5</v>
      </c>
      <c r="E6" s="70" t="str">
        <f>IFERROR(VLOOKUP($A6,Loading,4,FALSE),"")</f>
        <v>340701/O</v>
      </c>
      <c r="F6" s="71" t="str">
        <f>IFERROR(VLOOKUP($A6,Loading,7,FALSE),"")</f>
        <v>EN31</v>
      </c>
      <c r="G6" s="89"/>
      <c r="H6" s="30" t="str">
        <f>IFERROR(VLOOKUP($I4&amp;$J4,LDB,2,0),"")</f>
        <v/>
      </c>
      <c r="I6" s="30" t="str">
        <f>IFERROR(VLOOKUP($H6,Loading,2,FALSE),"")</f>
        <v/>
      </c>
      <c r="J6" s="30" t="str">
        <f>IFERROR(VLOOKUP($H$6,Loading,5,FALSE),"")</f>
        <v/>
      </c>
      <c r="K6" s="30" t="str">
        <f>IFERROR(VLOOKUP($H6,Loading,6,FALSE),"")</f>
        <v/>
      </c>
      <c r="L6" s="31" t="str">
        <f>IFERROR(VLOOKUP($H6,Loading,4,FALSE),"")</f>
        <v/>
      </c>
      <c r="M6" s="32" t="str">
        <f>IFERROR(VLOOKUP($H6,Loading,7,FALSE),"")</f>
        <v/>
      </c>
      <c r="N6" s="89"/>
      <c r="O6" s="74" t="str">
        <f>IFERROR(VLOOKUP(P4&amp;Q4,LDB,2,0),"")</f>
        <v/>
      </c>
      <c r="P6" s="30"/>
      <c r="Q6" s="30"/>
      <c r="R6" s="30" t="str">
        <f>IFERROR(VLOOKUP($O6,Loading,6,FALSE),"")</f>
        <v/>
      </c>
      <c r="S6" s="31" t="str">
        <f>IFERROR(VLOOKUP($O6,Loading,4,FALSE),"")</f>
        <v/>
      </c>
      <c r="T6" s="32" t="str">
        <f>IFERROR(VLOOKUP($O6,Loading,7,FALSE),"")</f>
        <v/>
      </c>
      <c r="U6"/>
      <c r="V6"/>
    </row>
    <row r="7" spans="1:22" x14ac:dyDescent="0.25">
      <c r="A7" s="30" t="s">
        <v>97</v>
      </c>
      <c r="B7" s="69">
        <f>IFERROR(VLOOKUP($A6,Loading,2,FALSE),"")</f>
        <v>12</v>
      </c>
      <c r="C7" s="69">
        <f>IFERROR(VLOOKUP($A6,Loading,9,FALSE),"")</f>
        <v>84</v>
      </c>
      <c r="D7" s="69">
        <f>IFERROR(VLOOKUP($A6,Loading,10,FALSE),"")</f>
        <v>0</v>
      </c>
      <c r="E7" s="69">
        <f>IFERROR(VLOOKUP($A6,Loading,8,FALSE),"")</f>
        <v>2015</v>
      </c>
      <c r="F7" s="71" t="str">
        <f>IFERROR(VLOOKUP($A6,Loading,11,FALSE),"")</f>
        <v/>
      </c>
      <c r="G7" s="89"/>
      <c r="H7" s="30" t="s">
        <v>97</v>
      </c>
      <c r="I7" s="30" t="str">
        <f>IFERROR(VLOOKUP($H6,Loading,2,FALSE),"")</f>
        <v/>
      </c>
      <c r="J7" s="30" t="str">
        <f>IFERROR(VLOOKUP($H6,Loading,9,FALSE),"")</f>
        <v/>
      </c>
      <c r="K7" s="30" t="str">
        <f>IFERROR(VLOOKUP($H6,Loading,10,FALSE),"")</f>
        <v/>
      </c>
      <c r="L7" s="30" t="str">
        <f>IFERROR(VLOOKUP($H6,Loading,8,FALSE),"")</f>
        <v/>
      </c>
      <c r="M7" s="32" t="str">
        <f>IFERROR(VLOOKUP($H6,Loading,11,FALSE),"")</f>
        <v/>
      </c>
      <c r="N7" s="89"/>
      <c r="O7" s="34" t="str">
        <f>O6</f>
        <v/>
      </c>
      <c r="P7" s="30"/>
      <c r="Q7" s="30"/>
      <c r="R7" s="30" t="str">
        <f>IFERROR(VLOOKUP($O6,Loading,10,FALSE),"")</f>
        <v/>
      </c>
      <c r="S7" s="30" t="str">
        <f>IFERROR(VLOOKUP($O6,Loading,8,FALSE),"")</f>
        <v/>
      </c>
      <c r="T7" s="32" t="str">
        <f>IFERROR(VLOOKUP($O6,Loading,11,FALSE),"")</f>
        <v/>
      </c>
      <c r="U7"/>
      <c r="V7"/>
    </row>
    <row r="8" spans="1:22" x14ac:dyDescent="0.25">
      <c r="A8" s="30"/>
      <c r="B8" s="69">
        <f>IFERROR(VLOOKUP($A6,Loading,2,FALSE),"")</f>
        <v>12</v>
      </c>
      <c r="C8" s="69" t="str">
        <f>IFERROR(VLOOKUP($A6,Loading,13,FALSE),"")</f>
        <v/>
      </c>
      <c r="D8" s="69" t="str">
        <f>IFERROR(VLOOKUP($A6,Loading,14,FALSE),"")</f>
        <v/>
      </c>
      <c r="E8" s="69" t="str">
        <f>IFERROR(VLOOKUP($A6,Loading,12,FALSE),"")</f>
        <v/>
      </c>
      <c r="F8" s="71">
        <f>IFERROR(VLOOKUP($A6,Loading,15,FALSE),"")</f>
        <v>0</v>
      </c>
      <c r="G8" s="89"/>
      <c r="H8" s="30"/>
      <c r="I8" s="30" t="str">
        <f>IFERROR(VLOOKUP($H6,Loading,2,FALSE),"")</f>
        <v/>
      </c>
      <c r="J8" s="30" t="str">
        <f>IFERROR(VLOOKUP($H6,Loading,13,FALSE),"")</f>
        <v/>
      </c>
      <c r="K8" s="30" t="str">
        <f>IFERROR(VLOOKUP($H6,Loading,14,FALSE),"")</f>
        <v/>
      </c>
      <c r="L8" s="30" t="str">
        <f>IFERROR(VLOOKUP($H6,Loading,12,FALSE),"")</f>
        <v/>
      </c>
      <c r="M8" s="32" t="str">
        <f>IFERROR(VLOOKUP($H6,Loading,15,FALSE),"")</f>
        <v/>
      </c>
      <c r="N8" s="89"/>
      <c r="O8" s="34" t="str">
        <f>O6</f>
        <v/>
      </c>
      <c r="P8" s="30"/>
      <c r="Q8" s="30"/>
      <c r="R8" s="30" t="str">
        <f>IFERROR(VLOOKUP($O6,Loading,14,FALSE),"")</f>
        <v/>
      </c>
      <c r="S8" s="30" t="str">
        <f>IFERROR(VLOOKUP($O6,Loading,12,FALSE),"")</f>
        <v/>
      </c>
      <c r="T8" s="32" t="str">
        <f>IFERROR(VLOOKUP($O6,Loading,15,FALSE),"")</f>
        <v/>
      </c>
      <c r="U8"/>
      <c r="V8"/>
    </row>
    <row r="9" spans="1:22" x14ac:dyDescent="0.25">
      <c r="A9" s="35"/>
      <c r="B9" s="36"/>
      <c r="C9" s="37"/>
      <c r="D9" s="37"/>
      <c r="E9" s="38" t="s">
        <v>150</v>
      </c>
      <c r="F9" s="39">
        <f>SUM(F6:F8)</f>
        <v>0</v>
      </c>
      <c r="G9" s="89"/>
      <c r="H9" s="40"/>
      <c r="I9" s="41"/>
      <c r="J9" s="42"/>
      <c r="K9" s="42"/>
      <c r="L9" s="43" t="s">
        <v>150</v>
      </c>
      <c r="M9" s="44">
        <f>SUM(M6:M8)</f>
        <v>0</v>
      </c>
      <c r="N9" s="89"/>
      <c r="O9" s="45"/>
      <c r="P9" s="46"/>
      <c r="Q9" s="47"/>
      <c r="R9" s="47"/>
      <c r="S9" s="48" t="s">
        <v>150</v>
      </c>
      <c r="T9" s="49">
        <f>SUM(T6:T8)</f>
        <v>0</v>
      </c>
      <c r="U9"/>
      <c r="V9"/>
    </row>
    <row r="10" spans="1:22" x14ac:dyDescent="0.25">
      <c r="A10" s="16"/>
      <c r="B10" s="16"/>
      <c r="C10" s="20"/>
      <c r="D10" s="20"/>
      <c r="E10" s="20"/>
      <c r="F10" s="20"/>
      <c r="G10" s="89"/>
      <c r="H10" s="21"/>
      <c r="I10" s="13"/>
      <c r="J10" s="13" t="s">
        <v>418</v>
      </c>
      <c r="K10" s="13" t="s">
        <v>419</v>
      </c>
      <c r="L10" s="10" t="s">
        <v>420</v>
      </c>
      <c r="M10" s="11" t="s">
        <v>421</v>
      </c>
      <c r="N10" s="89"/>
      <c r="O10" s="25"/>
      <c r="P10" s="25"/>
      <c r="Q10" s="14"/>
      <c r="R10" s="15" t="s">
        <v>419</v>
      </c>
      <c r="S10" s="166" t="s">
        <v>422</v>
      </c>
      <c r="T10" s="167"/>
      <c r="U10"/>
      <c r="V10"/>
    </row>
    <row r="11" spans="1:22" x14ac:dyDescent="0.25">
      <c r="A11" s="16"/>
      <c r="B11" s="17">
        <v>10</v>
      </c>
      <c r="C11" s="18">
        <f>U17+1</f>
        <v>44851</v>
      </c>
      <c r="D11" s="19" t="str">
        <f>IFERROR(VLOOKUP(B11&amp;C11,LDB,25,0),"EMPTY")</f>
        <v>EMPTY</v>
      </c>
      <c r="E11" s="20"/>
      <c r="F11" s="20"/>
      <c r="G11" s="89"/>
      <c r="H11" s="21"/>
      <c r="I11" s="22">
        <v>10</v>
      </c>
      <c r="J11" s="23">
        <f>U17</f>
        <v>44850</v>
      </c>
      <c r="K11" s="24"/>
      <c r="L11" s="50" t="str">
        <f>IFERROR(VLOOKUP($I11&amp;$J11,LDB,26,0),"EMPTY")</f>
        <v>EMPTY</v>
      </c>
      <c r="M11" s="165" t="str">
        <f>IFERROR(VLOOKUP($I11&amp;$J11,LDB,27,0),"EMPTY")</f>
        <v>EMPTY</v>
      </c>
      <c r="N11" s="89"/>
      <c r="O11" s="25"/>
      <c r="P11" s="26">
        <v>10</v>
      </c>
      <c r="Q11" s="50"/>
      <c r="R11" s="51" t="str">
        <f>IFERROR(VLOOKUP(P11&amp;Q11,LDB,25,0),"EMPTY")</f>
        <v>EMPTY</v>
      </c>
      <c r="S11" s="127" t="str">
        <f>IFERROR(VLOOKUP($P11&amp;$Q11,LDB,29,0),"EMPTY")</f>
        <v>EMPTY</v>
      </c>
      <c r="T11" s="128" t="str">
        <f>IFERROR(VLOOKUP($P11&amp;$Q11,LDB,30,0),"EMPTY")</f>
        <v>EMPTY</v>
      </c>
      <c r="U11"/>
      <c r="V11"/>
    </row>
    <row r="12" spans="1:22" x14ac:dyDescent="0.25">
      <c r="A12" s="27" t="s">
        <v>423</v>
      </c>
      <c r="B12" s="27" t="s">
        <v>424</v>
      </c>
      <c r="C12" s="27" t="s">
        <v>120</v>
      </c>
      <c r="D12" s="27" t="s">
        <v>125</v>
      </c>
      <c r="E12" s="27" t="s">
        <v>425</v>
      </c>
      <c r="F12" s="27" t="s">
        <v>197</v>
      </c>
      <c r="G12" s="89"/>
      <c r="H12" s="28" t="s">
        <v>423</v>
      </c>
      <c r="I12" s="28" t="s">
        <v>424</v>
      </c>
      <c r="J12" s="28" t="s">
        <v>120</v>
      </c>
      <c r="K12" s="28"/>
      <c r="L12" s="28" t="s">
        <v>425</v>
      </c>
      <c r="M12" s="28" t="s">
        <v>197</v>
      </c>
      <c r="N12" s="89"/>
      <c r="O12" s="29" t="s">
        <v>423</v>
      </c>
      <c r="P12" s="29"/>
      <c r="Q12" s="29"/>
      <c r="R12" s="29" t="s">
        <v>125</v>
      </c>
      <c r="S12" s="29" t="s">
        <v>425</v>
      </c>
      <c r="T12" s="29" t="s">
        <v>197</v>
      </c>
      <c r="U12"/>
      <c r="V12"/>
    </row>
    <row r="13" spans="1:22" x14ac:dyDescent="0.25">
      <c r="A13" s="69" t="str">
        <f>IFERROR(VLOOKUP($B11&amp;$C11,LDB,2,0),"")</f>
        <v/>
      </c>
      <c r="B13" s="69" t="str">
        <f>IFERROR(VLOOKUP($A13,Loading,2,FALSE),"")</f>
        <v/>
      </c>
      <c r="C13" s="69" t="str">
        <f>IFERROR(VLOOKUP($A13,Loading,5,FALSE),"")</f>
        <v/>
      </c>
      <c r="D13" s="69" t="str">
        <f>IFERROR(VLOOKUP($A13,Loading,6,FALSE),"")</f>
        <v/>
      </c>
      <c r="E13" s="70" t="str">
        <f>IFERROR(VLOOKUP($A13,Loading,4,FALSE),"")</f>
        <v/>
      </c>
      <c r="F13" s="71" t="str">
        <f>IFERROR(VLOOKUP($A13,Loading,7,FALSE),"")</f>
        <v/>
      </c>
      <c r="G13" s="89"/>
      <c r="H13" s="30" t="str">
        <f>IFERROR(VLOOKUP($I11&amp;$J11,LDB,2,0),"")</f>
        <v/>
      </c>
      <c r="I13" s="30" t="str">
        <f>IFERROR(VLOOKUP($H13,Loading,2,FALSE),"")</f>
        <v/>
      </c>
      <c r="J13" s="30" t="str">
        <f>IFERROR(VLOOKUP($H13,Loading,5,FALSE),"")</f>
        <v/>
      </c>
      <c r="K13" s="30"/>
      <c r="L13" s="31" t="str">
        <f>IFERROR(VLOOKUP($H13,Loading,4,FALSE),"")</f>
        <v/>
      </c>
      <c r="M13" s="32" t="str">
        <f>IFERROR(VLOOKUP($H13,Loading,7,FALSE),"")</f>
        <v/>
      </c>
      <c r="N13" s="89"/>
      <c r="O13" s="74" t="str">
        <f>IFERROR(VLOOKUP(P11&amp;Q11,LDB,2,0),"")</f>
        <v/>
      </c>
      <c r="P13" s="30"/>
      <c r="Q13" s="30"/>
      <c r="R13" s="30" t="str">
        <f>IFERROR(VLOOKUP($O13,Loading,6,FALSE),"")</f>
        <v/>
      </c>
      <c r="S13" s="31" t="str">
        <f>IFERROR(VLOOKUP($O13,Loading,4,FALSE),"")</f>
        <v/>
      </c>
      <c r="T13" s="32" t="str">
        <f>IFERROR(VLOOKUP($O13,Loading,7,FALSE),"")</f>
        <v/>
      </c>
      <c r="U13"/>
      <c r="V13"/>
    </row>
    <row r="14" spans="1:22" x14ac:dyDescent="0.25">
      <c r="A14" s="30" t="s">
        <v>97</v>
      </c>
      <c r="B14" s="69" t="str">
        <f>IFERROR(VLOOKUP($A13,Loading,2,FALSE),"")</f>
        <v/>
      </c>
      <c r="C14" s="69" t="str">
        <f>IFERROR(VLOOKUP($A13,Loading,9,FALSE),"")</f>
        <v/>
      </c>
      <c r="D14" s="69" t="str">
        <f>IFERROR(VLOOKUP($A13,Loading,10,FALSE),"")</f>
        <v/>
      </c>
      <c r="E14" s="69" t="str">
        <f>IFERROR(VLOOKUP($A13,Loading,8,FALSE),"")</f>
        <v/>
      </c>
      <c r="F14" s="71" t="str">
        <f>IFERROR(VLOOKUP($A13,Loading,11,FALSE),"")</f>
        <v/>
      </c>
      <c r="G14" s="89"/>
      <c r="H14" s="33" t="s">
        <v>97</v>
      </c>
      <c r="I14" s="30" t="str">
        <f>IFERROR(VLOOKUP($H13,Loading,2,FALSE),"")</f>
        <v/>
      </c>
      <c r="J14" s="30" t="str">
        <f>IFERROR(VLOOKUP($H13,Loading,9,FALSE),"")</f>
        <v/>
      </c>
      <c r="K14" s="30"/>
      <c r="L14" s="30" t="str">
        <f>IFERROR(VLOOKUP($H13,Loading,8,FALSE),"")</f>
        <v/>
      </c>
      <c r="M14" s="32" t="str">
        <f>IFERROR(VLOOKUP($H13,Loading,11,FALSE),"")</f>
        <v/>
      </c>
      <c r="N14" s="89"/>
      <c r="O14" s="34" t="str">
        <f>O13</f>
        <v/>
      </c>
      <c r="P14" s="30"/>
      <c r="Q14" s="30"/>
      <c r="R14" s="30" t="str">
        <f>IFERROR(VLOOKUP($O13,Loading,10,FALSE),"")</f>
        <v/>
      </c>
      <c r="S14" s="30" t="str">
        <f>IFERROR(VLOOKUP($O13,Loading,8,FALSE),"")</f>
        <v/>
      </c>
      <c r="T14" s="32" t="str">
        <f>IFERROR(VLOOKUP($O13,Loading,11,FALSE),"")</f>
        <v/>
      </c>
      <c r="U14"/>
      <c r="V14"/>
    </row>
    <row r="15" spans="1:22" x14ac:dyDescent="0.25">
      <c r="A15" s="30"/>
      <c r="B15" s="69" t="str">
        <f>IFERROR(VLOOKUP($A13,Loading,2,FALSE),"")</f>
        <v/>
      </c>
      <c r="C15" s="69" t="str">
        <f>IFERROR(VLOOKUP($A13,Loading,13,FALSE),"")</f>
        <v/>
      </c>
      <c r="D15" s="69" t="str">
        <f>IFERROR(VLOOKUP($A13,Loading,14,FALSE),"")</f>
        <v/>
      </c>
      <c r="E15" s="69" t="str">
        <f>IFERROR(VLOOKUP($A13,Loading,12,FALSE),"")</f>
        <v/>
      </c>
      <c r="F15" s="71" t="str">
        <f>IFERROR(VLOOKUP($A13,Loading,15,FALSE),"")</f>
        <v/>
      </c>
      <c r="G15" s="89"/>
      <c r="H15" s="33"/>
      <c r="I15" s="30" t="str">
        <f>IFERROR(VLOOKUP($H13,Loading,2,FALSE),"")</f>
        <v/>
      </c>
      <c r="J15" s="30" t="str">
        <f>IFERROR(VLOOKUP($H13,Loading,13,FALSE),"")</f>
        <v/>
      </c>
      <c r="K15" s="30"/>
      <c r="L15" s="30" t="str">
        <f>IFERROR(VLOOKUP($H13,Loading,12,FALSE),"")</f>
        <v/>
      </c>
      <c r="M15" s="32" t="str">
        <f>IFERROR(VLOOKUP($H13,Loading,15,FALSE),"")</f>
        <v/>
      </c>
      <c r="N15" s="89"/>
      <c r="O15" s="34" t="str">
        <f>O13</f>
        <v/>
      </c>
      <c r="P15" s="30"/>
      <c r="Q15" s="30"/>
      <c r="R15" s="30" t="str">
        <f>IFERROR(VLOOKUP($O13,Loading,14,FALSE),"")</f>
        <v/>
      </c>
      <c r="S15" s="30" t="str">
        <f>IFERROR(VLOOKUP($O13,Loading,12,FALSE),"")</f>
        <v/>
      </c>
      <c r="T15" s="32" t="str">
        <f>IFERROR(VLOOKUP($O13,Loading,15,FALSE),"")</f>
        <v/>
      </c>
      <c r="U15"/>
      <c r="V15"/>
    </row>
    <row r="16" spans="1:22" x14ac:dyDescent="0.25">
      <c r="A16" s="52"/>
      <c r="B16" s="52"/>
      <c r="C16" s="53"/>
      <c r="D16" s="53"/>
      <c r="E16" s="54" t="s">
        <v>150</v>
      </c>
      <c r="F16" s="55">
        <f>SUM(F13:F15)</f>
        <v>0</v>
      </c>
      <c r="G16" s="89"/>
      <c r="H16" s="56"/>
      <c r="I16" s="56"/>
      <c r="J16" s="57"/>
      <c r="K16" s="57"/>
      <c r="L16" s="58" t="s">
        <v>150</v>
      </c>
      <c r="M16" s="59">
        <f>SUM(M13:M15)</f>
        <v>0</v>
      </c>
      <c r="N16" s="89"/>
      <c r="O16" s="34"/>
      <c r="P16" s="60"/>
      <c r="Q16" s="61"/>
      <c r="R16" s="61"/>
      <c r="S16" s="62" t="s">
        <v>150</v>
      </c>
      <c r="T16" s="63">
        <f>SUM(T13:T15)</f>
        <v>0</v>
      </c>
      <c r="U16"/>
      <c r="V16"/>
    </row>
    <row r="17" spans="1:22" ht="21" x14ac:dyDescent="0.35">
      <c r="A17" s="16"/>
      <c r="B17" s="16"/>
      <c r="C17" s="20"/>
      <c r="D17" s="20"/>
      <c r="E17" s="20"/>
      <c r="F17" s="20"/>
      <c r="G17" s="89"/>
      <c r="H17" s="21"/>
      <c r="I17" s="13"/>
      <c r="J17" s="13" t="s">
        <v>418</v>
      </c>
      <c r="K17" s="13"/>
      <c r="L17" s="10" t="s">
        <v>420</v>
      </c>
      <c r="M17" s="11" t="s">
        <v>421</v>
      </c>
      <c r="N17" s="89"/>
      <c r="O17" s="25"/>
      <c r="P17" s="25"/>
      <c r="Q17" s="14"/>
      <c r="R17" s="15" t="s">
        <v>419</v>
      </c>
      <c r="S17" s="166" t="s">
        <v>426</v>
      </c>
      <c r="T17" s="167"/>
      <c r="U17" s="90">
        <v>44850</v>
      </c>
      <c r="V17"/>
    </row>
    <row r="18" spans="1:22" x14ac:dyDescent="0.25">
      <c r="A18" s="16"/>
      <c r="B18" s="17">
        <v>11</v>
      </c>
      <c r="C18" s="18">
        <f>U17+1</f>
        <v>44851</v>
      </c>
      <c r="D18" s="19" t="str">
        <f>IFERROR(VLOOKUP(B18&amp;C18,LDB,25,0),"EMPTY")</f>
        <v>EMPTY</v>
      </c>
      <c r="E18" s="20"/>
      <c r="F18" s="20"/>
      <c r="G18" s="89"/>
      <c r="H18" s="21"/>
      <c r="I18" s="22">
        <v>11</v>
      </c>
      <c r="J18" s="23">
        <f>U17</f>
        <v>44850</v>
      </c>
      <c r="K18" s="24"/>
      <c r="L18" s="50" t="str">
        <f>IFERROR(VLOOKUP($I18&amp;$J18,LDB,26,0),"EMPTY")</f>
        <v>EMPTY</v>
      </c>
      <c r="M18" s="165" t="str">
        <f>IFERROR(VLOOKUP($I18&amp;$J18,LDB,27,0),"EMPTY")</f>
        <v>EMPTY</v>
      </c>
      <c r="N18" s="89"/>
      <c r="O18" s="25"/>
      <c r="P18" s="26">
        <v>11</v>
      </c>
      <c r="Q18" s="50">
        <f>U17-1</f>
        <v>44849</v>
      </c>
      <c r="R18" s="51" t="str">
        <f>IFERROR(VLOOKUP(P18&amp;Q18,LDB,31,0),"EMPTY")</f>
        <v>EMPTY</v>
      </c>
      <c r="S18" s="127" t="str">
        <f>IFERROR(VLOOKUP($P18&amp;$Q18,LDB,35,0),"EMPTY")</f>
        <v>EMPTY</v>
      </c>
      <c r="T18" s="128" t="str">
        <f>IFERROR(VLOOKUP($P18&amp;$Q18,LDB,36,0),"EMPTY")</f>
        <v>EMPTY</v>
      </c>
      <c r="U18"/>
      <c r="V18"/>
    </row>
    <row r="19" spans="1:22" x14ac:dyDescent="0.25">
      <c r="A19" s="27" t="s">
        <v>423</v>
      </c>
      <c r="B19" s="27" t="s">
        <v>424</v>
      </c>
      <c r="C19" s="27" t="s">
        <v>120</v>
      </c>
      <c r="D19" s="27" t="s">
        <v>125</v>
      </c>
      <c r="E19" s="27" t="s">
        <v>425</v>
      </c>
      <c r="F19" s="27" t="s">
        <v>197</v>
      </c>
      <c r="G19" s="89"/>
      <c r="H19" s="28" t="s">
        <v>423</v>
      </c>
      <c r="I19" s="28" t="s">
        <v>424</v>
      </c>
      <c r="J19" s="28" t="s">
        <v>120</v>
      </c>
      <c r="K19" s="28"/>
      <c r="L19" s="28" t="s">
        <v>425</v>
      </c>
      <c r="M19" s="28" t="s">
        <v>197</v>
      </c>
      <c r="N19" s="89"/>
      <c r="O19" s="29" t="s">
        <v>423</v>
      </c>
      <c r="P19" s="29"/>
      <c r="Q19" s="29"/>
      <c r="R19" s="29" t="s">
        <v>125</v>
      </c>
      <c r="S19" s="29" t="s">
        <v>425</v>
      </c>
      <c r="T19" s="29" t="s">
        <v>197</v>
      </c>
      <c r="U19"/>
      <c r="V19"/>
    </row>
    <row r="20" spans="1:22" x14ac:dyDescent="0.25">
      <c r="A20" s="69" t="str">
        <f>IFERROR(VLOOKUP($B18&amp;$C18,LDB,2,0),"")</f>
        <v/>
      </c>
      <c r="B20" s="69" t="str">
        <f>IFERROR(VLOOKUP($A20,Loading,2,FALSE),"")</f>
        <v/>
      </c>
      <c r="C20" s="69" t="str">
        <f>IFERROR(VLOOKUP($A20,Loading,5,FALSE),"")</f>
        <v/>
      </c>
      <c r="D20" s="69" t="str">
        <f>IFERROR(VLOOKUP($A20,Loading,6,FALSE),"")</f>
        <v/>
      </c>
      <c r="E20" s="70" t="str">
        <f>IFERROR(VLOOKUP($A20,Loading,4,FALSE),"")</f>
        <v/>
      </c>
      <c r="F20" s="71" t="str">
        <f>IFERROR(VLOOKUP($A20,Loading,8,FALSE),"")</f>
        <v/>
      </c>
      <c r="G20" s="89"/>
      <c r="H20" s="69" t="str">
        <f>IFERROR(VLOOKUP($B18&amp;$C18,LDB,2,0),"")</f>
        <v/>
      </c>
      <c r="I20" s="30" t="str">
        <f>IFERROR(VLOOKUP($H20,Loading,2,FALSE),"")</f>
        <v/>
      </c>
      <c r="J20" s="30" t="str">
        <f>IFERROR(VLOOKUP($H20,Loading,5,FALSE),"")</f>
        <v/>
      </c>
      <c r="K20" s="30" t="str">
        <f>IFERROR(VLOOKUP($H20,Loading,6,FALSE),"")</f>
        <v/>
      </c>
      <c r="L20" s="31" t="str">
        <f>IFERROR(VLOOKUP($H20,Loading,4,FALSE),"")</f>
        <v/>
      </c>
      <c r="M20" s="32" t="str">
        <f>IFERROR(VLOOKUP($H20,Loading,8,FALSE),"")</f>
        <v/>
      </c>
      <c r="N20" s="89"/>
      <c r="O20" s="74" t="str">
        <f>IFERROR(VLOOKUP(P18&amp;Q18,LDB,2,0),"")</f>
        <v/>
      </c>
      <c r="P20" s="30" t="str">
        <f>IFERROR(VLOOKUP($O$20,Loading,2,FALSE),"")</f>
        <v/>
      </c>
      <c r="Q20" s="30" t="str">
        <f>IFERROR(VLOOKUP($O20,Loading,5,FALSE),"")</f>
        <v/>
      </c>
      <c r="R20" s="30" t="str">
        <f>IFERROR(VLOOKUP($O20,Loading,6,FALSE),"")</f>
        <v/>
      </c>
      <c r="S20" s="31" t="str">
        <f>IFERROR(VLOOKUP($O20,Loading,4,FALSE),"")</f>
        <v/>
      </c>
      <c r="T20" s="32" t="str">
        <f>IFERROR(VLOOKUP($O20,Loading,8,FALSE),"")</f>
        <v/>
      </c>
      <c r="U20"/>
      <c r="V20"/>
    </row>
    <row r="21" spans="1:22" x14ac:dyDescent="0.25">
      <c r="A21" s="30" t="s">
        <v>97</v>
      </c>
      <c r="B21" s="69" t="str">
        <f>IFERROR(VLOOKUP($A20,Loading,2,FALSE),"")</f>
        <v/>
      </c>
      <c r="C21" s="69" t="str">
        <f>IFERROR(VLOOKUP($A20,Loading,9,FALSE),"")</f>
        <v/>
      </c>
      <c r="D21" s="69" t="str">
        <f>IFERROR(VLOOKUP($A20,Loading,10,FALSE),"")</f>
        <v/>
      </c>
      <c r="E21" s="69" t="str">
        <f>IFERROR(VLOOKUP($A20,Loading,4,FALSE),"")</f>
        <v/>
      </c>
      <c r="F21" s="71" t="str">
        <f>IFERROR(VLOOKUP($A20,Loading,11,FALSE),"")</f>
        <v/>
      </c>
      <c r="G21" s="89"/>
      <c r="H21" s="33" t="s">
        <v>97</v>
      </c>
      <c r="I21" s="30" t="str">
        <f>IFERROR(VLOOKUP($H20,Loading,2,FALSE),"")</f>
        <v/>
      </c>
      <c r="J21" s="30" t="str">
        <f>IFERROR(VLOOKUP($H20,Loading,11,FALSE),"")</f>
        <v/>
      </c>
      <c r="K21" s="30" t="str">
        <f>IFERROR(VLOOKUP($H20,Loading,12,FALSE),"")</f>
        <v/>
      </c>
      <c r="L21" s="30" t="str">
        <f>IFERROR(VLOOKUP($H20,Loading,10,FALSE),"")</f>
        <v/>
      </c>
      <c r="M21" s="32" t="str">
        <f>IFERROR(VLOOKUP($H20,Loading,14,FALSE),"")</f>
        <v/>
      </c>
      <c r="N21" s="89"/>
      <c r="O21" s="34" t="str">
        <f>O20</f>
        <v/>
      </c>
      <c r="P21" s="30" t="str">
        <f>IFERROR(VLOOKUP($O$20,Loading,2,FALSE),"")</f>
        <v/>
      </c>
      <c r="Q21" s="30" t="str">
        <f>IFERROR(VLOOKUP($O21,Loading,11,FALSE),"")</f>
        <v/>
      </c>
      <c r="R21" s="30" t="str">
        <f>IFERROR(VLOOKUP($O20,Loading,12,FALSE),"")</f>
        <v/>
      </c>
      <c r="S21" s="30" t="str">
        <f>IFERROR(VLOOKUP($O20,Loading,10,FALSE),"")</f>
        <v/>
      </c>
      <c r="T21" s="32" t="str">
        <f>IFERROR(VLOOKUP($O20,Loading,14,FALSE),"")</f>
        <v/>
      </c>
      <c r="U21"/>
      <c r="V21"/>
    </row>
    <row r="22" spans="1:22" x14ac:dyDescent="0.25">
      <c r="A22" s="30"/>
      <c r="B22" s="69" t="str">
        <f>IFERROR(VLOOKUP($A20,Loading,2,FALSE),"")</f>
        <v/>
      </c>
      <c r="C22" s="69" t="str">
        <f>IFERROR(VLOOKUP($A20,Loading,13,FALSE),"")</f>
        <v/>
      </c>
      <c r="D22" s="69" t="str">
        <f>IFERROR(VLOOKUP($A20,Loading,14,FALSE),"")</f>
        <v/>
      </c>
      <c r="E22" s="69" t="str">
        <f>IFERROR(VLOOKUP($A20,Loading,12,FALSE),"")</f>
        <v/>
      </c>
      <c r="F22" s="71" t="str">
        <f>IFERROR(VLOOKUP($A20,Loading,15,FALSE),"")</f>
        <v/>
      </c>
      <c r="G22" s="89"/>
      <c r="H22" s="33"/>
      <c r="I22" s="30" t="str">
        <f>IFERROR(VLOOKUP($H20,Loading,2,FALSE),"")</f>
        <v/>
      </c>
      <c r="J22" s="30" t="str">
        <f>IFERROR(VLOOKUP($H20,Loading,17,FALSE),"")</f>
        <v/>
      </c>
      <c r="K22" s="30" t="str">
        <f>IFERROR(VLOOKUP($H20,Loading,12,FALSE),"")</f>
        <v/>
      </c>
      <c r="L22" s="30" t="str">
        <f>IFERROR(VLOOKUP($H20,Loading,16,FALSE),"")</f>
        <v/>
      </c>
      <c r="M22" s="32" t="str">
        <f>IFERROR(VLOOKUP($H20,Loading,20,FALSE),"")</f>
        <v/>
      </c>
      <c r="N22" s="89"/>
      <c r="O22" s="34" t="str">
        <f>O20</f>
        <v/>
      </c>
      <c r="P22" s="30" t="str">
        <f>IFERROR(VLOOKUP($O$20,Loading,2,FALSE),"")</f>
        <v/>
      </c>
      <c r="Q22" s="30" t="str">
        <f>IFERROR(VLOOKUP($O22,Loading,17,FALSE),"")</f>
        <v/>
      </c>
      <c r="R22" s="30" t="str">
        <f>IFERROR(VLOOKUP($O20,Loading,18,FALSE),"")</f>
        <v/>
      </c>
      <c r="S22" s="30" t="str">
        <f>IFERROR(VLOOKUP($O20,Loading,16,FALSE),"")</f>
        <v/>
      </c>
      <c r="T22" s="32" t="str">
        <f>IFERROR(VLOOKUP($O20,Loading,20,FALSE),"")</f>
        <v/>
      </c>
      <c r="U22"/>
      <c r="V22"/>
    </row>
    <row r="23" spans="1:22" x14ac:dyDescent="0.25">
      <c r="A23" s="30"/>
      <c r="B23" s="30"/>
      <c r="C23" s="64"/>
      <c r="D23" s="64"/>
      <c r="E23" s="38" t="s">
        <v>150</v>
      </c>
      <c r="F23" s="39">
        <f>SUM(F20:F22)</f>
        <v>0</v>
      </c>
      <c r="G23" s="89"/>
      <c r="H23" s="33"/>
      <c r="I23" s="33"/>
      <c r="J23" s="65"/>
      <c r="K23" s="65"/>
      <c r="L23" s="43" t="s">
        <v>150</v>
      </c>
      <c r="M23" s="44">
        <f>SUM(M20:M22)</f>
        <v>0</v>
      </c>
      <c r="N23" s="89"/>
      <c r="O23" s="34"/>
      <c r="P23" s="34"/>
      <c r="Q23" s="66"/>
      <c r="R23" s="66"/>
      <c r="S23" s="48" t="s">
        <v>150</v>
      </c>
      <c r="T23" s="49">
        <f>SUM(T20:T22)</f>
        <v>0</v>
      </c>
      <c r="U23"/>
      <c r="V23"/>
    </row>
    <row r="24" spans="1:22" x14ac:dyDescent="0.25">
      <c r="A24" s="16"/>
      <c r="B24" s="16"/>
      <c r="C24" s="20"/>
      <c r="D24" s="20"/>
      <c r="E24" s="20"/>
      <c r="F24" s="20"/>
      <c r="G24" s="89"/>
      <c r="H24" s="21"/>
      <c r="I24" s="13"/>
      <c r="J24" s="13" t="s">
        <v>418</v>
      </c>
      <c r="K24" s="13"/>
      <c r="L24" s="10" t="s">
        <v>420</v>
      </c>
      <c r="M24" s="11" t="s">
        <v>421</v>
      </c>
      <c r="N24" s="89"/>
      <c r="O24" s="25"/>
      <c r="P24" s="25"/>
      <c r="Q24" s="14"/>
      <c r="R24" s="15" t="s">
        <v>419</v>
      </c>
      <c r="S24" s="166" t="s">
        <v>422</v>
      </c>
      <c r="T24" s="167"/>
      <c r="U24"/>
      <c r="V24"/>
    </row>
    <row r="25" spans="1:22" x14ac:dyDescent="0.25">
      <c r="A25" s="16"/>
      <c r="B25" s="17">
        <v>12</v>
      </c>
      <c r="C25" s="18">
        <f>U17+1</f>
        <v>44851</v>
      </c>
      <c r="D25" s="19" t="str">
        <f>IFERROR(VLOOKUP(B25&amp;C25,LDB,25,0),"")</f>
        <v/>
      </c>
      <c r="E25" s="20"/>
      <c r="F25" s="20"/>
      <c r="G25" s="89"/>
      <c r="H25" s="21"/>
      <c r="I25" s="22">
        <v>12</v>
      </c>
      <c r="J25" s="23">
        <f>U17</f>
        <v>44850</v>
      </c>
      <c r="K25" s="24"/>
      <c r="L25" s="50" t="str">
        <f>IFERROR(VLOOKUP($I25&amp;$J25,LDB,30,0),"EMPTY")</f>
        <v>EMPTY</v>
      </c>
      <c r="M25" s="165" t="str">
        <f>IFERROR(VLOOKUP($I25&amp;$J25,LDB,31,0),"EMPTY")</f>
        <v>EMPTY</v>
      </c>
      <c r="N25" s="89"/>
      <c r="O25" s="25"/>
      <c r="P25" s="26">
        <v>12</v>
      </c>
      <c r="Q25" s="50">
        <f>U17-1</f>
        <v>44849</v>
      </c>
      <c r="R25" s="51" t="str">
        <f>IFERROR(VLOOKUP(P25&amp;Q25,LDB,31,0),"EMPTY")</f>
        <v>EMPTY</v>
      </c>
      <c r="S25" s="127" t="str">
        <f>IFERROR(VLOOKUP($P25&amp;$Q25,LDB,35,0),"EMPTY")</f>
        <v>EMPTY</v>
      </c>
      <c r="T25" s="128" t="str">
        <f>IFERROR(VLOOKUP($P25&amp;$Q25,LDB,36,0),"EMPTY")</f>
        <v>EMPTY</v>
      </c>
      <c r="U25"/>
      <c r="V25"/>
    </row>
    <row r="26" spans="1:22" x14ac:dyDescent="0.25">
      <c r="A26" s="27" t="s">
        <v>423</v>
      </c>
      <c r="B26" s="27" t="s">
        <v>424</v>
      </c>
      <c r="C26" s="27" t="s">
        <v>120</v>
      </c>
      <c r="D26" s="27" t="s">
        <v>125</v>
      </c>
      <c r="E26" s="27" t="s">
        <v>425</v>
      </c>
      <c r="F26" s="27" t="s">
        <v>197</v>
      </c>
      <c r="G26" s="89"/>
      <c r="H26" s="28" t="s">
        <v>423</v>
      </c>
      <c r="I26" s="28" t="s">
        <v>424</v>
      </c>
      <c r="J26" s="28" t="s">
        <v>120</v>
      </c>
      <c r="K26" s="28"/>
      <c r="L26" s="28" t="s">
        <v>425</v>
      </c>
      <c r="M26" s="28" t="s">
        <v>197</v>
      </c>
      <c r="N26" s="89"/>
      <c r="O26" s="29" t="s">
        <v>423</v>
      </c>
      <c r="P26" s="29"/>
      <c r="Q26" s="29"/>
      <c r="R26" s="29" t="s">
        <v>125</v>
      </c>
      <c r="S26" s="29" t="s">
        <v>425</v>
      </c>
      <c r="T26" s="29" t="s">
        <v>197</v>
      </c>
      <c r="U26"/>
      <c r="V26"/>
    </row>
    <row r="27" spans="1:22" x14ac:dyDescent="0.25">
      <c r="A27" s="69" t="str">
        <f>IFERROR(VLOOKUP($B25&amp;$C25,LDB,2,0),"")</f>
        <v/>
      </c>
      <c r="B27" s="69" t="str">
        <f>IFERROR(VLOOKUP($A27,Loading,2,FALSE),"")</f>
        <v/>
      </c>
      <c r="C27" s="69" t="str">
        <f>IFERROR(VLOOKUP($A27,Loading,5,FALSE),"")</f>
        <v/>
      </c>
      <c r="D27" s="69" t="str">
        <f>IFERROR(VLOOKUP($A27,Loading,6,FALSE),"")</f>
        <v/>
      </c>
      <c r="E27" s="70" t="str">
        <f>IFERROR(VLOOKUP($A27,Loading,4,FALSE),"")</f>
        <v/>
      </c>
      <c r="F27" s="71" t="str">
        <f>IFERROR(VLOOKUP($A27,Loading,7,FALSE),"")</f>
        <v/>
      </c>
      <c r="G27" s="89"/>
      <c r="H27" s="69" t="str">
        <f>IFERROR(VLOOKUP($B25&amp;$C25,LDB,2,0),"")</f>
        <v/>
      </c>
      <c r="I27" s="30" t="str">
        <f>IFERROR(VLOOKUP($H$27,Loading,2,FALSE),"")</f>
        <v/>
      </c>
      <c r="J27" s="30" t="str">
        <f>IFERROR(VLOOKUP(H27,Loading,5,FALSE),"")</f>
        <v/>
      </c>
      <c r="K27" s="30" t="str">
        <f>IFERROR(VLOOKUP($H27,Loading,6,FALSE),"")</f>
        <v/>
      </c>
      <c r="L27" s="31" t="str">
        <f>IFERROR(VLOOKUP($H27,Loading,4,FALSE),"")</f>
        <v/>
      </c>
      <c r="M27" s="32" t="str">
        <f>IFERROR(VLOOKUP($H27,Loading,8,FALSE),"")</f>
        <v/>
      </c>
      <c r="N27" s="89"/>
      <c r="O27" s="74" t="str">
        <f>IFERROR(VLOOKUP(P25&amp;Q25,LDB,2,0),"")</f>
        <v/>
      </c>
      <c r="P27" s="30" t="str">
        <f>IFERROR(VLOOKUP($O27,Loading,2,FALSE),"")</f>
        <v/>
      </c>
      <c r="Q27" s="30" t="str">
        <f>IFERROR(VLOOKUP($O27,Loading,5,FALSE),"")</f>
        <v/>
      </c>
      <c r="R27" s="30" t="str">
        <f>IFERROR(VLOOKUP($O27,Loading,6,FALSE),"")</f>
        <v/>
      </c>
      <c r="S27" s="31" t="str">
        <f>IFERROR(VLOOKUP($O27,Loading,4,FALSE),"")</f>
        <v/>
      </c>
      <c r="T27" s="32" t="str">
        <f>IFERROR(VLOOKUP($O27,Loading,8,FALSE),"")</f>
        <v/>
      </c>
      <c r="U27"/>
      <c r="V27"/>
    </row>
    <row r="28" spans="1:22" x14ac:dyDescent="0.25">
      <c r="A28" s="30" t="s">
        <v>97</v>
      </c>
      <c r="B28" s="69" t="str">
        <f>IFERROR(VLOOKUP($A27,Loading,2,FALSE),"")</f>
        <v/>
      </c>
      <c r="C28" s="69" t="str">
        <f>IFERROR(VLOOKUP($A27,Loading,9,FALSE),"")</f>
        <v/>
      </c>
      <c r="D28" s="69" t="str">
        <f>IFERROR(VLOOKUP($A27,Loading,10,FALSE),"")</f>
        <v/>
      </c>
      <c r="E28" s="69" t="str">
        <f>IFERROR(VLOOKUP($A27,Loading,8,FALSE),"")</f>
        <v/>
      </c>
      <c r="F28" s="71" t="str">
        <f>IFERROR(VLOOKUP($A27,Loading,11,FALSE),"")</f>
        <v/>
      </c>
      <c r="G28" s="89"/>
      <c r="H28" s="33"/>
      <c r="I28" s="30" t="str">
        <f>IFERROR(VLOOKUP($H27,Loading,2,FALSE),"")</f>
        <v/>
      </c>
      <c r="J28" s="30" t="str">
        <f>IFERROR(VLOOKUP(H27,Loading,11,FALSE),"")</f>
        <v/>
      </c>
      <c r="K28" s="30" t="str">
        <f>IFERROR(VLOOKUP($H27,Loading,12,FALSE),"")</f>
        <v/>
      </c>
      <c r="L28" s="30" t="str">
        <f>IFERROR(VLOOKUP($H27,Loading,10,FALSE),"")</f>
        <v/>
      </c>
      <c r="M28" s="32" t="str">
        <f>IFERROR(VLOOKUP($H27,Loading,14,FALSE),"")</f>
        <v/>
      </c>
      <c r="N28" s="89"/>
      <c r="O28" s="34" t="str">
        <f>O27</f>
        <v/>
      </c>
      <c r="P28" s="30" t="str">
        <f>IFERROR(VLOOKUP($O27,Loading,2,FALSE),"")</f>
        <v/>
      </c>
      <c r="Q28" s="30" t="str">
        <f>IFERROR(VLOOKUP($O28,Loading,11,FALSE),"")</f>
        <v/>
      </c>
      <c r="R28" s="30" t="str">
        <f>IFERROR(VLOOKUP($O27,Loading,12,FALSE),"")</f>
        <v/>
      </c>
      <c r="S28" s="30" t="str">
        <f>IFERROR(VLOOKUP($O27,Loading,10,FALSE),"")</f>
        <v/>
      </c>
      <c r="T28" s="32" t="str">
        <f>IFERROR(VLOOKUP($O27,Loading,14,FALSE),"")</f>
        <v/>
      </c>
      <c r="U28"/>
      <c r="V28"/>
    </row>
    <row r="29" spans="1:22" x14ac:dyDescent="0.25">
      <c r="A29" s="30"/>
      <c r="B29" s="69" t="str">
        <f>IFERROR(VLOOKUP($A27,Loading,2,FALSE),"")</f>
        <v/>
      </c>
      <c r="C29" s="69" t="str">
        <f>IFERROR(VLOOKUP($A27,Loading,13,FALSE),"")</f>
        <v/>
      </c>
      <c r="D29" s="69" t="str">
        <f>IFERROR(VLOOKUP($A27,Loading,14,FALSE),"")</f>
        <v/>
      </c>
      <c r="E29" s="69" t="str">
        <f>IFERROR(VLOOKUP($A27,Loading,12,FALSE),"")</f>
        <v/>
      </c>
      <c r="F29" s="71" t="str">
        <f>IFERROR(VLOOKUP($A27,Loading,15,FALSE),"")</f>
        <v/>
      </c>
      <c r="G29" s="89"/>
      <c r="H29" s="33"/>
      <c r="I29" s="30" t="str">
        <f>IFERROR(VLOOKUP($H27,Loading,2,FALSE),"")</f>
        <v/>
      </c>
      <c r="J29" s="30" t="str">
        <f>IFERROR(VLOOKUP(H27,Loading,17,FALSE),"")</f>
        <v/>
      </c>
      <c r="K29" s="30" t="str">
        <f>IFERROR(VLOOKUP($H27,Loading,18,FALSE),"")</f>
        <v/>
      </c>
      <c r="L29" s="30" t="str">
        <f>IFERROR(VLOOKUP($H27,Loading,16,FALSE),"")</f>
        <v/>
      </c>
      <c r="M29" s="32" t="str">
        <f>IFERROR(VLOOKUP($H27,Loading,20,FALSE),"")</f>
        <v/>
      </c>
      <c r="N29" s="89"/>
      <c r="O29" s="34" t="str">
        <f>O27</f>
        <v/>
      </c>
      <c r="P29" s="30" t="str">
        <f>IFERROR(VLOOKUP($O27,Loading,2,FALSE),"")</f>
        <v/>
      </c>
      <c r="Q29" s="30" t="str">
        <f>IFERROR(VLOOKUP($O29,Loading,17,FALSE),"")</f>
        <v/>
      </c>
      <c r="R29" s="30" t="str">
        <f>IFERROR(VLOOKUP($O27,Loading,18,FALSE),"")</f>
        <v/>
      </c>
      <c r="S29" s="30" t="str">
        <f>IFERROR(VLOOKUP($O27,Loading,16,FALSE),"")</f>
        <v/>
      </c>
      <c r="T29" s="32" t="str">
        <f>IFERROR(VLOOKUP($O27,Loading,20,FALSE),"")</f>
        <v/>
      </c>
      <c r="U29"/>
      <c r="V29"/>
    </row>
    <row r="30" spans="1:22" x14ac:dyDescent="0.25">
      <c r="A30" s="30"/>
      <c r="B30" s="30"/>
      <c r="C30" s="64"/>
      <c r="D30" s="64"/>
      <c r="E30" s="38" t="s">
        <v>150</v>
      </c>
      <c r="F30" s="39">
        <f>SUM(F27:F29)</f>
        <v>0</v>
      </c>
      <c r="G30" s="89"/>
      <c r="H30" s="33"/>
      <c r="I30" s="33"/>
      <c r="J30" s="65"/>
      <c r="K30" s="65"/>
      <c r="L30" s="43" t="s">
        <v>150</v>
      </c>
      <c r="M30" s="44">
        <f>SUM(M27:M29)</f>
        <v>0</v>
      </c>
      <c r="N30" s="89"/>
      <c r="O30" s="34"/>
      <c r="P30" s="34"/>
      <c r="Q30" s="66"/>
      <c r="R30" s="66"/>
      <c r="S30" s="48" t="s">
        <v>150</v>
      </c>
      <c r="T30" s="49">
        <f>SUM(T27:T29)</f>
        <v>0</v>
      </c>
      <c r="U30"/>
      <c r="V30"/>
    </row>
    <row r="31" spans="1:22" x14ac:dyDescent="0.25">
      <c r="A31" s="129"/>
      <c r="B31" s="129"/>
      <c r="C31" s="89"/>
      <c r="D31" s="89"/>
      <c r="E31" s="89"/>
      <c r="F31" s="89"/>
      <c r="G31" s="89"/>
      <c r="H31" s="129"/>
      <c r="I31" s="129"/>
      <c r="J31" s="129"/>
      <c r="K31" s="129"/>
      <c r="L31" s="129"/>
      <c r="M31" s="89"/>
      <c r="N31" s="89"/>
      <c r="O31" s="89"/>
      <c r="P31" s="89"/>
      <c r="Q31" s="89"/>
      <c r="R31" s="89"/>
      <c r="S31" s="89"/>
      <c r="T31" s="89"/>
      <c r="U31"/>
      <c r="V31"/>
    </row>
    <row r="998" spans="20:24" x14ac:dyDescent="0.25">
      <c r="T998" s="9" t="s">
        <v>427</v>
      </c>
    </row>
    <row r="1002" spans="20:24" x14ac:dyDescent="0.25">
      <c r="X1002" s="9">
        <v>5975</v>
      </c>
    </row>
    <row r="1010" spans="2:14" x14ac:dyDescent="0.25">
      <c r="I1010" s="9">
        <v>8140</v>
      </c>
    </row>
    <row r="1016" spans="2:14" x14ac:dyDescent="0.25">
      <c r="B1016" s="9" t="s">
        <v>427</v>
      </c>
    </row>
    <row r="1020" spans="2:14" x14ac:dyDescent="0.25">
      <c r="I1020" s="9">
        <v>5975</v>
      </c>
    </row>
    <row r="1022" spans="2:14" x14ac:dyDescent="0.25">
      <c r="B1022" s="9" t="s">
        <v>428</v>
      </c>
    </row>
    <row r="1024" spans="2:14" x14ac:dyDescent="0.25">
      <c r="I1024" s="9">
        <v>6010</v>
      </c>
      <c r="N1024" s="9" t="s">
        <v>97</v>
      </c>
    </row>
  </sheetData>
  <customSheetViews>
    <customSheetView guid="{A079800B-DC1B-408F-91C7-3CFEB27825BC}" scale="80">
      <selection activeCell="H25" sqref="H25"/>
      <pageMargins left="0" right="0" top="0" bottom="0" header="0" footer="0"/>
      <pageSetup paperSize="9" orientation="portrait" verticalDpi="0" r:id="rId1"/>
    </customSheetView>
    <customSheetView guid="{6EFE602B-DDBA-4BA7-94F6-DB3212BD68C7}" scale="80">
      <selection activeCell="H25" sqref="H25"/>
      <pageMargins left="0" right="0" top="0" bottom="0" header="0" footer="0"/>
      <pageSetup paperSize="9" orientation="portrait" verticalDpi="0" r:id="rId2"/>
    </customSheetView>
  </customSheetViews>
  <mergeCells count="3">
    <mergeCell ref="C2:D2"/>
    <mergeCell ref="I2:K2"/>
    <mergeCell ref="Q2:R2"/>
  </mergeCells>
  <pageMargins left="0.7" right="0.7" top="0.75" bottom="0.75" header="0.3" footer="0.3"/>
  <pageSetup paperSize="9" orientation="portrait" r:id="rId3"/>
  <headerFooter>
    <oddFooter>&amp;L_x000D_&amp;1#&amp;"Calibri"&amp;8&amp;K000000 Classified as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70C0"/>
  </sheetPr>
  <dimension ref="A1:AW416"/>
  <sheetViews>
    <sheetView tabSelected="1" zoomScaleNormal="100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D110" sqref="D110"/>
    </sheetView>
  </sheetViews>
  <sheetFormatPr defaultColWidth="9.42578125" defaultRowHeight="15" x14ac:dyDescent="0.25"/>
  <cols>
    <col min="1" max="1" width="6.42578125" style="4" customWidth="1"/>
    <col min="2" max="3" width="11.85546875" style="4" customWidth="1"/>
    <col min="4" max="4" width="8.42578125" style="4" customWidth="1"/>
    <col min="5" max="5" width="7.42578125" style="278" customWidth="1"/>
    <col min="6" max="6" width="8.5703125" style="4" customWidth="1"/>
    <col min="7" max="7" width="8.42578125" style="4" customWidth="1"/>
    <col min="8" max="8" width="6.42578125" style="4" bestFit="1" customWidth="1"/>
    <col min="9" max="9" width="8.5703125" style="4" bestFit="1" customWidth="1"/>
    <col min="10" max="11" width="8.42578125" style="210" customWidth="1"/>
    <col min="12" max="13" width="8.5703125" customWidth="1"/>
    <col min="14" max="14" width="10.5703125" customWidth="1"/>
    <col min="15" max="15" width="10.85546875" style="4" customWidth="1"/>
    <col min="16" max="16" width="9.42578125" style="4"/>
    <col min="18" max="18" width="8.42578125" customWidth="1"/>
    <col min="19" max="19" width="11.42578125" style="264" customWidth="1"/>
    <col min="20" max="20" width="17.42578125" bestFit="1" customWidth="1"/>
    <col min="21" max="21" width="7.42578125" style="150" customWidth="1"/>
    <col min="22" max="23" width="12.42578125" customWidth="1"/>
    <col min="24" max="24" width="12.140625" customWidth="1"/>
    <col min="26" max="26" width="13.42578125" customWidth="1"/>
    <col min="27" max="27" width="14.5703125" customWidth="1"/>
  </cols>
  <sheetData>
    <row r="1" spans="1:49" ht="39" customHeight="1" x14ac:dyDescent="0.35">
      <c r="C1" s="573" t="s">
        <v>429</v>
      </c>
      <c r="D1" s="573"/>
      <c r="E1" s="176" t="s">
        <v>430</v>
      </c>
      <c r="F1" s="177"/>
      <c r="G1" s="177"/>
      <c r="H1" s="177"/>
      <c r="I1" s="177"/>
    </row>
    <row r="2" spans="1:49" ht="53.25" customHeight="1" x14ac:dyDescent="0.25">
      <c r="A2" s="124" t="s">
        <v>431</v>
      </c>
      <c r="B2" s="97" t="s">
        <v>432</v>
      </c>
      <c r="C2" s="97" t="s">
        <v>120</v>
      </c>
      <c r="D2" s="97" t="s">
        <v>121</v>
      </c>
      <c r="E2" s="277" t="s">
        <v>122</v>
      </c>
      <c r="F2" s="97" t="s">
        <v>123</v>
      </c>
      <c r="G2" s="97" t="s">
        <v>124</v>
      </c>
      <c r="H2" s="126" t="s">
        <v>125</v>
      </c>
      <c r="I2" s="218" t="s">
        <v>433</v>
      </c>
      <c r="J2" s="149" t="s">
        <v>434</v>
      </c>
      <c r="K2" s="149" t="s">
        <v>424</v>
      </c>
      <c r="L2" s="457" t="s">
        <v>435</v>
      </c>
      <c r="M2" s="97" t="s">
        <v>436</v>
      </c>
      <c r="N2" s="290" t="s">
        <v>437</v>
      </c>
      <c r="O2" s="97" t="s">
        <v>438</v>
      </c>
      <c r="P2" s="97" t="s">
        <v>439</v>
      </c>
      <c r="Q2" s="97" t="s">
        <v>440</v>
      </c>
      <c r="R2" s="97" t="s">
        <v>441</v>
      </c>
      <c r="S2" s="265" t="s">
        <v>442</v>
      </c>
      <c r="T2" s="219" t="s">
        <v>443</v>
      </c>
      <c r="U2" s="289" t="s">
        <v>444</v>
      </c>
      <c r="V2" s="97" t="s">
        <v>445</v>
      </c>
      <c r="W2" s="97" t="s">
        <v>446</v>
      </c>
      <c r="X2" s="97" t="s">
        <v>447</v>
      </c>
      <c r="AA2" s="97" t="s">
        <v>432</v>
      </c>
      <c r="AB2" s="97" t="s">
        <v>120</v>
      </c>
      <c r="AC2" s="97" t="s">
        <v>121</v>
      </c>
      <c r="AD2" s="277" t="s">
        <v>122</v>
      </c>
      <c r="AE2" s="97" t="s">
        <v>123</v>
      </c>
      <c r="AF2" s="97" t="s">
        <v>124</v>
      </c>
      <c r="AG2" s="126" t="s">
        <v>125</v>
      </c>
      <c r="AH2" s="218" t="s">
        <v>433</v>
      </c>
      <c r="AI2" s="149" t="s">
        <v>434</v>
      </c>
      <c r="AJ2" s="149" t="s">
        <v>424</v>
      </c>
      <c r="AK2" s="276" t="s">
        <v>435</v>
      </c>
      <c r="AL2" s="97" t="s">
        <v>436</v>
      </c>
      <c r="AM2" s="290" t="s">
        <v>437</v>
      </c>
      <c r="AN2" s="97" t="s">
        <v>438</v>
      </c>
      <c r="AO2" s="97" t="s">
        <v>439</v>
      </c>
      <c r="AP2" s="97" t="s">
        <v>440</v>
      </c>
      <c r="AQ2" s="97" t="s">
        <v>441</v>
      </c>
      <c r="AR2" s="265" t="s">
        <v>442</v>
      </c>
      <c r="AS2" s="219" t="s">
        <v>443</v>
      </c>
      <c r="AT2" s="289" t="s">
        <v>444</v>
      </c>
      <c r="AU2" s="97" t="s">
        <v>445</v>
      </c>
      <c r="AV2" s="97" t="s">
        <v>448</v>
      </c>
      <c r="AW2" s="97" t="s">
        <v>449</v>
      </c>
    </row>
    <row r="3" spans="1:49" x14ac:dyDescent="0.25">
      <c r="A3" s="313" t="s">
        <v>450</v>
      </c>
      <c r="B3" s="22">
        <v>6506202403</v>
      </c>
      <c r="C3" s="4" t="s">
        <v>57</v>
      </c>
      <c r="D3" s="13">
        <v>13108</v>
      </c>
      <c r="E3" s="183">
        <v>45449</v>
      </c>
      <c r="F3" s="4" t="s">
        <v>451</v>
      </c>
      <c r="G3" s="4" t="s">
        <v>452</v>
      </c>
      <c r="H3" s="4">
        <v>17.5</v>
      </c>
      <c r="I3" s="4" t="s">
        <v>453</v>
      </c>
      <c r="J3" s="211" t="str">
        <f>IF(B3&lt;&gt;"",_xlfn.XLOOKUP(B3,'2627PR_Loading'!$E$3:$E$501,'2627PR_Loading'!$B$3:$B$501,"",0)&amp;_xlfn.XLOOKUP(B3,'2627PR_Loading'!$K$3:$K$501,'2627PR_Loading'!$B$3:$B$501,"",0)&amp;_xlfn.XLOOKUP(B3,'2627PR_Loading'!$Q$3:$Q$501,'2627PR_Loading'!$B$3:$B$501,"",0),"")</f>
        <v>71</v>
      </c>
      <c r="K3" s="211" t="str">
        <f>IF(B3&lt;&gt;"",_xlfn.XLOOKUP(B3,'2627PR_Loading'!$E$3:$E$501,'2627PR_Loading'!$C$3:$C$501,"",0)&amp;_xlfn.XLOOKUP(B3,'2627PR_Loading'!$K$3:$K$501,'2627PR_Loading'!$C$3:$C$501,"",0)&amp;_xlfn.XLOOKUP(B3,'2627PR_Loading'!$Q$3:$Q$501,'2627PR_Loading'!$C$3:$C$501,"",0),"")</f>
        <v>11</v>
      </c>
      <c r="L3">
        <v>350</v>
      </c>
      <c r="P3" s="248" t="str">
        <f>IF(B3&lt;&gt;"",_xlfn.XLOOKUP(B3,'2627PR_Loading'!$E$3:$E$501,'2627PR_Loading'!$J$3:$J$501,"",0)&amp;_xlfn.XLOOKUP(B3,'2627PR_Loading'!$K$3:$K$501,'2627PR_Loading'!$P$3:$P$501,"",0)&amp;_xlfn.XLOOKUP(B3,'2627PR_Loading'!$Q$3:$Q$501,'2627PR_Loading'!$V$3:$V$501,"",0),"")</f>
        <v>76</v>
      </c>
      <c r="Q3" s="98" t="str">
        <f>IF(B3&lt;&gt;"",_xlfn.XLOOKUP(B3,TableDispatch[Uniq Id],TableDispatch[Delivery Date],"",0),"")</f>
        <v/>
      </c>
      <c r="R3" s="98" t="str">
        <f>IF(B3&lt;&gt;"",_xlfn.XLOOKUP(B3,TableDispatch[Uniq Id],TableDispatch[Our Ch No.],"",0),"")</f>
        <v/>
      </c>
      <c r="T3" s="26" t="str">
        <f>IF(B3&lt;&gt;"",_xlfn.XLOOKUP(B3,TableDispatch[Uniq Id],TableDispatch[Eway Bill Out],"",0),"")</f>
        <v/>
      </c>
      <c r="U3" s="260"/>
      <c r="V3" s="263"/>
      <c r="W3" s="263"/>
      <c r="X3" s="263"/>
      <c r="AA3" s="109" t="s">
        <v>454</v>
      </c>
      <c r="AG3" s="86"/>
      <c r="AJ3" s="109"/>
    </row>
    <row r="4" spans="1:49" x14ac:dyDescent="0.25">
      <c r="A4" s="313" t="s">
        <v>455</v>
      </c>
      <c r="B4" s="4">
        <v>610903</v>
      </c>
      <c r="C4" s="4" t="s">
        <v>21</v>
      </c>
      <c r="D4" s="13" t="s">
        <v>456</v>
      </c>
      <c r="E4" s="183">
        <v>45555</v>
      </c>
      <c r="F4" s="4" t="s">
        <v>156</v>
      </c>
      <c r="G4" s="4" t="s">
        <v>157</v>
      </c>
      <c r="H4" s="4">
        <v>21</v>
      </c>
      <c r="I4" s="4" t="s">
        <v>453</v>
      </c>
      <c r="J4" s="211" t="str">
        <f>IF(B4&lt;&gt;"",_xlfn.XLOOKUP(B4,'2627PR_Loading'!$E$3:$E$501,'2627PR_Loading'!$B$3:$B$501,"",0)&amp;_xlfn.XLOOKUP(B4,'2627PR_Loading'!$K$3:$K$501,'2627PR_Loading'!$B$3:$B$501,"",0)&amp;_xlfn.XLOOKUP(B4,'2627PR_Loading'!$Q$3:$Q$501,'2627PR_Loading'!$B$3:$B$501,"",0),"")</f>
        <v>164</v>
      </c>
      <c r="K4" s="211" t="str">
        <f>IF(B4&lt;&gt;"",_xlfn.XLOOKUP(B4,'2627PR_Loading'!$E$3:$E$501,'2627PR_Loading'!$C$3:$C$501,"",0)&amp;_xlfn.XLOOKUP(B4,'2627PR_Loading'!$K$3:$K$501,'2627PR_Loading'!$C$3:$C$501,"",0)&amp;_xlfn.XLOOKUP(B4,'2627PR_Loading'!$Q$3:$Q$501,'2627PR_Loading'!$C$3:$C$501,"",0),"")</f>
        <v>12</v>
      </c>
      <c r="L4">
        <v>1730</v>
      </c>
      <c r="M4">
        <v>1730</v>
      </c>
      <c r="N4">
        <v>1732</v>
      </c>
      <c r="O4" s="4" t="s">
        <v>457</v>
      </c>
      <c r="P4" s="248" t="str">
        <f>IF(B4&lt;&gt;"",_xlfn.XLOOKUP(B4,'2627PR_Loading'!$E$3:$E$501,'2627PR_Loading'!$J$3:$J$501,"",0)&amp;_xlfn.XLOOKUP(B4,'2627PR_Loading'!$K$3:$K$501,'2627PR_Loading'!$P$3:$P$501,"",0)&amp;_xlfn.XLOOKUP(B4,'2627PR_Loading'!$Q$3:$Q$501,'2627PR_Loading'!$V$3:$V$501,"",0),"")</f>
        <v>80</v>
      </c>
      <c r="Q4" s="98" t="str">
        <f>IF(B4&lt;&gt;"",_xlfn.XLOOKUP(B4,TableDispatch[Uniq Id],TableDispatch[Delivery Date],"",0),"")</f>
        <v/>
      </c>
      <c r="R4" s="98" t="str">
        <f>IF(B4&lt;&gt;"",_xlfn.XLOOKUP(B4,TableDispatch[Uniq Id],TableDispatch[Our Ch No.],"",0),"")</f>
        <v/>
      </c>
      <c r="T4" s="26" t="str">
        <f>IF(B4&lt;&gt;"",_xlfn.XLOOKUP(B4,TableDispatch[Uniq Id],TableDispatch[Eway Bill Out],"",0),"")</f>
        <v/>
      </c>
      <c r="U4" s="260">
        <v>63</v>
      </c>
      <c r="V4" s="263">
        <f t="shared" ref="V4:V12" si="0">U4*L4</f>
        <v>108990</v>
      </c>
      <c r="W4" s="263"/>
      <c r="X4" s="263"/>
      <c r="AG4" s="86" t="s">
        <v>458</v>
      </c>
    </row>
    <row r="5" spans="1:49" ht="15.75" x14ac:dyDescent="0.25">
      <c r="A5" s="331" t="s">
        <v>459</v>
      </c>
      <c r="B5" s="22" t="s">
        <v>460</v>
      </c>
      <c r="C5" s="4" t="s">
        <v>21</v>
      </c>
      <c r="D5" s="13" t="s">
        <v>461</v>
      </c>
      <c r="E5" s="183">
        <v>46049</v>
      </c>
      <c r="F5" s="4" t="s">
        <v>462</v>
      </c>
      <c r="G5" s="4" t="s">
        <v>463</v>
      </c>
      <c r="H5" s="4">
        <v>28</v>
      </c>
      <c r="I5" s="4" t="s">
        <v>464</v>
      </c>
      <c r="J5" s="211" t="str">
        <f>IF(B5&lt;&gt;"",_xlfn.XLOOKUP(B5,'2627PR_Loading'!$E$3:$E$501,'2627PR_Loading'!$B$3:$B$501,"",0)&amp;_xlfn.XLOOKUP(B5,'2627PR_Loading'!$K$3:$K$501,'2627PR_Loading'!$B$3:$B$501,"",0)&amp;_xlfn.XLOOKUP(B5,'2627PR_Loading'!$Q$3:$Q$501,'2627PR_Loading'!$B$3:$B$501,"",0),"")</f>
        <v>259</v>
      </c>
      <c r="K5" s="211" t="str">
        <f>IF(B5&lt;&gt;"",_xlfn.XLOOKUP(B5,'2627PR_Loading'!$E$3:$E$501,'2627PR_Loading'!$C$3:$C$501,"",0)&amp;_xlfn.XLOOKUP(B5,'2627PR_Loading'!$K$3:$K$501,'2627PR_Loading'!$C$3:$C$501,"",0)&amp;_xlfn.XLOOKUP(B5,'2627PR_Loading'!$Q$3:$Q$501,'2627PR_Loading'!$C$3:$C$501,"",0),"")</f>
        <v>12</v>
      </c>
      <c r="L5">
        <v>1970</v>
      </c>
      <c r="M5">
        <v>2946</v>
      </c>
      <c r="N5">
        <v>1970</v>
      </c>
      <c r="O5" s="4" t="s">
        <v>465</v>
      </c>
      <c r="P5" s="248" t="str">
        <f>IF(B5&lt;&gt;"",_xlfn.XLOOKUP(B5,'2627PR_Loading'!$E$3:$E$501,'2627PR_Loading'!$J$3:$J$501,"",0)&amp;_xlfn.XLOOKUP(B5,'2627PR_Loading'!$K$3:$K$501,'2627PR_Loading'!$P$3:$P$501,"",0)&amp;_xlfn.XLOOKUP(B5,'2627PR_Loading'!$Q$3:$Q$501,'2627PR_Loading'!$V$3:$V$501,"",0),"")</f>
        <v>80</v>
      </c>
      <c r="Q5" s="98">
        <f>IF(B5&lt;&gt;"",_xlfn.XLOOKUP(B5,TableDispatch[Uniq Id],TableDispatch[Delivery Date],"",0),"")</f>
        <v>46133</v>
      </c>
      <c r="R5" s="98" t="str">
        <f>IF(B5&lt;&gt;"",_xlfn.XLOOKUP(B5,TableDispatch[Uniq Id],TableDispatch[Our Ch No.],"",0),"")</f>
        <v>DC/9</v>
      </c>
      <c r="T5" s="26" t="str">
        <f>IF(B5&lt;&gt;"",_xlfn.XLOOKUP(B5,TableDispatch[Uniq Id],TableDispatch[Eway Bill Out],"",0),"")</f>
        <v>6720 9904 5969</v>
      </c>
      <c r="U5" s="260">
        <v>64.5</v>
      </c>
      <c r="V5" s="263">
        <f t="shared" si="0"/>
        <v>127065</v>
      </c>
      <c r="X5" s="263"/>
      <c r="AJ5" s="109" t="s">
        <v>466</v>
      </c>
    </row>
    <row r="6" spans="1:49" ht="15.75" x14ac:dyDescent="0.25">
      <c r="A6" s="331" t="s">
        <v>459</v>
      </c>
      <c r="B6" s="22" t="s">
        <v>467</v>
      </c>
      <c r="C6" s="4" t="s">
        <v>21</v>
      </c>
      <c r="D6" s="13" t="s">
        <v>461</v>
      </c>
      <c r="E6" s="183">
        <v>46049</v>
      </c>
      <c r="F6" s="4" t="s">
        <v>462</v>
      </c>
      <c r="G6" s="4" t="s">
        <v>463</v>
      </c>
      <c r="H6" s="4">
        <v>28</v>
      </c>
      <c r="I6" s="4" t="s">
        <v>464</v>
      </c>
      <c r="J6" s="211" t="str">
        <f>IF(B6&lt;&gt;"",_xlfn.XLOOKUP(B6,'2627PR_Loading'!$E$3:$E$501,'2627PR_Loading'!$B$3:$B$501,"",0)&amp;_xlfn.XLOOKUP(B6,'2627PR_Loading'!$K$3:$K$501,'2627PR_Loading'!$B$3:$B$501,"",0)&amp;_xlfn.XLOOKUP(B6,'2627PR_Loading'!$Q$3:$Q$501,'2627PR_Loading'!$B$3:$B$501,"",0),"")</f>
        <v>259</v>
      </c>
      <c r="K6" s="211" t="str">
        <f>IF(B6&lt;&gt;"",_xlfn.XLOOKUP(B6,'2627PR_Loading'!$E$3:$E$501,'2627PR_Loading'!$C$3:$C$501,"",0)&amp;_xlfn.XLOOKUP(B6,'2627PR_Loading'!$K$3:$K$501,'2627PR_Loading'!$C$3:$C$501,"",0)&amp;_xlfn.XLOOKUP(B6,'2627PR_Loading'!$Q$3:$Q$501,'2627PR_Loading'!$C$3:$C$501,"",0),"")</f>
        <v>12</v>
      </c>
      <c r="L6">
        <v>980</v>
      </c>
      <c r="M6">
        <v>2946</v>
      </c>
      <c r="N6">
        <v>990</v>
      </c>
      <c r="O6" s="4" t="s">
        <v>465</v>
      </c>
      <c r="P6" s="248" t="str">
        <f>IF(B6&lt;&gt;"",_xlfn.XLOOKUP(B6,'2627PR_Loading'!$E$3:$E$501,'2627PR_Loading'!$J$3:$J$501,"",0)&amp;_xlfn.XLOOKUP(B6,'2627PR_Loading'!$K$3:$K$501,'2627PR_Loading'!$P$3:$P$501,"",0)&amp;_xlfn.XLOOKUP(B6,'2627PR_Loading'!$Q$3:$Q$501,'2627PR_Loading'!$V$3:$V$501,"",0),"")</f>
        <v>80</v>
      </c>
      <c r="Q6" s="98" t="str">
        <f>IF(B6&lt;&gt;"",_xlfn.XLOOKUP(B6,TableDispatch[Uniq Id],TableDispatch[Delivery Date],"",0),"")</f>
        <v/>
      </c>
      <c r="R6" s="98" t="str">
        <f>IF(B6&lt;&gt;"",_xlfn.XLOOKUP(B6,TableDispatch[Uniq Id],TableDispatch[Our Ch No.],"",0),"")</f>
        <v/>
      </c>
      <c r="T6" s="26" t="str">
        <f>IF(B6&lt;&gt;"",_xlfn.XLOOKUP(B6,TableDispatch[Uniq Id],TableDispatch[Eway Bill Out],"",0),"")</f>
        <v/>
      </c>
      <c r="U6" s="260">
        <v>64.5</v>
      </c>
      <c r="V6" s="263">
        <f t="shared" si="0"/>
        <v>63210</v>
      </c>
      <c r="X6" s="263"/>
      <c r="AJ6" s="109" t="s">
        <v>466</v>
      </c>
    </row>
    <row r="7" spans="1:49" ht="15.75" x14ac:dyDescent="0.25">
      <c r="A7" s="331" t="s">
        <v>459</v>
      </c>
      <c r="B7" s="22" t="s">
        <v>758</v>
      </c>
      <c r="C7" s="4" t="s">
        <v>21</v>
      </c>
      <c r="D7" s="13" t="s">
        <v>461</v>
      </c>
      <c r="E7" s="183">
        <v>46049</v>
      </c>
      <c r="F7" s="4" t="s">
        <v>462</v>
      </c>
      <c r="G7" s="4" t="s">
        <v>463</v>
      </c>
      <c r="H7" s="4">
        <v>28</v>
      </c>
      <c r="I7" s="4" t="s">
        <v>464</v>
      </c>
      <c r="J7" s="211" t="str">
        <f>IF(B7&lt;&gt;"",_xlfn.XLOOKUP(B7,'2627PR_Loading'!$E$3:$E$501,'2627PR_Loading'!$B$3:$B$501,"",0)&amp;_xlfn.XLOOKUP(B7,'2627PR_Loading'!$K$3:$K$501,'2627PR_Loading'!$B$3:$B$501,"",0)&amp;_xlfn.XLOOKUP(B7,'2627PR_Loading'!$Q$3:$Q$501,'2627PR_Loading'!$B$3:$B$501,"",0),"")</f>
        <v>5</v>
      </c>
      <c r="K7" s="211" t="str">
        <f>IF(B7&lt;&gt;"",_xlfn.XLOOKUP(B7,'2627PR_Loading'!$E$3:$E$501,'2627PR_Loading'!$C$3:$C$501,"",0)&amp;_xlfn.XLOOKUP(B7,'2627PR_Loading'!$K$3:$K$501,'2627PR_Loading'!$C$3:$C$501,"",0)&amp;_xlfn.XLOOKUP(B7,'2627PR_Loading'!$Q$3:$Q$501,'2627PR_Loading'!$C$3:$C$501,"",0),"")</f>
        <v>12</v>
      </c>
      <c r="L7">
        <v>2395</v>
      </c>
      <c r="O7" s="4" t="s">
        <v>465</v>
      </c>
      <c r="P7" s="248" t="str">
        <f>IF(B7&lt;&gt;"",_xlfn.XLOOKUP(B7,'2627PR_Loading'!$E$3:$E$501,'2627PR_Loading'!$J$3:$J$501,"",0)&amp;_xlfn.XLOOKUP(B7,'2627PR_Loading'!$K$3:$K$501,'2627PR_Loading'!$P$3:$P$501,"",0)&amp;_xlfn.XLOOKUP(B7,'2627PR_Loading'!$Q$3:$Q$501,'2627PR_Loading'!$V$3:$V$501,"",0),"")</f>
        <v>74</v>
      </c>
      <c r="Q7" s="98">
        <f>IF(B7&lt;&gt;"",_xlfn.XLOOKUP(B7,TableDispatch[Uniq Id],TableDispatch[Delivery Date],"",0),"")</f>
        <v>46258</v>
      </c>
      <c r="R7" s="98" t="str">
        <f>IF(B7&lt;&gt;"",_xlfn.XLOOKUP(B7,TableDispatch[Uniq Id],TableDispatch[Our Ch No.],"",0),"")</f>
        <v>DC/48</v>
      </c>
      <c r="T7" s="26" t="str">
        <f>IF(B7&lt;&gt;"",_xlfn.XLOOKUP(B7,TableDispatch[Uniq Id],TableDispatch[Eway Bill Out],"",0),"")</f>
        <v>6221 6905 8540</v>
      </c>
      <c r="U7" s="260">
        <v>64.5</v>
      </c>
      <c r="V7" s="263">
        <f t="shared" si="0"/>
        <v>154477.5</v>
      </c>
      <c r="X7" s="263"/>
      <c r="AA7" s="300" t="s">
        <v>468</v>
      </c>
      <c r="AB7" s="263"/>
    </row>
    <row r="8" spans="1:49" ht="15.75" x14ac:dyDescent="0.25">
      <c r="A8" s="331" t="s">
        <v>459</v>
      </c>
      <c r="B8" s="22" t="s">
        <v>757</v>
      </c>
      <c r="C8" s="4" t="s">
        <v>21</v>
      </c>
      <c r="D8" s="13" t="s">
        <v>461</v>
      </c>
      <c r="E8" s="183">
        <v>46049</v>
      </c>
      <c r="F8" s="4" t="s">
        <v>462</v>
      </c>
      <c r="G8" s="4" t="s">
        <v>463</v>
      </c>
      <c r="H8" s="4">
        <v>28</v>
      </c>
      <c r="I8" s="4" t="s">
        <v>464</v>
      </c>
      <c r="J8" s="211" t="str">
        <f>IF(B8&lt;&gt;"",_xlfn.XLOOKUP(B8,'2627PR_Loading'!$E$3:$E$501,'2627PR_Loading'!$B$3:$B$501,"",0)&amp;_xlfn.XLOOKUP(B8,'2627PR_Loading'!$K$3:$K$501,'2627PR_Loading'!$B$3:$B$501,"",0)&amp;_xlfn.XLOOKUP(B8,'2627PR_Loading'!$Q$3:$Q$501,'2627PR_Loading'!$B$3:$B$501,"",0),"")</f>
        <v>5</v>
      </c>
      <c r="K8" s="211" t="str">
        <f>IF(B8&lt;&gt;"",_xlfn.XLOOKUP(B8,'2627PR_Loading'!$E$3:$E$501,'2627PR_Loading'!$C$3:$C$501,"",0)&amp;_xlfn.XLOOKUP(B8,'2627PR_Loading'!$K$3:$K$501,'2627PR_Loading'!$C$3:$C$501,"",0)&amp;_xlfn.XLOOKUP(B8,'2627PR_Loading'!$Q$3:$Q$501,'2627PR_Loading'!$C$3:$C$501,"",0),"")</f>
        <v>12</v>
      </c>
      <c r="L8">
        <v>555</v>
      </c>
      <c r="M8">
        <v>2927</v>
      </c>
      <c r="O8" s="4" t="s">
        <v>465</v>
      </c>
      <c r="P8" s="248" t="str">
        <f>IF(B8&lt;&gt;"",_xlfn.XLOOKUP(B8,'2627PR_Loading'!$E$3:$E$501,'2627PR_Loading'!$J$3:$J$501,"",0)&amp;_xlfn.XLOOKUP(B8,'2627PR_Loading'!$K$3:$K$501,'2627PR_Loading'!$P$3:$P$501,"",0)&amp;_xlfn.XLOOKUP(B8,'2627PR_Loading'!$Q$3:$Q$501,'2627PR_Loading'!$V$3:$V$501,"",0),"")</f>
        <v>74</v>
      </c>
      <c r="Q8" s="98">
        <f>IF(B8&lt;&gt;"",_xlfn.XLOOKUP(B8,TableDispatch[Uniq Id],TableDispatch[Delivery Date],"",0),"")</f>
        <v>46170</v>
      </c>
      <c r="R8" s="98" t="str">
        <f>IF(B8&lt;&gt;"",_xlfn.XLOOKUP(B8,TableDispatch[Uniq Id],TableDispatch[Our Ch No.],"",0),"")</f>
        <v>DC/17</v>
      </c>
      <c r="T8" s="26" t="str">
        <f>IF(B8&lt;&gt;"",_xlfn.XLOOKUP(B8,TableDispatch[Uniq Id],TableDispatch[Eway Bill Out],"",0),"")</f>
        <v>6421 1906 3136</v>
      </c>
      <c r="U8" s="260">
        <v>64.5</v>
      </c>
      <c r="V8" s="263">
        <f t="shared" si="0"/>
        <v>35797.5</v>
      </c>
      <c r="X8" s="263"/>
      <c r="AA8" s="300" t="s">
        <v>468</v>
      </c>
      <c r="AB8" s="263"/>
    </row>
    <row r="9" spans="1:49" ht="15.75" customHeight="1" x14ac:dyDescent="0.25">
      <c r="A9" s="331" t="s">
        <v>459</v>
      </c>
      <c r="B9" s="22" t="s">
        <v>469</v>
      </c>
      <c r="C9" s="4" t="s">
        <v>21</v>
      </c>
      <c r="D9" s="13" t="s">
        <v>461</v>
      </c>
      <c r="E9" s="183">
        <v>46049</v>
      </c>
      <c r="F9" s="4" t="s">
        <v>462</v>
      </c>
      <c r="G9" s="4" t="s">
        <v>463</v>
      </c>
      <c r="H9" s="4">
        <v>28</v>
      </c>
      <c r="I9" s="4" t="s">
        <v>464</v>
      </c>
      <c r="J9" s="211" t="str">
        <f>IF(B9&lt;&gt;"",_xlfn.XLOOKUP(B9,'2627PR_Loading'!$E$3:$E$501,'2627PR_Loading'!$B$3:$B$501,"",0)&amp;_xlfn.XLOOKUP(B9,'2627PR_Loading'!$K$3:$K$501,'2627PR_Loading'!$B$3:$B$501,"",0)&amp;_xlfn.XLOOKUP(B9,'2627PR_Loading'!$Q$3:$Q$501,'2627PR_Loading'!$B$3:$B$501,"",0),"")</f>
        <v>250</v>
      </c>
      <c r="K9" s="211" t="str">
        <f>IF(B9&lt;&gt;"",_xlfn.XLOOKUP(B9,'2627PR_Loading'!$E$3:$E$501,'2627PR_Loading'!$C$3:$C$501,"",0)&amp;_xlfn.XLOOKUP(B9,'2627PR_Loading'!$K$3:$K$501,'2627PR_Loading'!$C$3:$C$501,"",0)&amp;_xlfn.XLOOKUP(B9,'2627PR_Loading'!$Q$3:$Q$501,'2627PR_Loading'!$C$3:$C$501,"",0),"")</f>
        <v>12</v>
      </c>
      <c r="L9">
        <v>1900</v>
      </c>
      <c r="O9" s="4" t="s">
        <v>465</v>
      </c>
      <c r="P9" s="248" t="str">
        <f>IF(B9&lt;&gt;"",_xlfn.XLOOKUP(B9,'2627PR_Loading'!$E$3:$E$501,'2627PR_Loading'!$J$3:$J$501,"",0)&amp;_xlfn.XLOOKUP(B9,'2627PR_Loading'!$K$3:$K$501,'2627PR_Loading'!$P$3:$P$501,"",0)&amp;_xlfn.XLOOKUP(B9,'2627PR_Loading'!$Q$3:$Q$501,'2627PR_Loading'!$V$3:$V$501,"",0),"")</f>
        <v>80</v>
      </c>
      <c r="Q9" s="98">
        <f>IF(B9&lt;&gt;"",_xlfn.XLOOKUP(B9,TableDispatch[Uniq Id],TableDispatch[Delivery Date],"",0),"")</f>
        <v>46117</v>
      </c>
      <c r="R9" s="98" t="str">
        <f>IF(B9&lt;&gt;"",_xlfn.XLOOKUP(B9,TableDispatch[Uniq Id],TableDispatch[Our Ch No.],"",0),"")</f>
        <v>DC/4</v>
      </c>
      <c r="T9" s="26" t="str">
        <f>IF(B9&lt;&gt;"",_xlfn.XLOOKUP(B9,TableDispatch[Uniq Id],TableDispatch[Eway Bill Out],"",0),"")</f>
        <v>6220 8974 5876</v>
      </c>
      <c r="U9" s="260">
        <v>64.5</v>
      </c>
      <c r="V9" s="263">
        <f t="shared" si="0"/>
        <v>122550</v>
      </c>
      <c r="X9" s="263"/>
      <c r="Y9" s="263"/>
      <c r="AA9" s="97" t="s">
        <v>432</v>
      </c>
      <c r="AB9" s="97" t="s">
        <v>120</v>
      </c>
      <c r="AC9" s="97" t="s">
        <v>121</v>
      </c>
      <c r="AD9" s="277" t="s">
        <v>122</v>
      </c>
      <c r="AE9" s="97" t="s">
        <v>124</v>
      </c>
      <c r="AF9" s="126" t="s">
        <v>125</v>
      </c>
      <c r="AG9" s="218" t="s">
        <v>433</v>
      </c>
      <c r="AH9" s="149" t="s">
        <v>434</v>
      </c>
      <c r="AI9" s="149" t="s">
        <v>424</v>
      </c>
      <c r="AJ9" s="276" t="s">
        <v>435</v>
      </c>
      <c r="AK9" s="97" t="s">
        <v>436</v>
      </c>
      <c r="AL9" s="148" t="s">
        <v>470</v>
      </c>
      <c r="AM9" s="148" t="s">
        <v>471</v>
      </c>
    </row>
    <row r="10" spans="1:49" ht="15.75" x14ac:dyDescent="0.25">
      <c r="A10" s="331" t="s">
        <v>459</v>
      </c>
      <c r="B10" s="22" t="s">
        <v>472</v>
      </c>
      <c r="C10" s="4" t="s">
        <v>21</v>
      </c>
      <c r="D10" s="13" t="s">
        <v>461</v>
      </c>
      <c r="E10" s="183">
        <v>46049</v>
      </c>
      <c r="F10" s="4" t="s">
        <v>462</v>
      </c>
      <c r="G10" s="4" t="s">
        <v>463</v>
      </c>
      <c r="H10" s="4">
        <v>21</v>
      </c>
      <c r="I10" s="4" t="s">
        <v>464</v>
      </c>
      <c r="J10" s="211" t="str">
        <f>IF(B10&lt;&gt;"",_xlfn.XLOOKUP(B10,'2627PR_Loading'!$E$3:$E$501,'2627PR_Loading'!$B$3:$B$501,"",0)&amp;_xlfn.XLOOKUP(B10,'2627PR_Loading'!$K$3:$K$501,'2627PR_Loading'!$B$3:$B$501,"",0)&amp;_xlfn.XLOOKUP(B10,'2627PR_Loading'!$Q$3:$Q$501,'2627PR_Loading'!$B$3:$B$501,"",0),"")</f>
        <v>253</v>
      </c>
      <c r="K10" s="211" t="str">
        <f>IF(B10&lt;&gt;"",_xlfn.XLOOKUP(B10,'2627PR_Loading'!$E$3:$E$501,'2627PR_Loading'!$C$3:$C$501,"",0)&amp;_xlfn.XLOOKUP(B10,'2627PR_Loading'!$K$3:$K$501,'2627PR_Loading'!$C$3:$C$501,"",0)&amp;_xlfn.XLOOKUP(B10,'2627PR_Loading'!$Q$3:$Q$501,'2627PR_Loading'!$C$3:$C$501,"",0),"")</f>
        <v>12</v>
      </c>
      <c r="L10">
        <v>2080</v>
      </c>
      <c r="N10">
        <v>900</v>
      </c>
      <c r="O10" s="4" t="s">
        <v>465</v>
      </c>
      <c r="P10" s="248" t="str">
        <f>IF(B10&lt;&gt;"",_xlfn.XLOOKUP(B10,'2627PR_Loading'!$E$3:$E$501,'2627PR_Loading'!$J$3:$J$501,"",0)&amp;_xlfn.XLOOKUP(B10,'2627PR_Loading'!$K$3:$K$501,'2627PR_Loading'!$P$3:$P$501,"",0)&amp;_xlfn.XLOOKUP(B10,'2627PR_Loading'!$Q$3:$Q$501,'2627PR_Loading'!$V$3:$V$501,"",0),"")</f>
        <v>80</v>
      </c>
      <c r="Q10" s="98" t="str">
        <f>IF(B10&lt;&gt;"",_xlfn.XLOOKUP(B10,TableDispatch[Uniq Id],TableDispatch[Delivery Date],"",0),"")</f>
        <v/>
      </c>
      <c r="R10" s="98" t="str">
        <f>IF(B10&lt;&gt;"",_xlfn.XLOOKUP(B10,TableDispatch[Uniq Id],TableDispatch[Our Ch No.],"",0),"")</f>
        <v/>
      </c>
      <c r="T10" s="26" t="str">
        <f>IF(B10&lt;&gt;"",_xlfn.XLOOKUP(B10,TableDispatch[Uniq Id],TableDispatch[Eway Bill Out],"",0),"")</f>
        <v/>
      </c>
      <c r="U10" s="260">
        <v>64.5</v>
      </c>
      <c r="V10" s="263">
        <f t="shared" si="0"/>
        <v>134160</v>
      </c>
      <c r="W10" s="263"/>
      <c r="X10" s="263"/>
      <c r="Y10" s="263"/>
      <c r="AB10" s="4" t="str">
        <f>IF('2627PR_Stock_Report'!$C$3="ALL","",'2627PR_Stock_Report'!$C$3)</f>
        <v>PNR</v>
      </c>
      <c r="AE10" t="str">
        <f>'2627PR_Stock_Report'!F3</f>
        <v/>
      </c>
      <c r="AF10" t="str">
        <f>'2627PR_Stock_Report'!G3</f>
        <v>&gt;1</v>
      </c>
      <c r="AH10" s="86" t="str">
        <f>IF('2627PR_Stock_Report'!$I$3="STOCK","&lt;&gt;",IF('2627PR_Stock_Report'!$I$3="RAW","",IF('2627PR_Stock_Report'!$I$3="READY","&gt;1",0)))</f>
        <v>&gt;1</v>
      </c>
      <c r="AJ10" t="str">
        <f>'2627PR_Stock_Report'!K3</f>
        <v>&gt;1</v>
      </c>
      <c r="AK10" s="109" t="str">
        <f>IF('2627PR_Stock_Report'!$L$3="Total","&lt;&gt;",IF('2627PR_Stock_Report'!$L$3="NOT Dlrd","",IF('2627PR_Stock_Report'!$L$3="Dlverd","&lt;1",IF('2627PR_Stock_Report'!$L$3="Date","&gt;1",0))))</f>
        <v>&lt;1</v>
      </c>
    </row>
    <row r="11" spans="1:49" ht="15.75" x14ac:dyDescent="0.25">
      <c r="A11" s="331" t="s">
        <v>138</v>
      </c>
      <c r="B11" s="22" t="s">
        <v>473</v>
      </c>
      <c r="C11" s="4" t="s">
        <v>21</v>
      </c>
      <c r="D11" s="13" t="s">
        <v>474</v>
      </c>
      <c r="E11" s="183">
        <v>46068</v>
      </c>
      <c r="F11" s="4" t="s">
        <v>475</v>
      </c>
      <c r="G11" s="4" t="s">
        <v>476</v>
      </c>
      <c r="H11" s="4">
        <v>22</v>
      </c>
      <c r="I11" s="4" t="s">
        <v>453</v>
      </c>
      <c r="J11" s="211" t="str">
        <f>IF(B11&lt;&gt;"",_xlfn.XLOOKUP(B11,'2627PR_Loading'!$E$3:$E$501,'2627PR_Loading'!$B$3:$B$501,"",0)&amp;_xlfn.XLOOKUP(B11,'2627PR_Loading'!$K$3:$K$501,'2627PR_Loading'!$B$3:$B$501,"",0)&amp;_xlfn.XLOOKUP(B11,'2627PR_Loading'!$Q$3:$Q$501,'2627PR_Loading'!$B$3:$B$501,"",0),"")</f>
        <v>258</v>
      </c>
      <c r="K11" s="211" t="str">
        <f>IF(B11&lt;&gt;"",_xlfn.XLOOKUP(B11,'2627PR_Loading'!$E$3:$E$501,'2627PR_Loading'!$C$3:$C$501,"",0)&amp;_xlfn.XLOOKUP(B11,'2627PR_Loading'!$K$3:$K$501,'2627PR_Loading'!$C$3:$C$501,"",0)&amp;_xlfn.XLOOKUP(B11,'2627PR_Loading'!$Q$3:$Q$501,'2627PR_Loading'!$C$3:$C$501,"",0),"")</f>
        <v>12</v>
      </c>
      <c r="L11">
        <v>970</v>
      </c>
      <c r="M11">
        <v>1826</v>
      </c>
      <c r="O11" s="4" t="s">
        <v>477</v>
      </c>
      <c r="P11" s="248" t="str">
        <f>IF(B11&lt;&gt;"",_xlfn.XLOOKUP(B11,'2627PR_Loading'!$E$3:$E$501,'2627PR_Loading'!$J$3:$J$501,"",0)&amp;_xlfn.XLOOKUP(B11,'2627PR_Loading'!$K$3:$K$501,'2627PR_Loading'!$P$3:$P$501,"",0)&amp;_xlfn.XLOOKUP(B11,'2627PR_Loading'!$Q$3:$Q$501,'2627PR_Loading'!$V$3:$V$501,"",0),"")</f>
        <v>78</v>
      </c>
      <c r="Q11" s="98">
        <f>IF(B11&lt;&gt;"",_xlfn.XLOOKUP(B11,TableDispatch[Uniq Id],TableDispatch[Delivery Date],"",0),"")</f>
        <v>46122</v>
      </c>
      <c r="R11" s="98" t="str">
        <f>IF(B11&lt;&gt;"",_xlfn.XLOOKUP(B11,TableDispatch[Uniq Id],TableDispatch[Our Ch No.],"",0),"")</f>
        <v>DC/8</v>
      </c>
      <c r="T11" s="26" t="str">
        <f>IF(B11&lt;&gt;"",_xlfn.XLOOKUP(B11,TableDispatch[Uniq Id],TableDispatch[Eway Bill Out],"",0),"")</f>
        <v>6920 9304 2467</v>
      </c>
      <c r="U11" s="150">
        <v>65.25</v>
      </c>
      <c r="V11" s="263">
        <f t="shared" si="0"/>
        <v>63292.5</v>
      </c>
      <c r="X11" s="263"/>
      <c r="Y11" s="263"/>
      <c r="AB11" s="4" t="str">
        <f>IF('2627PR_Stock_Report'!$C$3="ALL","",'2627PR_Stock_Report'!$C$3)</f>
        <v>PNR</v>
      </c>
      <c r="AC11" s="4"/>
      <c r="AD11" s="4"/>
      <c r="AE11" s="4"/>
      <c r="AJ11" t="s">
        <v>478</v>
      </c>
      <c r="AK11" t="str">
        <f>'2627PR_Stock_Report'!L3</f>
        <v>Dlverd</v>
      </c>
    </row>
    <row r="12" spans="1:49" ht="15.75" x14ac:dyDescent="0.25">
      <c r="A12" s="331" t="s">
        <v>138</v>
      </c>
      <c r="B12" s="22" t="s">
        <v>479</v>
      </c>
      <c r="C12" s="4" t="s">
        <v>21</v>
      </c>
      <c r="D12" s="13" t="s">
        <v>474</v>
      </c>
      <c r="E12" s="183">
        <v>46068</v>
      </c>
      <c r="F12" s="4" t="s">
        <v>475</v>
      </c>
      <c r="G12" s="4" t="s">
        <v>476</v>
      </c>
      <c r="H12" s="4">
        <v>22</v>
      </c>
      <c r="I12" s="4" t="s">
        <v>453</v>
      </c>
      <c r="J12" s="211" t="str">
        <f>IF(B12&lt;&gt;"",_xlfn.XLOOKUP(B12,'2627PR_Loading'!$E$3:$E$501,'2627PR_Loading'!$B$3:$B$501,"",0)&amp;_xlfn.XLOOKUP(B12,'2627PR_Loading'!$K$3:$K$501,'2627PR_Loading'!$B$3:$B$501,"",0)&amp;_xlfn.XLOOKUP(B12,'2627PR_Loading'!$Q$3:$Q$501,'2627PR_Loading'!$B$3:$B$501,"",0),"")</f>
        <v>258</v>
      </c>
      <c r="K12" s="211" t="str">
        <f>IF(B12&lt;&gt;"",_xlfn.XLOOKUP(B12,'2627PR_Loading'!$E$3:$E$501,'2627PR_Loading'!$C$3:$C$501,"",0)&amp;_xlfn.XLOOKUP(B12,'2627PR_Loading'!$K$3:$K$501,'2627PR_Loading'!$C$3:$C$501,"",0)&amp;_xlfn.XLOOKUP(B12,'2627PR_Loading'!$Q$3:$Q$501,'2627PR_Loading'!$C$3:$C$501,"",0),"")</f>
        <v>12</v>
      </c>
      <c r="L12">
        <v>865</v>
      </c>
      <c r="M12">
        <v>1826</v>
      </c>
      <c r="O12" s="4" t="s">
        <v>477</v>
      </c>
      <c r="P12" s="248" t="str">
        <f>IF(B12&lt;&gt;"",_xlfn.XLOOKUP(B12,'2627PR_Loading'!$E$3:$E$501,'2627PR_Loading'!$J$3:$J$501,"",0)&amp;_xlfn.XLOOKUP(B12,'2627PR_Loading'!$K$3:$K$501,'2627PR_Loading'!$P$3:$P$501,"",0)&amp;_xlfn.XLOOKUP(B12,'2627PR_Loading'!$Q$3:$Q$501,'2627PR_Loading'!$V$3:$V$501,"",0),"")</f>
        <v>78</v>
      </c>
      <c r="Q12" s="98">
        <f>IF(B12&lt;&gt;"",_xlfn.XLOOKUP(B12,TableDispatch[Uniq Id],TableDispatch[Delivery Date],"",0),"")</f>
        <v>46163</v>
      </c>
      <c r="R12" s="98" t="str">
        <f>IF(B12&lt;&gt;"",_xlfn.XLOOKUP(B12,TableDispatch[Uniq Id],TableDispatch[Our Ch No.],"",0),"")</f>
        <v>DC/16</v>
      </c>
      <c r="T12" s="26" t="str">
        <f>IF(B12&lt;&gt;"",_xlfn.XLOOKUP(B12,TableDispatch[Uniq Id],TableDispatch[Eway Bill Out],"",0),"")</f>
        <v>6721 1486 4687</v>
      </c>
      <c r="U12" s="150">
        <v>65.25</v>
      </c>
      <c r="V12" s="263">
        <f t="shared" si="0"/>
        <v>56441.25</v>
      </c>
      <c r="X12" s="263"/>
      <c r="Y12" s="263"/>
      <c r="AB12" s="4" t="str">
        <f>IF('2627PR_Stock_Report'!$C$3="ALL","",'2627PR_Stock_Report'!$C$3)</f>
        <v>PNR</v>
      </c>
      <c r="AC12" s="4"/>
      <c r="AD12" s="4"/>
      <c r="AE12" s="4"/>
      <c r="AJ12" t="s">
        <v>478</v>
      </c>
      <c r="AK12" t="str">
        <f>'2627PR_Stock_Report'!L4</f>
        <v>Delivery Date</v>
      </c>
    </row>
    <row r="13" spans="1:49" x14ac:dyDescent="0.25">
      <c r="A13" s="346"/>
      <c r="B13" s="346"/>
      <c r="C13" s="346"/>
      <c r="D13" s="346"/>
      <c r="E13" s="346"/>
      <c r="F13" s="346"/>
      <c r="G13" s="346"/>
      <c r="H13" s="346"/>
      <c r="I13" s="346"/>
      <c r="J13" s="346" t="str">
        <f>IF(B13&lt;&gt;"",_xlfn.XLOOKUP(B13,'2627PR_Loading'!$E$3:$E$501,'2627PR_Loading'!$B$3:$B$501,"",0)&amp;_xlfn.XLOOKUP(B13,'2627PR_Loading'!$K$3:$K$501,'2627PR_Loading'!$B$3:$B$501,"",0)&amp;_xlfn.XLOOKUP(B13,'2627PR_Loading'!$Q$3:$Q$501,'2627PR_Loading'!$B$3:$B$501,"",0),"")</f>
        <v/>
      </c>
      <c r="K13" s="346" t="str">
        <f>IF(B13&lt;&gt;"",_xlfn.XLOOKUP(B13,'2627PR_Loading'!$E$3:$E$501,'2627PR_Loading'!$C$3:$C$501,"",0)&amp;_xlfn.XLOOKUP(B13,'2627PR_Loading'!$K$3:$K$501,'2627PR_Loading'!$C$3:$C$501,"",0)&amp;_xlfn.XLOOKUP(B13,'2627PR_Loading'!$Q$3:$Q$501,'2627PR_Loading'!$C$3:$C$501,"",0),"")</f>
        <v/>
      </c>
      <c r="L13" s="346"/>
      <c r="M13" s="346"/>
      <c r="N13" s="346"/>
      <c r="O13" s="346"/>
      <c r="P13" s="346" t="str">
        <f>IF(B13&lt;&gt;"",_xlfn.XLOOKUP(B13,'2627PR_Loading'!$E$3:$E$501,'2627PR_Loading'!$J$3:$J$501,"",0)&amp;_xlfn.XLOOKUP(B13,'2627PR_Loading'!$K$3:$K$501,'2627PR_Loading'!$P$3:$P$501,"",0)&amp;_xlfn.XLOOKUP(B13,'2627PR_Loading'!$Q$3:$Q$501,'2627PR_Loading'!$V$3:$V$501,"",0),"")</f>
        <v/>
      </c>
      <c r="Q13" s="346" t="str">
        <f>IF(B13&lt;&gt;"",_xlfn.XLOOKUP(B13,TableDispatch[Uniq Id],TableDispatch[Delivery Date],"",0),"")</f>
        <v/>
      </c>
      <c r="R13" s="346" t="str">
        <f>IF(B13&lt;&gt;"",_xlfn.XLOOKUP(B13,TableDispatch[Uniq Id],TableDispatch[Our Ch No.],"",0),"")</f>
        <v/>
      </c>
      <c r="S13" s="346"/>
      <c r="T13" s="346" t="str">
        <f>IF(B13&lt;&gt;"",_xlfn.XLOOKUP(B13,TableDispatch[Uniq Id],TableDispatch[Eway Bill Out],"",0),"")</f>
        <v/>
      </c>
      <c r="U13" s="346"/>
      <c r="V13" s="347"/>
      <c r="W13" s="347"/>
      <c r="X13" s="347"/>
      <c r="Y13" s="263"/>
      <c r="AB13" s="263"/>
      <c r="AC13" s="263"/>
    </row>
    <row r="14" spans="1:49" x14ac:dyDescent="0.25">
      <c r="A14" s="13" t="s">
        <v>480</v>
      </c>
      <c r="B14" s="4">
        <v>610401</v>
      </c>
      <c r="C14" s="4" t="s">
        <v>21</v>
      </c>
      <c r="D14" s="4" t="s">
        <v>481</v>
      </c>
      <c r="E14" s="99">
        <v>46115</v>
      </c>
      <c r="F14" s="4" t="s">
        <v>384</v>
      </c>
      <c r="G14" s="4" t="s">
        <v>476</v>
      </c>
      <c r="H14" s="4">
        <v>17.5</v>
      </c>
      <c r="I14" s="4" t="s">
        <v>453</v>
      </c>
      <c r="J14" s="211" t="str">
        <f>IF(B14&lt;&gt;"",_xlfn.XLOOKUP(B14,'2627PR_Loading'!$E$3:$E$501,'2627PR_Loading'!$B$3:$B$501,"",0)&amp;_xlfn.XLOOKUP(B14,'2627PR_Loading'!$K$3:$K$501,'2627PR_Loading'!$B$3:$B$501,"",0)&amp;_xlfn.XLOOKUP(B14,'2627PR_Loading'!$Q$3:$Q$501,'2627PR_Loading'!$B$3:$B$501,"",0),"")</f>
        <v>1</v>
      </c>
      <c r="K14" s="211" t="str">
        <f>IF(B14&lt;&gt;"",_xlfn.XLOOKUP(B14,'2627PR_Loading'!$E$3:$E$501,'2627PR_Loading'!$C$3:$C$501,"",0)&amp;_xlfn.XLOOKUP(B14,'2627PR_Loading'!$K$3:$K$501,'2627PR_Loading'!$C$3:$C$501,"",0)&amp;_xlfn.XLOOKUP(B14,'2627PR_Loading'!$Q$3:$Q$501,'2627PR_Loading'!$C$3:$C$501,"",0),"")</f>
        <v>12</v>
      </c>
      <c r="L14">
        <v>1985</v>
      </c>
      <c r="M14" s="4"/>
      <c r="N14" s="4"/>
      <c r="O14" s="4" t="s">
        <v>482</v>
      </c>
      <c r="P14" s="248" t="str">
        <f>IF(B14&lt;&gt;"",_xlfn.XLOOKUP(B14,'2627PR_Loading'!$E$3:$E$501,'2627PR_Loading'!$J$3:$J$501,"",0)&amp;_xlfn.XLOOKUP(B14,'2627PR_Loading'!$K$3:$K$501,'2627PR_Loading'!$P$3:$P$501,"",0)&amp;_xlfn.XLOOKUP(B14,'2627PR_Loading'!$Q$3:$Q$501,'2627PR_Loading'!$V$3:$V$501,"",0),"")</f>
        <v/>
      </c>
      <c r="Q14" s="98">
        <f>IF(B14&lt;&gt;"",_xlfn.XLOOKUP(B14,TableDispatch[Uniq Id],TableDispatch[Delivery Date],"",0),"")</f>
        <v>46119</v>
      </c>
      <c r="R14" s="98" t="str">
        <f>IF(B14&lt;&gt;"",_xlfn.XLOOKUP(B14,TableDispatch[Uniq Id],TableDispatch[Our Ch No.],"",0),"")</f>
        <v>DC/6</v>
      </c>
      <c r="T14" s="26" t="str">
        <f>IF(B14&lt;&gt;"",_xlfn.XLOOKUP(B14,TableDispatch[Uniq Id],TableDispatch[Eway Bill Out],"",0),"")</f>
        <v>6220 9065 7362</v>
      </c>
      <c r="U14" s="260">
        <v>67</v>
      </c>
      <c r="V14" s="263">
        <f>U14*L14</f>
        <v>132995</v>
      </c>
      <c r="W14" s="263"/>
      <c r="X14" s="263"/>
      <c r="AA14" s="323" t="s">
        <v>483</v>
      </c>
      <c r="AB14" s="323"/>
      <c r="AC14" s="314"/>
      <c r="AD14" s="323"/>
      <c r="AE14" s="323"/>
    </row>
    <row r="15" spans="1:49" ht="15.75" x14ac:dyDescent="0.25">
      <c r="E15" s="99"/>
      <c r="J15" s="211" t="str">
        <f>IF(B15&lt;&gt;"",_xlfn.XLOOKUP(B15,'2627PR_Loading'!$E$3:$E$501,'2627PR_Loading'!$B$3:$B$501,"",0)&amp;_xlfn.XLOOKUP(B15,'2627PR_Loading'!$K$3:$K$501,'2627PR_Loading'!$B$3:$B$501,"",0)&amp;_xlfn.XLOOKUP(B15,'2627PR_Loading'!$Q$3:$Q$501,'2627PR_Loading'!$B$3:$B$501,"",0),"")</f>
        <v/>
      </c>
      <c r="K15" s="211" t="str">
        <f>IF(B15&lt;&gt;"",_xlfn.XLOOKUP(B15,'2627PR_Loading'!$E$3:$E$501,'2627PR_Loading'!$C$3:$C$501,"",0)&amp;_xlfn.XLOOKUP(B15,'2627PR_Loading'!$K$3:$K$501,'2627PR_Loading'!$C$3:$C$501,"",0)&amp;_xlfn.XLOOKUP(B15,'2627PR_Loading'!$Q$3:$Q$501,'2627PR_Loading'!$C$3:$C$501,"",0),"")</f>
        <v/>
      </c>
      <c r="L15" s="458">
        <f>SUM(L14)</f>
        <v>1985</v>
      </c>
      <c r="M15" s="348"/>
      <c r="N15" s="349"/>
      <c r="O15" s="349">
        <v>1985</v>
      </c>
      <c r="P15" s="248" t="str">
        <f>IF(B15&lt;&gt;"",_xlfn.XLOOKUP(B15,'2627PR_Loading'!$E$3:$E$501,'2627PR_Loading'!$J$3:$J$501,"",0)&amp;_xlfn.XLOOKUP(B15,'2627PR_Loading'!$K$3:$K$501,'2627PR_Loading'!$P$3:$P$501,"",0)&amp;_xlfn.XLOOKUP(B15,'2627PR_Loading'!$Q$3:$Q$501,'2627PR_Loading'!$V$3:$V$501,"",0),"")</f>
        <v/>
      </c>
      <c r="Q15" s="98" t="str">
        <f>IF(B15&lt;&gt;"",_xlfn.XLOOKUP(B15,TableDispatch[Uniq Id],TableDispatch[Delivery Date],"",0),"")</f>
        <v/>
      </c>
      <c r="R15" s="98" t="str">
        <f>IF(B15&lt;&gt;"",_xlfn.XLOOKUP(B15,TableDispatch[Uniq Id],TableDispatch[Our Ch No.],"",0),"")</f>
        <v/>
      </c>
      <c r="T15" s="26" t="str">
        <f>IF(B15&lt;&gt;"",_xlfn.XLOOKUP(B15,TableDispatch[Uniq Id],TableDispatch[Eway Bill Out],"",0),"")</f>
        <v/>
      </c>
      <c r="U15" s="260"/>
      <c r="V15" s="263"/>
      <c r="W15" s="263"/>
      <c r="X15" s="263"/>
      <c r="AA15" s="109" t="s">
        <v>484</v>
      </c>
    </row>
    <row r="16" spans="1:49" ht="15.75" x14ac:dyDescent="0.25">
      <c r="E16" s="99"/>
      <c r="J16" s="211" t="str">
        <f>IF(B16&lt;&gt;"",_xlfn.XLOOKUP(B16,'2627PR_Loading'!$E$3:$E$501,'2627PR_Loading'!$B$3:$B$501,"",0)&amp;_xlfn.XLOOKUP(B16,'2627PR_Loading'!$K$3:$K$501,'2627PR_Loading'!$B$3:$B$501,"",0)&amp;_xlfn.XLOOKUP(B16,'2627PR_Loading'!$Q$3:$Q$501,'2627PR_Loading'!$B$3:$B$501,"",0),"")</f>
        <v/>
      </c>
      <c r="K16" s="211" t="str">
        <f>IF(B16&lt;&gt;"",_xlfn.XLOOKUP(B16,'2627PR_Loading'!$E$3:$E$501,'2627PR_Loading'!$C$3:$C$501,"",0)&amp;_xlfn.XLOOKUP(B16,'2627PR_Loading'!$K$3:$K$501,'2627PR_Loading'!$C$3:$C$501,"",0)&amp;_xlfn.XLOOKUP(B16,'2627PR_Loading'!$Q$3:$Q$501,'2627PR_Loading'!$C$3:$C$501,"",0),"")</f>
        <v/>
      </c>
      <c r="L16" s="459"/>
      <c r="M16" s="348" t="s">
        <v>126</v>
      </c>
      <c r="N16" s="349" t="s">
        <v>485</v>
      </c>
      <c r="O16" s="349" t="s">
        <v>486</v>
      </c>
      <c r="P16" s="248" t="str">
        <f>IF(B16&lt;&gt;"",_xlfn.XLOOKUP(B16,'2627PR_Loading'!$E$3:$E$501,'2627PR_Loading'!$J$3:$J$501,"",0)&amp;_xlfn.XLOOKUP(B16,'2627PR_Loading'!$K$3:$K$501,'2627PR_Loading'!$P$3:$P$501,"",0)&amp;_xlfn.XLOOKUP(B16,'2627PR_Loading'!$Q$3:$Q$501,'2627PR_Loading'!$V$3:$V$501,"",0),"")</f>
        <v/>
      </c>
      <c r="Q16" s="98" t="str">
        <f>IF(B16&lt;&gt;"",_xlfn.XLOOKUP(B16,TableDispatch[Uniq Id],TableDispatch[Delivery Date],"",0),"")</f>
        <v/>
      </c>
      <c r="R16" s="98" t="str">
        <f>IF(B16&lt;&gt;"",_xlfn.XLOOKUP(B16,TableDispatch[Uniq Id],TableDispatch[Our Ch No.],"",0),"")</f>
        <v/>
      </c>
      <c r="T16" s="26" t="str">
        <f>IF(B16&lt;&gt;"",_xlfn.XLOOKUP(B16,TableDispatch[Uniq Id],TableDispatch[Eway Bill Out],"",0),"")</f>
        <v/>
      </c>
      <c r="U16" s="260"/>
      <c r="V16" s="263"/>
      <c r="W16" s="263"/>
      <c r="X16" s="263"/>
      <c r="AC16" s="4"/>
    </row>
    <row r="17" spans="1:29" x14ac:dyDescent="0.25">
      <c r="A17" s="13" t="s">
        <v>480</v>
      </c>
      <c r="B17" s="4">
        <v>340401</v>
      </c>
      <c r="C17" s="4" t="s">
        <v>244</v>
      </c>
      <c r="E17" s="99">
        <v>46132</v>
      </c>
      <c r="F17" s="4" t="s">
        <v>261</v>
      </c>
      <c r="G17" s="4" t="s">
        <v>463</v>
      </c>
      <c r="H17" s="4">
        <v>17.3</v>
      </c>
      <c r="I17" s="4" t="s">
        <v>464</v>
      </c>
      <c r="J17" s="211" t="str">
        <f>IF(B17&lt;&gt;"",_xlfn.XLOOKUP(B17,'2627PR_Loading'!$E$3:$E$501,'2627PR_Loading'!$B$3:$B$501,"",0)&amp;_xlfn.XLOOKUP(B17,'2627PR_Loading'!$K$3:$K$501,'2627PR_Loading'!$B$3:$B$501,"",0)&amp;_xlfn.XLOOKUP(B17,'2627PR_Loading'!$Q$3:$Q$501,'2627PR_Loading'!$B$3:$B$501,"",0),"")</f>
        <v>4</v>
      </c>
      <c r="K17" s="211" t="str">
        <f>IF(B17&lt;&gt;"",_xlfn.XLOOKUP(B17,'2627PR_Loading'!$E$3:$E$501,'2627PR_Loading'!$C$3:$C$501,"",0)&amp;_xlfn.XLOOKUP(B17,'2627PR_Loading'!$K$3:$K$501,'2627PR_Loading'!$C$3:$C$501,"",0)&amp;_xlfn.XLOOKUP(B17,'2627PR_Loading'!$Q$3:$Q$501,'2627PR_Loading'!$C$3:$C$501,"",0),"")</f>
        <v>12</v>
      </c>
      <c r="L17">
        <v>2221</v>
      </c>
      <c r="M17" s="4"/>
      <c r="N17" s="4"/>
      <c r="O17" s="4" t="s">
        <v>487</v>
      </c>
      <c r="P17" s="248" t="str">
        <f>IF(B17&lt;&gt;"",_xlfn.XLOOKUP(B17,'2627PR_Loading'!$E$3:$E$501,'2627PR_Loading'!$J$3:$J$501,"",0)&amp;_xlfn.XLOOKUP(B17,'2627PR_Loading'!$K$3:$K$501,'2627PR_Loading'!$P$3:$P$501,"",0)&amp;_xlfn.XLOOKUP(B17,'2627PR_Loading'!$Q$3:$Q$501,'2627PR_Loading'!$V$3:$V$501,"",0),"")</f>
        <v>80</v>
      </c>
      <c r="Q17" s="98">
        <f>IF(B17&lt;&gt;"",_xlfn.XLOOKUP(B17,TableDispatch[Uniq Id],TableDispatch[Delivery Date],"",0),"")</f>
        <v>46137</v>
      </c>
      <c r="R17" s="98" t="str">
        <f>IF(B17&lt;&gt;"",_xlfn.XLOOKUP(B17,TableDispatch[Uniq Id],TableDispatch[Our Ch No.],"",0),"")</f>
        <v>DC/10</v>
      </c>
      <c r="T17" s="26" t="str">
        <f>IF(B17&lt;&gt;"",_xlfn.XLOOKUP(B17,TableDispatch[Uniq Id],TableDispatch[Eway Bill Out],"",0),"")</f>
        <v>NO EWAY BILL</v>
      </c>
      <c r="U17" s="260"/>
      <c r="V17" s="263"/>
      <c r="W17" s="263"/>
      <c r="X17" s="263"/>
      <c r="AC17" s="4"/>
    </row>
    <row r="18" spans="1:29" ht="15.75" x14ac:dyDescent="0.25">
      <c r="E18" s="99"/>
      <c r="J18" s="211" t="str">
        <f>IF(B18&lt;&gt;"",_xlfn.XLOOKUP(B18,'2627PR_Loading'!$E$3:$E$501,'2627PR_Loading'!$B$3:$B$501,"",0)&amp;_xlfn.XLOOKUP(B18,'2627PR_Loading'!$K$3:$K$501,'2627PR_Loading'!$B$3:$B$501,"",0)&amp;_xlfn.XLOOKUP(B18,'2627PR_Loading'!$Q$3:$Q$501,'2627PR_Loading'!$B$3:$B$501,"",0),"")</f>
        <v/>
      </c>
      <c r="K18" s="211" t="str">
        <f>IF(B18&lt;&gt;"",_xlfn.XLOOKUP(B18,'2627PR_Loading'!$E$3:$E$501,'2627PR_Loading'!$C$3:$C$501,"",0)&amp;_xlfn.XLOOKUP(B18,'2627PR_Loading'!$K$3:$K$501,'2627PR_Loading'!$C$3:$C$501,"",0)&amp;_xlfn.XLOOKUP(B18,'2627PR_Loading'!$Q$3:$Q$501,'2627PR_Loading'!$C$3:$C$501,"",0),"")</f>
        <v/>
      </c>
      <c r="L18" s="458">
        <f>SUM(L17)</f>
        <v>2221</v>
      </c>
      <c r="M18" s="348"/>
      <c r="N18" s="349"/>
      <c r="O18" s="349"/>
      <c r="P18" s="248" t="str">
        <f>IF(B18&lt;&gt;"",_xlfn.XLOOKUP(B18,'2627PR_Loading'!$E$3:$E$501,'2627PR_Loading'!$J$3:$J$501,"",0)&amp;_xlfn.XLOOKUP(B18,'2627PR_Loading'!$K$3:$K$501,'2627PR_Loading'!$P$3:$P$501,"",0)&amp;_xlfn.XLOOKUP(B18,'2627PR_Loading'!$Q$3:$Q$501,'2627PR_Loading'!$V$3:$V$501,"",0),"")</f>
        <v/>
      </c>
      <c r="Q18" s="98" t="str">
        <f>IF(B18&lt;&gt;"",_xlfn.XLOOKUP(B18,TableDispatch[Uniq Id],TableDispatch[Delivery Date],"",0),"")</f>
        <v/>
      </c>
      <c r="R18" s="98" t="str">
        <f>IF(B18&lt;&gt;"",_xlfn.XLOOKUP(B18,TableDispatch[Uniq Id],TableDispatch[Our Ch No.],"",0),"")</f>
        <v/>
      </c>
      <c r="T18" s="26" t="str">
        <f>IF(B18&lt;&gt;"",_xlfn.XLOOKUP(B18,TableDispatch[Uniq Id],TableDispatch[Eway Bill Out],"",0),"")</f>
        <v/>
      </c>
      <c r="U18" s="260"/>
      <c r="V18" s="263"/>
      <c r="W18" s="263"/>
      <c r="X18" s="263"/>
      <c r="AC18" s="4"/>
    </row>
    <row r="19" spans="1:29" ht="15.75" x14ac:dyDescent="0.25">
      <c r="E19" s="99"/>
      <c r="J19" s="211" t="str">
        <f>IF(B19&lt;&gt;"",_xlfn.XLOOKUP(B19,'2627PR_Loading'!$E$3:$E$501,'2627PR_Loading'!$B$3:$B$501,"",0)&amp;_xlfn.XLOOKUP(B19,'2627PR_Loading'!$K$3:$K$501,'2627PR_Loading'!$B$3:$B$501,"",0)&amp;_xlfn.XLOOKUP(B19,'2627PR_Loading'!$Q$3:$Q$501,'2627PR_Loading'!$B$3:$B$501,"",0),"")</f>
        <v/>
      </c>
      <c r="K19" s="211" t="str">
        <f>IF(B19&lt;&gt;"",_xlfn.XLOOKUP(B19,'2627PR_Loading'!$E$3:$E$501,'2627PR_Loading'!$C$3:$C$501,"",0)&amp;_xlfn.XLOOKUP(B19,'2627PR_Loading'!$K$3:$K$501,'2627PR_Loading'!$C$3:$C$501,"",0)&amp;_xlfn.XLOOKUP(B19,'2627PR_Loading'!$Q$3:$Q$501,'2627PR_Loading'!$C$3:$C$501,"",0),"")</f>
        <v/>
      </c>
      <c r="L19" s="459"/>
      <c r="M19" s="348" t="s">
        <v>126</v>
      </c>
      <c r="N19" s="349" t="s">
        <v>485</v>
      </c>
      <c r="O19" s="349"/>
      <c r="P19" s="248" t="str">
        <f>IF(B19&lt;&gt;"",_xlfn.XLOOKUP(B19,'2627PR_Loading'!$E$3:$E$501,'2627PR_Loading'!$J$3:$J$501,"",0)&amp;_xlfn.XLOOKUP(B19,'2627PR_Loading'!$K$3:$K$501,'2627PR_Loading'!$P$3:$P$501,"",0)&amp;_xlfn.XLOOKUP(B19,'2627PR_Loading'!$Q$3:$Q$501,'2627PR_Loading'!$V$3:$V$501,"",0),"")</f>
        <v/>
      </c>
      <c r="Q19" s="98" t="str">
        <f>IF(B19&lt;&gt;"",_xlfn.XLOOKUP(B19,TableDispatch[Uniq Id],TableDispatch[Delivery Date],"",0),"")</f>
        <v/>
      </c>
      <c r="R19" s="98" t="str">
        <f>IF(B19&lt;&gt;"",_xlfn.XLOOKUP(B19,TableDispatch[Uniq Id],TableDispatch[Our Ch No.],"",0),"")</f>
        <v/>
      </c>
      <c r="T19" s="26" t="str">
        <f>IF(B19&lt;&gt;"",_xlfn.XLOOKUP(B19,TableDispatch[Uniq Id],TableDispatch[Eway Bill Out],"",0),"")</f>
        <v/>
      </c>
      <c r="U19" s="260"/>
      <c r="V19" s="263"/>
      <c r="W19" s="267"/>
      <c r="AA19" s="263"/>
      <c r="AB19" s="263"/>
    </row>
    <row r="20" spans="1:29" x14ac:dyDescent="0.25">
      <c r="A20" s="13" t="s">
        <v>480</v>
      </c>
      <c r="B20" s="4">
        <v>270401</v>
      </c>
      <c r="C20" s="4" t="s">
        <v>725</v>
      </c>
      <c r="E20" s="99">
        <v>46137</v>
      </c>
      <c r="F20" s="4" t="s">
        <v>261</v>
      </c>
      <c r="G20" s="4" t="s">
        <v>476</v>
      </c>
      <c r="H20" s="4">
        <v>10</v>
      </c>
      <c r="I20" s="4" t="s">
        <v>464</v>
      </c>
      <c r="J20" s="211" t="str">
        <f>IF(B20&lt;&gt;"",_xlfn.XLOOKUP(B20,'2627PR_Loading'!$E$3:$E$501,'2627PR_Loading'!$B$3:$B$501,"",0)&amp;_xlfn.XLOOKUP(B20,'2627PR_Loading'!$K$3:$K$501,'2627PR_Loading'!$B$3:$B$501,"",0)&amp;_xlfn.XLOOKUP(B20,'2627PR_Loading'!$Q$3:$Q$501,'2627PR_Loading'!$B$3:$B$501,"",0),"")</f>
        <v>6</v>
      </c>
      <c r="K20" s="211" t="str">
        <f>IF(B20&lt;&gt;"",_xlfn.XLOOKUP(B20,'2627PR_Loading'!$E$3:$E$501,'2627PR_Loading'!$C$3:$C$501,"",0)&amp;_xlfn.XLOOKUP(B20,'2627PR_Loading'!$K$3:$K$501,'2627PR_Loading'!$C$3:$C$501,"",0)&amp;_xlfn.XLOOKUP(B20,'2627PR_Loading'!$Q$3:$Q$501,'2627PR_Loading'!$C$3:$C$501,"",0),"")</f>
        <v>12</v>
      </c>
      <c r="L20">
        <v>2015</v>
      </c>
      <c r="M20" s="4"/>
      <c r="N20" s="4"/>
      <c r="O20" s="4" t="s">
        <v>734</v>
      </c>
      <c r="P20" s="248" t="str">
        <f>IF(B20&lt;&gt;"",_xlfn.XLOOKUP(B20,'2627PR_Loading'!$E$3:$E$501,'2627PR_Loading'!$J$3:$J$501,"",0)&amp;_xlfn.XLOOKUP(B20,'2627PR_Loading'!$K$3:$K$501,'2627PR_Loading'!$P$3:$P$501,"",0)&amp;_xlfn.XLOOKUP(B20,'2627PR_Loading'!$Q$3:$Q$501,'2627PR_Loading'!$V$3:$V$501,"",0),"")</f>
        <v>85</v>
      </c>
      <c r="Q20" s="98">
        <f>IF(B20&lt;&gt;"",_xlfn.XLOOKUP(B20,TableDispatch[Uniq Id],TableDispatch[Delivery Date],"",0),"")</f>
        <v>46146</v>
      </c>
      <c r="R20" s="98" t="str">
        <f>IF(B20&lt;&gt;"",_xlfn.XLOOKUP(B20,TableDispatch[Uniq Id],TableDispatch[Our Ch No.],"",0),"")</f>
        <v>DC/11</v>
      </c>
      <c r="T20" s="26" t="str">
        <f>IF(B20&lt;&gt;"",_xlfn.XLOOKUP(B20,TableDispatch[Uniq Id],TableDispatch[Eway Bill Out],"",0),"")</f>
        <v>6721 0569 8743</v>
      </c>
      <c r="U20" s="260">
        <v>70</v>
      </c>
      <c r="V20" s="263">
        <f>U20*L20</f>
        <v>141050</v>
      </c>
      <c r="AA20" s="323" t="s">
        <v>488</v>
      </c>
      <c r="AB20" s="323"/>
      <c r="AC20" s="4"/>
    </row>
    <row r="21" spans="1:29" ht="15.75" x14ac:dyDescent="0.25">
      <c r="E21" s="99"/>
      <c r="J21" s="211" t="str">
        <f>IF(B21&lt;&gt;"",_xlfn.XLOOKUP(B21,'2627PR_Loading'!$E$3:$E$501,'2627PR_Loading'!$B$3:$B$501,"",0)&amp;_xlfn.XLOOKUP(B21,'2627PR_Loading'!$K$3:$K$501,'2627PR_Loading'!$B$3:$B$501,"",0)&amp;_xlfn.XLOOKUP(B21,'2627PR_Loading'!$Q$3:$Q$501,'2627PR_Loading'!$B$3:$B$501,"",0),"")</f>
        <v/>
      </c>
      <c r="K21" s="211" t="str">
        <f>IF(B21&lt;&gt;"",_xlfn.XLOOKUP(B21,'2627PR_Loading'!$E$3:$E$501,'2627PR_Loading'!$C$3:$C$501,"",0)&amp;_xlfn.XLOOKUP(B21,'2627PR_Loading'!$K$3:$K$501,'2627PR_Loading'!$C$3:$C$501,"",0)&amp;_xlfn.XLOOKUP(B21,'2627PR_Loading'!$Q$3:$Q$501,'2627PR_Loading'!$C$3:$C$501,"",0),"")</f>
        <v/>
      </c>
      <c r="L21" s="458">
        <f>SUM(L20)</f>
        <v>2015</v>
      </c>
      <c r="M21" s="348"/>
      <c r="N21" s="349">
        <v>2015</v>
      </c>
      <c r="O21" s="349">
        <v>2015</v>
      </c>
      <c r="P21" s="248" t="str">
        <f>IF(B21&lt;&gt;"",_xlfn.XLOOKUP(B21,'2627PR_Loading'!$E$3:$E$501,'2627PR_Loading'!$J$3:$J$501,"",0)&amp;_xlfn.XLOOKUP(B21,'2627PR_Loading'!$K$3:$K$501,'2627PR_Loading'!$P$3:$P$501,"",0)&amp;_xlfn.XLOOKUP(B21,'2627PR_Loading'!$Q$3:$Q$501,'2627PR_Loading'!$V$3:$V$501,"",0),"")</f>
        <v/>
      </c>
      <c r="Q21" s="98" t="str">
        <f>IF(B21&lt;&gt;"",_xlfn.XLOOKUP(B21,TableDispatch[Uniq Id],TableDispatch[Delivery Date],"",0),"")</f>
        <v/>
      </c>
      <c r="R21" s="98" t="str">
        <f>IF(B21&lt;&gt;"",_xlfn.XLOOKUP(B21,TableDispatch[Uniq Id],TableDispatch[Our Ch No.],"",0),"")</f>
        <v/>
      </c>
      <c r="T21" s="26" t="str">
        <f>IF(B21&lt;&gt;"",_xlfn.XLOOKUP(B21,TableDispatch[Uniq Id],TableDispatch[Eway Bill Out],"",0),"")</f>
        <v/>
      </c>
      <c r="U21" s="260"/>
      <c r="V21" s="263"/>
      <c r="AA21" s="109" t="s">
        <v>489</v>
      </c>
    </row>
    <row r="22" spans="1:29" ht="15.75" x14ac:dyDescent="0.25">
      <c r="E22" s="99"/>
      <c r="J22" s="211" t="str">
        <f>IF(B22&lt;&gt;"",_xlfn.XLOOKUP(B22,'2627PR_Loading'!$E$3:$E$501,'2627PR_Loading'!$B$3:$B$501,"",0)&amp;_xlfn.XLOOKUP(B22,'2627PR_Loading'!$K$3:$K$501,'2627PR_Loading'!$B$3:$B$501,"",0)&amp;_xlfn.XLOOKUP(B22,'2627PR_Loading'!$Q$3:$Q$501,'2627PR_Loading'!$B$3:$B$501,"",0),"")</f>
        <v/>
      </c>
      <c r="K22" s="211" t="str">
        <f>IF(B22&lt;&gt;"",_xlfn.XLOOKUP(B22,'2627PR_Loading'!$E$3:$E$501,'2627PR_Loading'!$C$3:$C$501,"",0)&amp;_xlfn.XLOOKUP(B22,'2627PR_Loading'!$K$3:$K$501,'2627PR_Loading'!$C$3:$C$501,"",0)&amp;_xlfn.XLOOKUP(B22,'2627PR_Loading'!$Q$3:$Q$501,'2627PR_Loading'!$C$3:$C$501,"",0),"")</f>
        <v/>
      </c>
      <c r="L22" s="459"/>
      <c r="M22" s="348" t="s">
        <v>126</v>
      </c>
      <c r="N22" s="349" t="s">
        <v>485</v>
      </c>
      <c r="O22" s="349" t="s">
        <v>486</v>
      </c>
      <c r="P22" s="248" t="str">
        <f>IF(B22&lt;&gt;"",_xlfn.XLOOKUP(B22,'2627PR_Loading'!$E$3:$E$501,'2627PR_Loading'!$J$3:$J$501,"",0)&amp;_xlfn.XLOOKUP(B22,'2627PR_Loading'!$K$3:$K$501,'2627PR_Loading'!$P$3:$P$501,"",0)&amp;_xlfn.XLOOKUP(B22,'2627PR_Loading'!$Q$3:$Q$501,'2627PR_Loading'!$V$3:$V$501,"",0),"")</f>
        <v/>
      </c>
      <c r="Q22" s="98" t="str">
        <f>IF(B22&lt;&gt;"",_xlfn.XLOOKUP(B22,TableDispatch[Uniq Id],TableDispatch[Delivery Date],"",0),"")</f>
        <v/>
      </c>
      <c r="R22" s="98" t="str">
        <f>IF(B22&lt;&gt;"",_xlfn.XLOOKUP(B22,TableDispatch[Uniq Id],TableDispatch[Our Ch No.],"",0),"")</f>
        <v/>
      </c>
      <c r="T22" s="26" t="str">
        <f>IF(B22&lt;&gt;"",_xlfn.XLOOKUP(B22,TableDispatch[Uniq Id],TableDispatch[Eway Bill Out],"",0),"")</f>
        <v/>
      </c>
      <c r="U22" s="260"/>
      <c r="V22" s="263"/>
    </row>
    <row r="23" spans="1:29" s="11" customFormat="1" x14ac:dyDescent="0.25">
      <c r="A23" s="10"/>
      <c r="B23" s="10"/>
      <c r="C23" s="10"/>
      <c r="D23" s="10"/>
      <c r="E23" s="460"/>
      <c r="F23" s="10"/>
      <c r="G23" s="10"/>
      <c r="H23" s="10"/>
      <c r="I23" s="10"/>
      <c r="J23" s="10" t="str">
        <f>IF(B23&lt;&gt;"",_xlfn.XLOOKUP(B23,'2627PR_Loading'!$E$3:$E$501,'2627PR_Loading'!$B$3:$B$501,"",0)&amp;_xlfn.XLOOKUP(B23,'2627PR_Loading'!$K$3:$K$501,'2627PR_Loading'!$B$3:$B$501,"",0)&amp;_xlfn.XLOOKUP(B23,'2627PR_Loading'!$Q$3:$Q$501,'2627PR_Loading'!$B$3:$B$501,"",0),"")</f>
        <v/>
      </c>
      <c r="K23" s="10" t="str">
        <f>IF(B23&lt;&gt;"",_xlfn.XLOOKUP(B23,'2627PR_Loading'!$E$3:$E$501,'2627PR_Loading'!$C$3:$C$501,"",0)&amp;_xlfn.XLOOKUP(B23,'2627PR_Loading'!$K$3:$K$501,'2627PR_Loading'!$C$3:$C$501,"",0)&amp;_xlfn.XLOOKUP(B23,'2627PR_Loading'!$Q$3:$Q$501,'2627PR_Loading'!$C$3:$C$501,"",0),"")</f>
        <v/>
      </c>
      <c r="L23" s="10"/>
      <c r="M23" s="10"/>
      <c r="N23" s="10"/>
      <c r="O23" s="10"/>
      <c r="P23" s="10" t="str">
        <f>IF(B23&lt;&gt;"",_xlfn.XLOOKUP(B23,'2627PR_Loading'!$E$3:$E$501,'2627PR_Loading'!$J$3:$J$501,"",0)&amp;_xlfn.XLOOKUP(B23,'2627PR_Loading'!$K$3:$K$501,'2627PR_Loading'!$P$3:$P$501,"",0)&amp;_xlfn.XLOOKUP(B23,'2627PR_Loading'!$Q$3:$Q$501,'2627PR_Loading'!$V$3:$V$501,"",0),"")</f>
        <v/>
      </c>
      <c r="Q23" s="10" t="str">
        <f>IF(B23&lt;&gt;"",_xlfn.XLOOKUP(B23,TableDispatch[Uniq Id],TableDispatch[Delivery Date],"",0),"")</f>
        <v/>
      </c>
      <c r="R23" s="10" t="str">
        <f>IF(B23&lt;&gt;"",_xlfn.XLOOKUP(B23,TableDispatch[Uniq Id],TableDispatch[Our Ch No.],"",0),"")</f>
        <v/>
      </c>
      <c r="S23" s="10"/>
      <c r="T23" s="10" t="str">
        <f>IF(B23&lt;&gt;"",_xlfn.XLOOKUP(B23,TableDispatch[Uniq Id],TableDispatch[Eway Bill Out],"",0),"")</f>
        <v/>
      </c>
      <c r="U23" s="10"/>
      <c r="V23" s="462"/>
    </row>
    <row r="24" spans="1:29" x14ac:dyDescent="0.25">
      <c r="A24" s="461" t="s">
        <v>727</v>
      </c>
      <c r="B24" s="4">
        <v>940501</v>
      </c>
      <c r="C24" s="4" t="s">
        <v>89</v>
      </c>
      <c r="D24" s="4">
        <v>220</v>
      </c>
      <c r="E24" s="99">
        <v>46143</v>
      </c>
      <c r="F24" s="4" t="s">
        <v>726</v>
      </c>
      <c r="G24" s="4" t="s">
        <v>595</v>
      </c>
      <c r="H24" s="4">
        <v>9</v>
      </c>
      <c r="I24" s="4">
        <v>4140</v>
      </c>
      <c r="J24" s="211" t="str">
        <f>IF(B24&lt;&gt;"",_xlfn.XLOOKUP(B24,'2627PR_Loading'!$E$3:$E$501,'2627PR_Loading'!$B$3:$B$501,"",0)&amp;_xlfn.XLOOKUP(B24,'2627PR_Loading'!$K$3:$K$501,'2627PR_Loading'!$B$3:$B$501,"",0)&amp;_xlfn.XLOOKUP(B24,'2627PR_Loading'!$Q$3:$Q$501,'2627PR_Loading'!$B$3:$B$501,"",0),"")</f>
        <v>8</v>
      </c>
      <c r="K24" s="211" t="str">
        <f>IF(B24&lt;&gt;"",_xlfn.XLOOKUP(B24,'2627PR_Loading'!$E$3:$E$501,'2627PR_Loading'!$C$3:$C$501,"",0)&amp;_xlfn.XLOOKUP(B24,'2627PR_Loading'!$K$3:$K$501,'2627PR_Loading'!$C$3:$C$501,"",0)&amp;_xlfn.XLOOKUP(B24,'2627PR_Loading'!$Q$3:$Q$501,'2627PR_Loading'!$C$3:$C$501,"",0),"")</f>
        <v>12</v>
      </c>
      <c r="L24" s="150">
        <v>1961</v>
      </c>
      <c r="M24" s="4">
        <v>1961</v>
      </c>
      <c r="N24" s="4"/>
      <c r="O24" s="4">
        <v>3519188</v>
      </c>
      <c r="P24" s="248" t="str">
        <f>IF(B24&lt;&gt;"",_xlfn.XLOOKUP(B24,'2627PR_Loading'!$E$3:$E$501,'2627PR_Loading'!$J$3:$J$501,"",0)&amp;_xlfn.XLOOKUP(B24,'2627PR_Loading'!$K$3:$K$501,'2627PR_Loading'!$P$3:$P$501,"",0)&amp;_xlfn.XLOOKUP(B24,'2627PR_Loading'!$Q$3:$Q$501,'2627PR_Loading'!$V$3:$V$501,"",0),"")</f>
        <v>79</v>
      </c>
      <c r="Q24" s="98">
        <f>IF(B24&lt;&gt;"",_xlfn.XLOOKUP(B24,TableDispatch[Uniq Id],TableDispatch[Delivery Date],"",0),"")</f>
        <v>46161</v>
      </c>
      <c r="R24" s="98" t="str">
        <f>IF(B24&lt;&gt;"",_xlfn.XLOOKUP(B24,TableDispatch[Uniq Id],TableDispatch[Our Ch No.],"",0),"")</f>
        <v>DC/15</v>
      </c>
      <c r="T24" s="26" t="str">
        <f>IF(B24&lt;&gt;"",_xlfn.XLOOKUP(B24,TableDispatch[Uniq Id],TableDispatch[Eway Bill Out],"",0),"")</f>
        <v>6421 1395 7075</v>
      </c>
      <c r="U24" s="260">
        <v>81</v>
      </c>
      <c r="V24" s="263">
        <f>U24*L24</f>
        <v>158841</v>
      </c>
      <c r="W24" s="267"/>
    </row>
    <row r="25" spans="1:29" x14ac:dyDescent="0.25">
      <c r="A25" s="461" t="s">
        <v>727</v>
      </c>
      <c r="B25" s="4">
        <v>940502</v>
      </c>
      <c r="C25" s="4" t="s">
        <v>89</v>
      </c>
      <c r="D25" s="4">
        <v>220</v>
      </c>
      <c r="E25" s="99">
        <v>46143</v>
      </c>
      <c r="F25" s="4" t="s">
        <v>726</v>
      </c>
      <c r="G25" s="4" t="s">
        <v>595</v>
      </c>
      <c r="H25" s="4">
        <v>8</v>
      </c>
      <c r="I25" s="4">
        <v>4140</v>
      </c>
      <c r="J25" s="211" t="str">
        <f>IF(B25&lt;&gt;"",_xlfn.XLOOKUP(B25,'2627PR_Loading'!$E$3:$E$501,'2627PR_Loading'!$B$3:$B$501,"",0)&amp;_xlfn.XLOOKUP(B25,'2627PR_Loading'!$K$3:$K$501,'2627PR_Loading'!$B$3:$B$501,"",0)&amp;_xlfn.XLOOKUP(B25,'2627PR_Loading'!$Q$3:$Q$501,'2627PR_Loading'!$B$3:$B$501,"",0),"")</f>
        <v>7</v>
      </c>
      <c r="K25" s="211" t="str">
        <f>IF(B25&lt;&gt;"",_xlfn.XLOOKUP(B25,'2627PR_Loading'!$E$3:$E$501,'2627PR_Loading'!$C$3:$C$501,"",0)&amp;_xlfn.XLOOKUP(B25,'2627PR_Loading'!$K$3:$K$501,'2627PR_Loading'!$C$3:$C$501,"",0)&amp;_xlfn.XLOOKUP(B25,'2627PR_Loading'!$Q$3:$Q$501,'2627PR_Loading'!$C$3:$C$501,"",0),"")</f>
        <v>12</v>
      </c>
      <c r="L25" s="150">
        <v>1964</v>
      </c>
      <c r="M25" s="4">
        <v>1964</v>
      </c>
      <c r="N25" s="4"/>
      <c r="O25" s="4">
        <v>3519187</v>
      </c>
      <c r="P25" s="248" t="str">
        <f>IF(B25&lt;&gt;"",_xlfn.XLOOKUP(B25,'2627PR_Loading'!$E$3:$E$501,'2627PR_Loading'!$J$3:$J$501,"",0)&amp;_xlfn.XLOOKUP(B25,'2627PR_Loading'!$K$3:$K$501,'2627PR_Loading'!$P$3:$P$501,"",0)&amp;_xlfn.XLOOKUP(B25,'2627PR_Loading'!$Q$3:$Q$501,'2627PR_Loading'!$V$3:$V$501,"",0),"")</f>
        <v>73</v>
      </c>
      <c r="Q25" s="98">
        <f>IF(B25&lt;&gt;"",_xlfn.XLOOKUP(B25,TableDispatch[Uniq Id],TableDispatch[Delivery Date],"",0),"")</f>
        <v>46160</v>
      </c>
      <c r="R25" s="98" t="str">
        <f>IF(B25&lt;&gt;"",_xlfn.XLOOKUP(B25,TableDispatch[Uniq Id],TableDispatch[Our Ch No.],"",0),"")</f>
        <v>DC/14</v>
      </c>
      <c r="T25" s="26" t="str">
        <f>IF(B25&lt;&gt;"",_xlfn.XLOOKUP(B25,TableDispatch[Uniq Id],TableDispatch[Eway Bill Out],"",0),"")</f>
        <v>6121 1348 4532</v>
      </c>
      <c r="U25" s="260">
        <v>81</v>
      </c>
      <c r="V25" s="263">
        <f>U25*L25</f>
        <v>159084</v>
      </c>
    </row>
    <row r="26" spans="1:29" ht="14.45" customHeight="1" x14ac:dyDescent="0.25">
      <c r="E26" s="99"/>
      <c r="J26" s="211" t="str">
        <f>IF(B26&lt;&gt;"",_xlfn.XLOOKUP(B26,'2627PR_Loading'!$E$3:$E$501,'2627PR_Loading'!$B$3:$B$501,"",0)&amp;_xlfn.XLOOKUP(B26,'2627PR_Loading'!$K$3:$K$501,'2627PR_Loading'!$B$3:$B$501,"",0)&amp;_xlfn.XLOOKUP(B26,'2627PR_Loading'!$Q$3:$Q$501,'2627PR_Loading'!$B$3:$B$501,"",0),"")</f>
        <v/>
      </c>
      <c r="K26" s="211" t="str">
        <f>IF(B26&lt;&gt;"",_xlfn.XLOOKUP(B26,'2627PR_Loading'!$E$3:$E$501,'2627PR_Loading'!$C$3:$C$501,"",0)&amp;_xlfn.XLOOKUP(B26,'2627PR_Loading'!$K$3:$K$501,'2627PR_Loading'!$C$3:$C$501,"",0)&amp;_xlfn.XLOOKUP(B26,'2627PR_Loading'!$Q$3:$Q$501,'2627PR_Loading'!$C$3:$C$501,"",0),"")</f>
        <v/>
      </c>
      <c r="L26" s="458">
        <f>SUM(L24:L25)</f>
        <v>3925</v>
      </c>
      <c r="M26" s="348">
        <f>SUM(M24:M25)</f>
        <v>3925</v>
      </c>
      <c r="N26" s="349">
        <v>3925</v>
      </c>
      <c r="O26" s="349"/>
      <c r="P26" s="248" t="str">
        <f>IF(B26&lt;&gt;"",_xlfn.XLOOKUP(B26,'2627PR_Loading'!$E$3:$E$501,'2627PR_Loading'!$J$3:$J$501,"",0)&amp;_xlfn.XLOOKUP(B26,'2627PR_Loading'!$K$3:$K$501,'2627PR_Loading'!$P$3:$P$501,"",0)&amp;_xlfn.XLOOKUP(B26,'2627PR_Loading'!$Q$3:$Q$501,'2627PR_Loading'!$V$3:$V$501,"",0),"")</f>
        <v/>
      </c>
      <c r="Q26" s="98" t="str">
        <f>IF(B26&lt;&gt;"",_xlfn.XLOOKUP(B26,TableDispatch[Uniq Id],TableDispatch[Delivery Date],"",0),"")</f>
        <v/>
      </c>
      <c r="R26" s="98" t="str">
        <f>IF(B26&lt;&gt;"",_xlfn.XLOOKUP(B26,TableDispatch[Uniq Id],TableDispatch[Our Ch No.],"",0),"")</f>
        <v/>
      </c>
      <c r="T26" s="26" t="str">
        <f>IF(B26&lt;&gt;"",_xlfn.XLOOKUP(B26,TableDispatch[Uniq Id],TableDispatch[Eway Bill Out],"",0),"")</f>
        <v/>
      </c>
      <c r="V26" s="263"/>
    </row>
    <row r="27" spans="1:29" ht="15.75" x14ac:dyDescent="0.25">
      <c r="E27" s="99"/>
      <c r="J27" s="211" t="str">
        <f>IF(B27&lt;&gt;"",_xlfn.XLOOKUP(B27,'2627PR_Loading'!$E$3:$E$501,'2627PR_Loading'!$B$3:$B$501,"",0)&amp;_xlfn.XLOOKUP(B27,'2627PR_Loading'!$K$3:$K$501,'2627PR_Loading'!$B$3:$B$501,"",0)&amp;_xlfn.XLOOKUP(B27,'2627PR_Loading'!$Q$3:$Q$501,'2627PR_Loading'!$B$3:$B$501,"",0),"")</f>
        <v/>
      </c>
      <c r="K27" s="211" t="str">
        <f>IF(B27&lt;&gt;"",_xlfn.XLOOKUP(B27,'2627PR_Loading'!$E$3:$E$501,'2627PR_Loading'!$C$3:$C$501,"",0)&amp;_xlfn.XLOOKUP(B27,'2627PR_Loading'!$K$3:$K$501,'2627PR_Loading'!$C$3:$C$501,"",0)&amp;_xlfn.XLOOKUP(B27,'2627PR_Loading'!$Q$3:$Q$501,'2627PR_Loading'!$C$3:$C$501,"",0),"")</f>
        <v/>
      </c>
      <c r="L27" s="459"/>
      <c r="M27" s="348" t="s">
        <v>126</v>
      </c>
      <c r="N27" s="349" t="s">
        <v>485</v>
      </c>
      <c r="O27" s="349"/>
      <c r="P27" s="248" t="str">
        <f>IF(B27&lt;&gt;"",_xlfn.XLOOKUP(B27,'2627PR_Loading'!$E$3:$E$501,'2627PR_Loading'!$J$3:$J$501,"",0)&amp;_xlfn.XLOOKUP(B27,'2627PR_Loading'!$K$3:$K$501,'2627PR_Loading'!$P$3:$P$501,"",0)&amp;_xlfn.XLOOKUP(B27,'2627PR_Loading'!$Q$3:$Q$501,'2627PR_Loading'!$V$3:$V$501,"",0),"")</f>
        <v/>
      </c>
      <c r="Q27" s="98" t="str">
        <f>IF(B27&lt;&gt;"",_xlfn.XLOOKUP(B27,TableDispatch[Uniq Id],TableDispatch[Delivery Date],"",0),"")</f>
        <v/>
      </c>
      <c r="R27" s="98" t="str">
        <f>IF(B27&lt;&gt;"",_xlfn.XLOOKUP(B27,TableDispatch[Uniq Id],TableDispatch[Our Ch No.],"",0),"")</f>
        <v/>
      </c>
      <c r="T27" s="26" t="str">
        <f>IF(B27&lt;&gt;"",_xlfn.XLOOKUP(B27,TableDispatch[Uniq Id],TableDispatch[Eway Bill Out],"",0),"")</f>
        <v/>
      </c>
    </row>
    <row r="28" spans="1:29" x14ac:dyDescent="0.25">
      <c r="A28" s="461" t="s">
        <v>727</v>
      </c>
      <c r="B28" s="4">
        <v>340501</v>
      </c>
      <c r="C28" s="4" t="s">
        <v>244</v>
      </c>
      <c r="D28" s="4">
        <v>46163</v>
      </c>
      <c r="E28" s="99">
        <v>46146</v>
      </c>
      <c r="F28" s="4" t="s">
        <v>261</v>
      </c>
      <c r="G28" s="4" t="s">
        <v>728</v>
      </c>
      <c r="H28" s="4">
        <v>16.399999999999999</v>
      </c>
      <c r="I28" s="4" t="s">
        <v>464</v>
      </c>
      <c r="J28" s="211" t="str">
        <f>IF(B28&lt;&gt;"",_xlfn.XLOOKUP(B28,'2627PR_Loading'!$E$3:$E$501,'2627PR_Loading'!$B$3:$B$501,"",0)&amp;_xlfn.XLOOKUP(B28,'2627PR_Loading'!$K$3:$K$501,'2627PR_Loading'!$B$3:$B$501,"",0)&amp;_xlfn.XLOOKUP(B28,'2627PR_Loading'!$Q$3:$Q$501,'2627PR_Loading'!$B$3:$B$501,"",0),"")</f>
        <v>9</v>
      </c>
      <c r="K28" s="211" t="str">
        <f>IF(B28&lt;&gt;"",_xlfn.XLOOKUP(B28,'2627PR_Loading'!$E$3:$E$501,'2627PR_Loading'!$C$3:$C$501,"",0)&amp;_xlfn.XLOOKUP(B28,'2627PR_Loading'!$K$3:$K$501,'2627PR_Loading'!$C$3:$C$501,"",0)&amp;_xlfn.XLOOKUP(B28,'2627PR_Loading'!$Q$3:$Q$501,'2627PR_Loading'!$C$3:$C$501,"",0),"")</f>
        <v>12</v>
      </c>
      <c r="L28">
        <v>1640</v>
      </c>
      <c r="O28" s="4" t="s">
        <v>729</v>
      </c>
      <c r="P28" s="248" t="str">
        <f>IF(B28&lt;&gt;"",_xlfn.XLOOKUP(B28,'2627PR_Loading'!$E$3:$E$501,'2627PR_Loading'!$J$3:$J$501,"",0)&amp;_xlfn.XLOOKUP(B28,'2627PR_Loading'!$K$3:$K$501,'2627PR_Loading'!$P$3:$P$501,"",0)&amp;_xlfn.XLOOKUP(B28,'2627PR_Loading'!$Q$3:$Q$501,'2627PR_Loading'!$V$3:$V$501,"",0),"")</f>
        <v>83</v>
      </c>
      <c r="Q28" s="98">
        <f>IF(B28&lt;&gt;"",_xlfn.XLOOKUP(B28,TableDispatch[Uniq Id],TableDispatch[Delivery Date],"",0),"")</f>
        <v>46150</v>
      </c>
      <c r="R28" s="98" t="str">
        <f>IF(B28&lt;&gt;"",_xlfn.XLOOKUP(B28,TableDispatch[Uniq Id],TableDispatch[Our Ch No.],"",0),"")</f>
        <v>DC/12</v>
      </c>
      <c r="T28" s="26" t="str">
        <f>IF(B28&lt;&gt;"",_xlfn.XLOOKUP(B28,TableDispatch[Uniq Id],TableDispatch[Eway Bill Out],"",0),"")</f>
        <v>6721 0797 1697</v>
      </c>
      <c r="U28" s="260">
        <v>73</v>
      </c>
      <c r="V28" s="263">
        <f>U28*L28</f>
        <v>119720</v>
      </c>
    </row>
    <row r="29" spans="1:29" ht="15.75" x14ac:dyDescent="0.25">
      <c r="E29" s="99"/>
      <c r="J29" s="211" t="str">
        <f>IF(B29&lt;&gt;"",_xlfn.XLOOKUP(B29,'2627PR_Loading'!$E$3:$E$501,'2627PR_Loading'!$B$3:$B$501,"",0)&amp;_xlfn.XLOOKUP(B29,'2627PR_Loading'!$K$3:$K$501,'2627PR_Loading'!$B$3:$B$501,"",0)&amp;_xlfn.XLOOKUP(B29,'2627PR_Loading'!$Q$3:$Q$501,'2627PR_Loading'!$B$3:$B$501,"",0),"")</f>
        <v/>
      </c>
      <c r="K29" s="211" t="str">
        <f>IF(B29&lt;&gt;"",_xlfn.XLOOKUP(B29,'2627PR_Loading'!$E$3:$E$501,'2627PR_Loading'!$C$3:$C$501,"",0)&amp;_xlfn.XLOOKUP(B29,'2627PR_Loading'!$K$3:$K$501,'2627PR_Loading'!$C$3:$C$501,"",0)&amp;_xlfn.XLOOKUP(B29,'2627PR_Loading'!$Q$3:$Q$501,'2627PR_Loading'!$C$3:$C$501,"",0),"")</f>
        <v/>
      </c>
      <c r="L29" s="458">
        <f>SUM(L28)</f>
        <v>1640</v>
      </c>
      <c r="M29" s="348"/>
      <c r="N29" s="349">
        <v>1640</v>
      </c>
      <c r="O29" s="349">
        <v>1635</v>
      </c>
      <c r="P29" s="248" t="str">
        <f>IF(B29&lt;&gt;"",_xlfn.XLOOKUP(B29,'2627PR_Loading'!$E$3:$E$501,'2627PR_Loading'!$J$3:$J$501,"",0)&amp;_xlfn.XLOOKUP(B29,'2627PR_Loading'!$K$3:$K$501,'2627PR_Loading'!$P$3:$P$501,"",0)&amp;_xlfn.XLOOKUP(B29,'2627PR_Loading'!$Q$3:$Q$501,'2627PR_Loading'!$V$3:$V$501,"",0),"")</f>
        <v/>
      </c>
      <c r="Q29" s="98" t="str">
        <f>IF(B29&lt;&gt;"",_xlfn.XLOOKUP(B29,TableDispatch[Uniq Id],TableDispatch[Delivery Date],"",0),"")</f>
        <v/>
      </c>
      <c r="R29" s="98" t="str">
        <f>IF(B29&lt;&gt;"",_xlfn.XLOOKUP(B29,TableDispatch[Uniq Id],TableDispatch[Our Ch No.],"",0),"")</f>
        <v/>
      </c>
      <c r="T29" s="26" t="str">
        <f>IF(B29&lt;&gt;"",_xlfn.XLOOKUP(B29,TableDispatch[Uniq Id],TableDispatch[Eway Bill Out],"",0),"")</f>
        <v/>
      </c>
    </row>
    <row r="30" spans="1:29" ht="15.75" x14ac:dyDescent="0.25">
      <c r="E30" s="99"/>
      <c r="J30" s="211" t="str">
        <f>IF(B30&lt;&gt;"",_xlfn.XLOOKUP(B30,'2627PR_Loading'!$E$3:$E$501,'2627PR_Loading'!$B$3:$B$501,"",0)&amp;_xlfn.XLOOKUP(B30,'2627PR_Loading'!$K$3:$K$501,'2627PR_Loading'!$B$3:$B$501,"",0)&amp;_xlfn.XLOOKUP(B30,'2627PR_Loading'!$Q$3:$Q$501,'2627PR_Loading'!$B$3:$B$501,"",0),"")</f>
        <v/>
      </c>
      <c r="K30" s="211" t="str">
        <f>IF(B30&lt;&gt;"",_xlfn.XLOOKUP(B30,'2627PR_Loading'!$E$3:$E$501,'2627PR_Loading'!$C$3:$C$501,"",0)&amp;_xlfn.XLOOKUP(B30,'2627PR_Loading'!$K$3:$K$501,'2627PR_Loading'!$C$3:$C$501,"",0)&amp;_xlfn.XLOOKUP(B30,'2627PR_Loading'!$Q$3:$Q$501,'2627PR_Loading'!$C$3:$C$501,"",0),"")</f>
        <v/>
      </c>
      <c r="L30" s="459"/>
      <c r="M30" s="348" t="s">
        <v>126</v>
      </c>
      <c r="N30" s="349" t="s">
        <v>485</v>
      </c>
      <c r="O30" s="349" t="s">
        <v>486</v>
      </c>
      <c r="P30" s="248" t="str">
        <f>IF(B30&lt;&gt;"",_xlfn.XLOOKUP(B30,'2627PR_Loading'!$E$3:$E$501,'2627PR_Loading'!$J$3:$J$501,"",0)&amp;_xlfn.XLOOKUP(B30,'2627PR_Loading'!$K$3:$K$501,'2627PR_Loading'!$P$3:$P$501,"",0)&amp;_xlfn.XLOOKUP(B30,'2627PR_Loading'!$Q$3:$Q$501,'2627PR_Loading'!$V$3:$V$501,"",0),"")</f>
        <v/>
      </c>
      <c r="Q30" s="98" t="str">
        <f>IF(B30&lt;&gt;"",_xlfn.XLOOKUP(B30,TableDispatch[Uniq Id],TableDispatch[Delivery Date],"",0),"")</f>
        <v/>
      </c>
      <c r="R30" s="98" t="str">
        <f>IF(B30&lt;&gt;"",_xlfn.XLOOKUP(B30,TableDispatch[Uniq Id],TableDispatch[Our Ch No.],"",0),"")</f>
        <v/>
      </c>
      <c r="T30" s="26" t="str">
        <f>IF(B30&lt;&gt;"",_xlfn.XLOOKUP(B30,TableDispatch[Uniq Id],TableDispatch[Eway Bill Out],"",0),"")</f>
        <v/>
      </c>
    </row>
    <row r="31" spans="1:29" s="11" customFormat="1" x14ac:dyDescent="0.25">
      <c r="A31" s="10"/>
      <c r="B31" s="10"/>
      <c r="C31" s="10"/>
      <c r="D31" s="10"/>
      <c r="E31" s="460"/>
      <c r="F31" s="10"/>
      <c r="G31" s="10"/>
      <c r="H31" s="10"/>
      <c r="I31" s="10"/>
      <c r="J31" s="10" t="str">
        <f>IF(B31&lt;&gt;"",_xlfn.XLOOKUP(B31,'2627PR_Loading'!$E$3:$E$501,'2627PR_Loading'!$B$3:$B$501,"",0)&amp;_xlfn.XLOOKUP(B31,'2627PR_Loading'!$K$3:$K$501,'2627PR_Loading'!$B$3:$B$501,"",0)&amp;_xlfn.XLOOKUP(B31,'2627PR_Loading'!$Q$3:$Q$501,'2627PR_Loading'!$B$3:$B$501,"",0),"")</f>
        <v/>
      </c>
      <c r="K31" s="10" t="str">
        <f>IF(B31&lt;&gt;"",_xlfn.XLOOKUP(B31,'2627PR_Loading'!$E$3:$E$501,'2627PR_Loading'!$C$3:$C$501,"",0)&amp;_xlfn.XLOOKUP(B31,'2627PR_Loading'!$K$3:$K$501,'2627PR_Loading'!$C$3:$C$501,"",0)&amp;_xlfn.XLOOKUP(B31,'2627PR_Loading'!$Q$3:$Q$501,'2627PR_Loading'!$C$3:$C$501,"",0),"")</f>
        <v/>
      </c>
      <c r="L31" s="10"/>
      <c r="M31" s="10"/>
      <c r="N31" s="10"/>
      <c r="O31" s="10"/>
      <c r="P31" s="10" t="str">
        <f>IF(B31&lt;&gt;"",_xlfn.XLOOKUP(B31,'2627PR_Loading'!$E$3:$E$501,'2627PR_Loading'!$J$3:$J$501,"",0)&amp;_xlfn.XLOOKUP(B31,'2627PR_Loading'!$K$3:$K$501,'2627PR_Loading'!$P$3:$P$501,"",0)&amp;_xlfn.XLOOKUP(B31,'2627PR_Loading'!$Q$3:$Q$501,'2627PR_Loading'!$V$3:$V$501,"",0),"")</f>
        <v/>
      </c>
      <c r="Q31" s="10" t="str">
        <f>IF(B31&lt;&gt;"",_xlfn.XLOOKUP(B31,TableDispatch[Uniq Id],TableDispatch[Delivery Date],"",0),"")</f>
        <v/>
      </c>
      <c r="R31" s="10" t="str">
        <f>IF(B31&lt;&gt;"",_xlfn.XLOOKUP(B31,TableDispatch[Uniq Id],TableDispatch[Our Ch No.],"",0),"")</f>
        <v/>
      </c>
      <c r="S31" s="10"/>
      <c r="T31" s="10" t="str">
        <f>IF(B31&lt;&gt;"",_xlfn.XLOOKUP(B31,TableDispatch[Uniq Id],TableDispatch[Eway Bill Out],"",0),"")</f>
        <v/>
      </c>
      <c r="U31" s="10"/>
      <c r="V31" s="10"/>
      <c r="W31" s="10"/>
    </row>
    <row r="32" spans="1:29" x14ac:dyDescent="0.25">
      <c r="A32" s="313" t="s">
        <v>450</v>
      </c>
      <c r="B32" s="4">
        <v>340601</v>
      </c>
      <c r="C32" s="4" t="s">
        <v>244</v>
      </c>
      <c r="D32" s="4">
        <v>46484</v>
      </c>
      <c r="E32" s="99">
        <v>46174</v>
      </c>
      <c r="F32" s="4" t="s">
        <v>261</v>
      </c>
      <c r="G32" s="4" t="s">
        <v>728</v>
      </c>
      <c r="H32" s="4">
        <v>16.399999999999999</v>
      </c>
      <c r="I32" s="4" t="s">
        <v>464</v>
      </c>
      <c r="J32" s="211" t="str">
        <f>IF(B32&lt;&gt;"",_xlfn.XLOOKUP(B32,'2627PR_Loading'!$E$3:$E$501,'2627PR_Loading'!$B$3:$B$501,"",0)&amp;_xlfn.XLOOKUP(B32,'2627PR_Loading'!$K$3:$K$501,'2627PR_Loading'!$B$3:$B$501,"",0)&amp;_xlfn.XLOOKUP(B32,'2627PR_Loading'!$Q$3:$Q$501,'2627PR_Loading'!$B$3:$B$501,"",0),"")</f>
        <v>15</v>
      </c>
      <c r="K32" s="211" t="str">
        <f>IF(B32&lt;&gt;"",_xlfn.XLOOKUP(B32,'2627PR_Loading'!$E$3:$E$501,'2627PR_Loading'!$C$3:$C$501,"",0)&amp;_xlfn.XLOOKUP(B32,'2627PR_Loading'!$K$3:$K$501,'2627PR_Loading'!$C$3:$C$501,"",0)&amp;_xlfn.XLOOKUP(B32,'2627PR_Loading'!$Q$3:$Q$501,'2627PR_Loading'!$C$3:$C$501,"",0),"")</f>
        <v>12</v>
      </c>
      <c r="L32">
        <v>1250</v>
      </c>
      <c r="M32">
        <v>1226</v>
      </c>
      <c r="O32" s="4" t="s">
        <v>765</v>
      </c>
      <c r="P32" s="248" t="str">
        <f>IF(B32&lt;&gt;"",_xlfn.XLOOKUP(B32,'2627PR_Loading'!$E$3:$E$501,'2627PR_Loading'!$J$3:$J$501,"",0)&amp;_xlfn.XLOOKUP(B32,'2627PR_Loading'!$K$3:$K$501,'2627PR_Loading'!$P$3:$P$501,"",0)&amp;_xlfn.XLOOKUP(B32,'2627PR_Loading'!$Q$3:$Q$501,'2627PR_Loading'!$V$3:$V$501,"",0),"")</f>
        <v>82</v>
      </c>
      <c r="Q32" s="98">
        <f>IF(B32&lt;&gt;"",_xlfn.XLOOKUP(B32,TableDispatch[Uniq Id],TableDispatch[Delivery Date],"",0),"")</f>
        <v>46186</v>
      </c>
      <c r="R32" s="98" t="str">
        <f>IF(B32&lt;&gt;"",_xlfn.XLOOKUP(B32,TableDispatch[Uniq Id],TableDispatch[Our Ch No.],"",0),"")</f>
        <v>DC/19</v>
      </c>
      <c r="T32" s="26" t="str">
        <f>IF(B32&lt;&gt;"",_xlfn.XLOOKUP(B32,TableDispatch[Uniq Id],TableDispatch[Eway Bill Out],"",0),"")</f>
        <v>6621 2788 8064</v>
      </c>
      <c r="U32" s="260">
        <v>91</v>
      </c>
      <c r="V32" s="263">
        <f>U32*L32</f>
        <v>113750</v>
      </c>
    </row>
    <row r="33" spans="1:22" x14ac:dyDescent="0.25">
      <c r="A33" s="313" t="s">
        <v>450</v>
      </c>
      <c r="B33" s="4">
        <v>340602</v>
      </c>
      <c r="C33" s="4" t="s">
        <v>244</v>
      </c>
      <c r="D33" s="4">
        <v>46484</v>
      </c>
      <c r="E33" s="99">
        <v>46174</v>
      </c>
      <c r="F33" s="4" t="s">
        <v>261</v>
      </c>
      <c r="G33" s="4" t="s">
        <v>728</v>
      </c>
      <c r="H33" s="4">
        <v>16.399999999999999</v>
      </c>
      <c r="I33" s="4" t="s">
        <v>464</v>
      </c>
      <c r="J33" s="211" t="str">
        <f>IF(B33&lt;&gt;"",_xlfn.XLOOKUP(B33,'2627PR_Loading'!$E$3:$E$501,'2627PR_Loading'!$B$3:$B$501,"",0)&amp;_xlfn.XLOOKUP(B33,'2627PR_Loading'!$K$3:$K$501,'2627PR_Loading'!$B$3:$B$501,"",0)&amp;_xlfn.XLOOKUP(B33,'2627PR_Loading'!$Q$3:$Q$501,'2627PR_Loading'!$B$3:$B$501,"",0),"")</f>
        <v>13</v>
      </c>
      <c r="K33" s="211" t="str">
        <f>IF(B33&lt;&gt;"",_xlfn.XLOOKUP(B33,'2627PR_Loading'!$E$3:$E$501,'2627PR_Loading'!$C$3:$C$501,"",0)&amp;_xlfn.XLOOKUP(B33,'2627PR_Loading'!$K$3:$K$501,'2627PR_Loading'!$C$3:$C$501,"",0)&amp;_xlfn.XLOOKUP(B33,'2627PR_Loading'!$Q$3:$Q$501,'2627PR_Loading'!$C$3:$C$501,"",0),"")</f>
        <v>12</v>
      </c>
      <c r="L33">
        <v>1235</v>
      </c>
      <c r="M33">
        <v>1235</v>
      </c>
      <c r="O33" s="4" t="s">
        <v>765</v>
      </c>
      <c r="P33" s="248" t="str">
        <f>IF(B33&lt;&gt;"",_xlfn.XLOOKUP(B33,'2627PR_Loading'!$E$3:$E$501,'2627PR_Loading'!$J$3:$J$501,"",0)&amp;_xlfn.XLOOKUP(B33,'2627PR_Loading'!$K$3:$K$501,'2627PR_Loading'!$P$3:$P$501,"",0)&amp;_xlfn.XLOOKUP(B33,'2627PR_Loading'!$Q$3:$Q$501,'2627PR_Loading'!$V$3:$V$501,"",0),"")</f>
        <v>79</v>
      </c>
      <c r="Q33" s="98">
        <f>IF(B33&lt;&gt;"",_xlfn.XLOOKUP(B33,TableDispatch[Uniq Id],TableDispatch[Delivery Date],"",0),"")</f>
        <v>46186</v>
      </c>
      <c r="R33" s="98" t="str">
        <f>IF(B33&lt;&gt;"",_xlfn.XLOOKUP(B33,TableDispatch[Uniq Id],TableDispatch[Our Ch No.],"",0),"")</f>
        <v>DC/19</v>
      </c>
      <c r="T33" s="26" t="str">
        <f>IF(B33&lt;&gt;"",_xlfn.XLOOKUP(B33,TableDispatch[Uniq Id],TableDispatch[Eway Bill Out],"",0),"")</f>
        <v>6621 2788 8064</v>
      </c>
      <c r="U33" s="260">
        <v>91</v>
      </c>
      <c r="V33" s="263">
        <f>U33*L33</f>
        <v>112385</v>
      </c>
    </row>
    <row r="34" spans="1:22" ht="15.75" x14ac:dyDescent="0.25">
      <c r="E34" s="99"/>
      <c r="J34" s="211" t="str">
        <f>IF(B34&lt;&gt;"",_xlfn.XLOOKUP(B34,'2627PR_Loading'!$E$3:$E$501,'2627PR_Loading'!$B$3:$B$501,"",0)&amp;_xlfn.XLOOKUP(B34,'2627PR_Loading'!$K$3:$K$501,'2627PR_Loading'!$B$3:$B$501,"",0)&amp;_xlfn.XLOOKUP(B34,'2627PR_Loading'!$Q$3:$Q$501,'2627PR_Loading'!$B$3:$B$501,"",0),"")</f>
        <v/>
      </c>
      <c r="K34" s="211" t="str">
        <f>IF(B34&lt;&gt;"",_xlfn.XLOOKUP(B34,'2627PR_Loading'!$E$3:$E$501,'2627PR_Loading'!$C$3:$C$501,"",0)&amp;_xlfn.XLOOKUP(B34,'2627PR_Loading'!$K$3:$K$501,'2627PR_Loading'!$C$3:$C$501,"",0)&amp;_xlfn.XLOOKUP(B34,'2627PR_Loading'!$Q$3:$Q$501,'2627PR_Loading'!$C$3:$C$501,"",0),"")</f>
        <v/>
      </c>
      <c r="L34" s="458">
        <f>SUM(L32:L33)</f>
        <v>2485</v>
      </c>
      <c r="M34" s="348">
        <f>SUM(M32:M33)</f>
        <v>2461</v>
      </c>
      <c r="N34" s="349">
        <v>2485</v>
      </c>
      <c r="O34" s="349">
        <v>2499</v>
      </c>
      <c r="P34" s="248" t="str">
        <f>IF(B34&lt;&gt;"",_xlfn.XLOOKUP(B34,'2627PR_Loading'!$E$3:$E$501,'2627PR_Loading'!$J$3:$J$501,"",0)&amp;_xlfn.XLOOKUP(B34,'2627PR_Loading'!$K$3:$K$501,'2627PR_Loading'!$P$3:$P$501,"",0)&amp;_xlfn.XLOOKUP(B34,'2627PR_Loading'!$Q$3:$Q$501,'2627PR_Loading'!$V$3:$V$501,"",0),"")</f>
        <v/>
      </c>
      <c r="Q34" s="98" t="str">
        <f>IF(B34&lt;&gt;"",_xlfn.XLOOKUP(B34,TableDispatch[Uniq Id],TableDispatch[Delivery Date],"",0),"")</f>
        <v/>
      </c>
      <c r="R34" s="98" t="str">
        <f>IF(B34&lt;&gt;"",_xlfn.XLOOKUP(B34,TableDispatch[Uniq Id],TableDispatch[Our Ch No.],"",0),"")</f>
        <v/>
      </c>
      <c r="T34" s="26" t="str">
        <f>IF(B34&lt;&gt;"",_xlfn.XLOOKUP(B34,TableDispatch[Uniq Id],TableDispatch[Eway Bill Out],"",0),"")</f>
        <v/>
      </c>
    </row>
    <row r="35" spans="1:22" ht="15.75" x14ac:dyDescent="0.25">
      <c r="E35" s="99"/>
      <c r="J35" s="211" t="str">
        <f>IF(B35&lt;&gt;"",_xlfn.XLOOKUP(B35,'2627PR_Loading'!$E$3:$E$501,'2627PR_Loading'!$B$3:$B$501,"",0)&amp;_xlfn.XLOOKUP(B35,'2627PR_Loading'!$K$3:$K$501,'2627PR_Loading'!$B$3:$B$501,"",0)&amp;_xlfn.XLOOKUP(B35,'2627PR_Loading'!$Q$3:$Q$501,'2627PR_Loading'!$B$3:$B$501,"",0),"")</f>
        <v/>
      </c>
      <c r="K35" s="211" t="str">
        <f>IF(B35&lt;&gt;"",_xlfn.XLOOKUP(B35,'2627PR_Loading'!$E$3:$E$501,'2627PR_Loading'!$C$3:$C$501,"",0)&amp;_xlfn.XLOOKUP(B35,'2627PR_Loading'!$K$3:$K$501,'2627PR_Loading'!$C$3:$C$501,"",0)&amp;_xlfn.XLOOKUP(B35,'2627PR_Loading'!$Q$3:$Q$501,'2627PR_Loading'!$C$3:$C$501,"",0),"")</f>
        <v/>
      </c>
      <c r="L35" s="459"/>
      <c r="M35" s="348" t="s">
        <v>126</v>
      </c>
      <c r="N35" s="349" t="s">
        <v>485</v>
      </c>
      <c r="O35" s="349" t="s">
        <v>764</v>
      </c>
      <c r="P35" s="248" t="str">
        <f>IF(B35&lt;&gt;"",_xlfn.XLOOKUP(B35,'2627PR_Loading'!$E$3:$E$501,'2627PR_Loading'!$J$3:$J$501,"",0)&amp;_xlfn.XLOOKUP(B35,'2627PR_Loading'!$K$3:$K$501,'2627PR_Loading'!$P$3:$P$501,"",0)&amp;_xlfn.XLOOKUP(B35,'2627PR_Loading'!$Q$3:$Q$501,'2627PR_Loading'!$V$3:$V$501,"",0),"")</f>
        <v/>
      </c>
      <c r="Q35" s="98" t="str">
        <f>IF(B35&lt;&gt;"",_xlfn.XLOOKUP(B35,TableDispatch[Uniq Id],TableDispatch[Delivery Date],"",0),"")</f>
        <v/>
      </c>
      <c r="R35" s="98" t="str">
        <f>IF(B35&lt;&gt;"",_xlfn.XLOOKUP(B35,TableDispatch[Uniq Id],TableDispatch[Our Ch No.],"",0),"")</f>
        <v/>
      </c>
      <c r="T35" s="26" t="str">
        <f>IF(B35&lt;&gt;"",_xlfn.XLOOKUP(B35,TableDispatch[Uniq Id],TableDispatch[Eway Bill Out],"",0),"")</f>
        <v/>
      </c>
    </row>
    <row r="36" spans="1:22" x14ac:dyDescent="0.25">
      <c r="A36" s="313" t="s">
        <v>450</v>
      </c>
      <c r="B36" s="4">
        <v>650601</v>
      </c>
      <c r="C36" s="4" t="s">
        <v>57</v>
      </c>
      <c r="D36" s="4">
        <v>1</v>
      </c>
      <c r="E36" s="183">
        <v>46179</v>
      </c>
      <c r="F36" s="4" t="s">
        <v>475</v>
      </c>
      <c r="G36" s="4" t="s">
        <v>476</v>
      </c>
      <c r="H36" s="4">
        <v>17.5</v>
      </c>
      <c r="I36" s="4" t="s">
        <v>453</v>
      </c>
      <c r="J36" s="211" t="str">
        <f>IF(B36&lt;&gt;"",_xlfn.XLOOKUP(B36,'2627PR_Loading'!$E$3:$E$501,'2627PR_Loading'!$B$3:$B$501,"",0)&amp;_xlfn.XLOOKUP(B36,'2627PR_Loading'!$K$3:$K$501,'2627PR_Loading'!$B$3:$B$501,"",0)&amp;_xlfn.XLOOKUP(B36,'2627PR_Loading'!$Q$3:$Q$501,'2627PR_Loading'!$B$3:$B$501,"",0),"")</f>
        <v>17</v>
      </c>
      <c r="K36" s="211" t="str">
        <f>IF(B36&lt;&gt;"",_xlfn.XLOOKUP(B36,'2627PR_Loading'!$E$3:$E$501,'2627PR_Loading'!$C$3:$C$501,"",0)&amp;_xlfn.XLOOKUP(B36,'2627PR_Loading'!$K$3:$K$501,'2627PR_Loading'!$C$3:$C$501,"",0)&amp;_xlfn.XLOOKUP(B36,'2627PR_Loading'!$Q$3:$Q$501,'2627PR_Loading'!$C$3:$C$501,"",0),"")</f>
        <v>12</v>
      </c>
      <c r="L36">
        <v>1720</v>
      </c>
      <c r="M36">
        <v>1708</v>
      </c>
      <c r="O36" s="4" t="s">
        <v>767</v>
      </c>
      <c r="P36" s="248" t="str">
        <f>IF(B36&lt;&gt;"",_xlfn.XLOOKUP(B36,'2627PR_Loading'!$E$3:$E$501,'2627PR_Loading'!$J$3:$J$501,"",0)&amp;_xlfn.XLOOKUP(B36,'2627PR_Loading'!$K$3:$K$501,'2627PR_Loading'!$P$3:$P$501,"",0)&amp;_xlfn.XLOOKUP(B36,'2627PR_Loading'!$Q$3:$Q$501,'2627PR_Loading'!$V$3:$V$501,"",0),"")</f>
        <v>82</v>
      </c>
      <c r="Q36" s="98">
        <f>IF(B36&lt;&gt;"",_xlfn.XLOOKUP(B36,TableDispatch[Uniq Id],TableDispatch[Delivery Date],"",0),"")</f>
        <v>46186</v>
      </c>
      <c r="R36" s="98" t="str">
        <f>IF(B36&lt;&gt;"",_xlfn.XLOOKUP(B36,TableDispatch[Uniq Id],TableDispatch[Our Ch No.],"",0),"")</f>
        <v>DC/20</v>
      </c>
      <c r="T36" s="26" t="str">
        <f>IF(B36&lt;&gt;"",_xlfn.XLOOKUP(B36,TableDispatch[Uniq Id],TableDispatch[Eway Bill Out],"",0),"")</f>
        <v>6021 2790 2311</v>
      </c>
      <c r="U36" s="260">
        <v>72</v>
      </c>
      <c r="V36" s="263">
        <f>U36*L36</f>
        <v>123840</v>
      </c>
    </row>
    <row r="37" spans="1:22" x14ac:dyDescent="0.25">
      <c r="A37" s="313" t="s">
        <v>450</v>
      </c>
      <c r="B37" s="4">
        <v>650602</v>
      </c>
      <c r="C37" s="4" t="s">
        <v>57</v>
      </c>
      <c r="D37" s="4">
        <v>1</v>
      </c>
      <c r="E37" s="183">
        <v>46179</v>
      </c>
      <c r="F37" s="4" t="s">
        <v>475</v>
      </c>
      <c r="G37" s="4" t="s">
        <v>476</v>
      </c>
      <c r="H37" s="4">
        <v>17.5</v>
      </c>
      <c r="I37" s="4" t="s">
        <v>453</v>
      </c>
      <c r="J37" s="211" t="str">
        <f>IF(B37&lt;&gt;"",_xlfn.XLOOKUP(B37,'2627PR_Loading'!$E$3:$E$501,'2627PR_Loading'!$B$3:$B$501,"",0)&amp;_xlfn.XLOOKUP(B37,'2627PR_Loading'!$K$3:$K$501,'2627PR_Loading'!$B$3:$B$501,"",0)&amp;_xlfn.XLOOKUP(B37,'2627PR_Loading'!$Q$3:$Q$501,'2627PR_Loading'!$B$3:$B$501,"",0),"")</f>
        <v>16</v>
      </c>
      <c r="K37" s="211" t="str">
        <f>IF(B37&lt;&gt;"",_xlfn.XLOOKUP(B37,'2627PR_Loading'!$E$3:$E$501,'2627PR_Loading'!$C$3:$C$501,"",0)&amp;_xlfn.XLOOKUP(B37,'2627PR_Loading'!$K$3:$K$501,'2627PR_Loading'!$C$3:$C$501,"",0)&amp;_xlfn.XLOOKUP(B37,'2627PR_Loading'!$Q$3:$Q$501,'2627PR_Loading'!$C$3:$C$501,"",0),"")</f>
        <v>12</v>
      </c>
      <c r="L37">
        <v>2060</v>
      </c>
      <c r="M37">
        <v>2054</v>
      </c>
      <c r="O37" s="4" t="s">
        <v>767</v>
      </c>
      <c r="P37" s="248" t="str">
        <f>IF(B37&lt;&gt;"",_xlfn.XLOOKUP(B37,'2627PR_Loading'!$E$3:$E$501,'2627PR_Loading'!$J$3:$J$501,"",0)&amp;_xlfn.XLOOKUP(B37,'2627PR_Loading'!$K$3:$K$501,'2627PR_Loading'!$P$3:$P$501,"",0)&amp;_xlfn.XLOOKUP(B37,'2627PR_Loading'!$Q$3:$Q$501,'2627PR_Loading'!$V$3:$V$501,"",0),"")</f>
        <v>83</v>
      </c>
      <c r="Q37" s="98">
        <f>IF(B37&lt;&gt;"",_xlfn.XLOOKUP(B37,TableDispatch[Uniq Id],TableDispatch[Delivery Date],"",0),"")</f>
        <v>46186</v>
      </c>
      <c r="R37" s="98" t="str">
        <f>IF(B37&lt;&gt;"",_xlfn.XLOOKUP(B37,TableDispatch[Uniq Id],TableDispatch[Our Ch No.],"",0),"")</f>
        <v>DC/20</v>
      </c>
      <c r="T37" s="26" t="str">
        <f>IF(B37&lt;&gt;"",_xlfn.XLOOKUP(B37,TableDispatch[Uniq Id],TableDispatch[Eway Bill Out],"",0),"")</f>
        <v>6021 2790 2311</v>
      </c>
      <c r="U37" s="260">
        <v>72</v>
      </c>
      <c r="V37" s="263">
        <f>U37*L37</f>
        <v>148320</v>
      </c>
    </row>
    <row r="38" spans="1:22" x14ac:dyDescent="0.25">
      <c r="A38" s="313" t="s">
        <v>885</v>
      </c>
      <c r="B38" s="4">
        <v>650603</v>
      </c>
      <c r="C38" s="4" t="s">
        <v>57</v>
      </c>
      <c r="D38" s="4">
        <v>1</v>
      </c>
      <c r="E38" s="183">
        <v>46179</v>
      </c>
      <c r="F38" s="4" t="s">
        <v>475</v>
      </c>
      <c r="G38" s="4" t="s">
        <v>476</v>
      </c>
      <c r="H38" s="4">
        <v>17.5</v>
      </c>
      <c r="I38" s="4" t="s">
        <v>453</v>
      </c>
      <c r="J38" s="562" t="str">
        <f>IF(B38&lt;&gt;"",_xlfn.XLOOKUP(B38,'2627PR_Loading'!$E$3:$E$501,'2627PR_Loading'!$B$3:$B$501,"",0)&amp;_xlfn.XLOOKUP(B38,'2627PR_Loading'!$K$3:$K$501,'2627PR_Loading'!$B$3:$B$501,"",0)&amp;_xlfn.XLOOKUP(B38,'2627PR_Loading'!$Q$3:$Q$501,'2627PR_Loading'!$B$3:$B$501,"",0),"")</f>
        <v>24</v>
      </c>
      <c r="K38" s="211" t="str">
        <f>IF(B38&lt;&gt;"",_xlfn.XLOOKUP(B38,'2627PR_Loading'!$E$3:$E$501,'2627PR_Loading'!$C$3:$C$501,"",0)&amp;_xlfn.XLOOKUP(B38,'2627PR_Loading'!$K$3:$K$501,'2627PR_Loading'!$C$3:$C$501,"",0)&amp;_xlfn.XLOOKUP(B38,'2627PR_Loading'!$Q$3:$Q$501,'2627PR_Loading'!$C$3:$C$501,"",0),"")</f>
        <v>12</v>
      </c>
      <c r="L38">
        <v>2020</v>
      </c>
      <c r="M38">
        <v>2016</v>
      </c>
      <c r="O38" s="4" t="s">
        <v>767</v>
      </c>
      <c r="P38" s="248" t="str">
        <f>IF(B38&lt;&gt;"",_xlfn.XLOOKUP(B38,'2627PR_Loading'!$E$3:$E$501,'2627PR_Loading'!$J$3:$J$501,"",0)&amp;_xlfn.XLOOKUP(B38,'2627PR_Loading'!$K$3:$K$501,'2627PR_Loading'!$P$3:$P$501,"",0)&amp;_xlfn.XLOOKUP(B38,'2627PR_Loading'!$Q$3:$Q$501,'2627PR_Loading'!$V$3:$V$501,"",0),"")</f>
        <v>84</v>
      </c>
      <c r="Q38" s="98">
        <f>IF(B38&lt;&gt;"",_xlfn.XLOOKUP(B38,TableDispatch[Uniq Id],TableDispatch[Delivery Date],"",0),"")</f>
        <v>46227</v>
      </c>
      <c r="R38" s="98" t="str">
        <f>IF(B38&lt;&gt;"",_xlfn.XLOOKUP(B38,TableDispatch[Uniq Id],TableDispatch[Our Ch No.],"",0),"")</f>
        <v>DC/37</v>
      </c>
      <c r="T38" s="26" t="str">
        <f>IF(B38&lt;&gt;"",_xlfn.XLOOKUP(B38,TableDispatch[Uniq Id],TableDispatch[Eway Bill Out],"",0),"")</f>
        <v>6421 5045 3958</v>
      </c>
      <c r="U38" s="260">
        <v>72</v>
      </c>
      <c r="V38" s="263">
        <f>U38*L38</f>
        <v>145440</v>
      </c>
    </row>
    <row r="39" spans="1:22" x14ac:dyDescent="0.25">
      <c r="A39" s="313" t="s">
        <v>885</v>
      </c>
      <c r="B39" s="4">
        <v>650604</v>
      </c>
      <c r="C39" s="4" t="s">
        <v>57</v>
      </c>
      <c r="D39" s="4">
        <v>1</v>
      </c>
      <c r="E39" s="183">
        <v>46179</v>
      </c>
      <c r="F39" s="4" t="s">
        <v>475</v>
      </c>
      <c r="G39" s="4" t="s">
        <v>476</v>
      </c>
      <c r="H39" s="4">
        <v>17.5</v>
      </c>
      <c r="I39" s="4" t="s">
        <v>453</v>
      </c>
      <c r="J39" s="562" t="str">
        <f>IF(B39&lt;&gt;"",_xlfn.XLOOKUP(B39,'2627PR_Loading'!$E$3:$E$501,'2627PR_Loading'!$B$3:$B$501,"",0)&amp;_xlfn.XLOOKUP(B39,'2627PR_Loading'!$K$3:$K$501,'2627PR_Loading'!$B$3:$B$501,"",0)&amp;_xlfn.XLOOKUP(B39,'2627PR_Loading'!$Q$3:$Q$501,'2627PR_Loading'!$B$3:$B$501,"",0),"")</f>
        <v>19</v>
      </c>
      <c r="K39" s="211" t="str">
        <f>IF(B39&lt;&gt;"",_xlfn.XLOOKUP(B39,'2627PR_Loading'!$E$3:$E$501,'2627PR_Loading'!$C$3:$C$501,"",0)&amp;_xlfn.XLOOKUP(B39,'2627PR_Loading'!$K$3:$K$501,'2627PR_Loading'!$C$3:$C$501,"",0)&amp;_xlfn.XLOOKUP(B39,'2627PR_Loading'!$Q$3:$Q$501,'2627PR_Loading'!$C$3:$C$501,"",0),"")</f>
        <v>12</v>
      </c>
      <c r="L39">
        <v>2030</v>
      </c>
      <c r="M39">
        <v>2026</v>
      </c>
      <c r="O39" s="4" t="s">
        <v>767</v>
      </c>
      <c r="P39" s="248" t="str">
        <f>IF(B39&lt;&gt;"",_xlfn.XLOOKUP(B39,'2627PR_Loading'!$E$3:$E$501,'2627PR_Loading'!$J$3:$J$501,"",0)&amp;_xlfn.XLOOKUP(B39,'2627PR_Loading'!$K$3:$K$501,'2627PR_Loading'!$P$3:$P$501,"",0)&amp;_xlfn.XLOOKUP(B39,'2627PR_Loading'!$Q$3:$Q$501,'2627PR_Loading'!$V$3:$V$501,"",0),"")</f>
        <v>80</v>
      </c>
      <c r="Q39" s="98">
        <f>IF(B39&lt;&gt;"",_xlfn.XLOOKUP(B39,TableDispatch[Uniq Id],TableDispatch[Delivery Date],"",0),"")</f>
        <v>46194</v>
      </c>
      <c r="R39" s="98" t="str">
        <f>IF(B39&lt;&gt;"",_xlfn.XLOOKUP(B39,TableDispatch[Uniq Id],TableDispatch[Our Ch No.],"",0),"")</f>
        <v>DC/23</v>
      </c>
      <c r="T39" s="26" t="str">
        <f>IF(B39&lt;&gt;"",_xlfn.XLOOKUP(B39,TableDispatch[Uniq Id],TableDispatch[Eway Bill Out],"",0),"")</f>
        <v>6921 3236 7531</v>
      </c>
      <c r="U39" s="260">
        <v>72</v>
      </c>
      <c r="V39" s="263">
        <f>U39*L39</f>
        <v>146160</v>
      </c>
    </row>
    <row r="40" spans="1:22" x14ac:dyDescent="0.25">
      <c r="A40" s="313" t="s">
        <v>885</v>
      </c>
      <c r="B40" s="4">
        <v>650605</v>
      </c>
      <c r="C40" s="4" t="s">
        <v>57</v>
      </c>
      <c r="D40" s="4">
        <v>1</v>
      </c>
      <c r="E40" s="183">
        <v>46179</v>
      </c>
      <c r="F40" s="4" t="s">
        <v>475</v>
      </c>
      <c r="G40" s="4" t="s">
        <v>476</v>
      </c>
      <c r="H40" s="4">
        <v>17.5</v>
      </c>
      <c r="I40" s="4" t="s">
        <v>453</v>
      </c>
      <c r="J40" s="562" t="str">
        <f>IF(B40&lt;&gt;"",_xlfn.XLOOKUP(B40,'2627PR_Loading'!$E$3:$E$501,'2627PR_Loading'!$B$3:$B$501,"",0)&amp;_xlfn.XLOOKUP(B40,'2627PR_Loading'!$K$3:$K$501,'2627PR_Loading'!$B$3:$B$501,"",0)&amp;_xlfn.XLOOKUP(B40,'2627PR_Loading'!$Q$3:$Q$501,'2627PR_Loading'!$B$3:$B$501,"",0),"")</f>
        <v>23</v>
      </c>
      <c r="K40" s="211" t="str">
        <f>IF(B40&lt;&gt;"",_xlfn.XLOOKUP(B40,'2627PR_Loading'!$E$3:$E$501,'2627PR_Loading'!$C$3:$C$501,"",0)&amp;_xlfn.XLOOKUP(B40,'2627PR_Loading'!$K$3:$K$501,'2627PR_Loading'!$C$3:$C$501,"",0)&amp;_xlfn.XLOOKUP(B40,'2627PR_Loading'!$Q$3:$Q$501,'2627PR_Loading'!$C$3:$C$501,"",0),"")</f>
        <v>12</v>
      </c>
      <c r="L40">
        <v>1730</v>
      </c>
      <c r="M40">
        <v>1720</v>
      </c>
      <c r="O40" s="4" t="s">
        <v>767</v>
      </c>
      <c r="P40" s="248" t="str">
        <f>IF(B40&lt;&gt;"",_xlfn.XLOOKUP(B40,'2627PR_Loading'!$E$3:$E$501,'2627PR_Loading'!$J$3:$J$501,"",0)&amp;_xlfn.XLOOKUP(B40,'2627PR_Loading'!$K$3:$K$501,'2627PR_Loading'!$P$3:$P$501,"",0)&amp;_xlfn.XLOOKUP(B40,'2627PR_Loading'!$Q$3:$Q$501,'2627PR_Loading'!$V$3:$V$501,"",0),"")</f>
        <v>85</v>
      </c>
      <c r="Q40" s="98">
        <f>IF(B40&lt;&gt;"",_xlfn.XLOOKUP(B40,TableDispatch[Uniq Id],TableDispatch[Delivery Date],"",0),"")</f>
        <v>46194</v>
      </c>
      <c r="R40" s="98" t="str">
        <f>IF(B40&lt;&gt;"",_xlfn.XLOOKUP(B40,TableDispatch[Uniq Id],TableDispatch[Our Ch No.],"",0),"")</f>
        <v>DC/23</v>
      </c>
      <c r="T40" s="26" t="str">
        <f>IF(B40&lt;&gt;"",_xlfn.XLOOKUP(B40,TableDispatch[Uniq Id],TableDispatch[Eway Bill Out],"",0),"")</f>
        <v>6921 3236 7531</v>
      </c>
      <c r="U40" s="260">
        <v>72</v>
      </c>
      <c r="V40" s="263">
        <f>U40*L40</f>
        <v>124560</v>
      </c>
    </row>
    <row r="41" spans="1:22" ht="15.75" x14ac:dyDescent="0.25">
      <c r="E41" s="99"/>
      <c r="J41" s="211" t="str">
        <f>IF(B41&lt;&gt;"",_xlfn.XLOOKUP(B41,'2627PR_Loading'!$E$3:$E$501,'2627PR_Loading'!$B$3:$B$501,"",0)&amp;_xlfn.XLOOKUP(B41,'2627PR_Loading'!$K$3:$K$501,'2627PR_Loading'!$B$3:$B$501,"",0)&amp;_xlfn.XLOOKUP(B41,'2627PR_Loading'!$Q$3:$Q$501,'2627PR_Loading'!$B$3:$B$501,"",0),"")</f>
        <v/>
      </c>
      <c r="K41" s="211" t="str">
        <f>IF(B41&lt;&gt;"",_xlfn.XLOOKUP(B41,'2627PR_Loading'!$E$3:$E$501,'2627PR_Loading'!$C$3:$C$501,"",0)&amp;_xlfn.XLOOKUP(B41,'2627PR_Loading'!$K$3:$K$501,'2627PR_Loading'!$C$3:$C$501,"",0)&amp;_xlfn.XLOOKUP(B41,'2627PR_Loading'!$Q$3:$Q$501,'2627PR_Loading'!$C$3:$C$501,"",0),"")</f>
        <v/>
      </c>
      <c r="L41" s="458">
        <f>SUM(L36:L40)</f>
        <v>9560</v>
      </c>
      <c r="M41" s="348">
        <f>SUM(M36:M40)</f>
        <v>9524</v>
      </c>
      <c r="N41" s="349"/>
      <c r="O41" s="349">
        <v>9560</v>
      </c>
      <c r="P41" s="248" t="str">
        <f>IF(B41&lt;&gt;"",_xlfn.XLOOKUP(B41,'2627PR_Loading'!$E$3:$E$501,'2627PR_Loading'!$J$3:$J$501,"",0)&amp;_xlfn.XLOOKUP(B41,'2627PR_Loading'!$K$3:$K$501,'2627PR_Loading'!$P$3:$P$501,"",0)&amp;_xlfn.XLOOKUP(B41,'2627PR_Loading'!$Q$3:$Q$501,'2627PR_Loading'!$V$3:$V$501,"",0),"")</f>
        <v/>
      </c>
      <c r="Q41" s="98" t="str">
        <f>IF(B41&lt;&gt;"",_xlfn.XLOOKUP(B41,TableDispatch[Uniq Id],TableDispatch[Delivery Date],"",0),"")</f>
        <v/>
      </c>
      <c r="R41" s="98" t="str">
        <f>IF(B41&lt;&gt;"",_xlfn.XLOOKUP(B41,TableDispatch[Uniq Id],TableDispatch[Our Ch No.],"",0),"")</f>
        <v/>
      </c>
      <c r="T41" s="26" t="str">
        <f>IF(B41&lt;&gt;"",_xlfn.XLOOKUP(B41,TableDispatch[Uniq Id],TableDispatch[Eway Bill Out],"",0),"")</f>
        <v/>
      </c>
    </row>
    <row r="42" spans="1:22" ht="15.75" x14ac:dyDescent="0.25">
      <c r="E42" s="99"/>
      <c r="J42" s="211" t="str">
        <f>IF(B42&lt;&gt;"",_xlfn.XLOOKUP(B42,'2627PR_Loading'!$E$3:$E$501,'2627PR_Loading'!$B$3:$B$501,"",0)&amp;_xlfn.XLOOKUP(B42,'2627PR_Loading'!$K$3:$K$501,'2627PR_Loading'!$B$3:$B$501,"",0)&amp;_xlfn.XLOOKUP(B42,'2627PR_Loading'!$Q$3:$Q$501,'2627PR_Loading'!$B$3:$B$501,"",0),"")</f>
        <v/>
      </c>
      <c r="K42" s="211" t="str">
        <f>IF(B42&lt;&gt;"",_xlfn.XLOOKUP(B42,'2627PR_Loading'!$E$3:$E$501,'2627PR_Loading'!$C$3:$C$501,"",0)&amp;_xlfn.XLOOKUP(B42,'2627PR_Loading'!$K$3:$K$501,'2627PR_Loading'!$C$3:$C$501,"",0)&amp;_xlfn.XLOOKUP(B42,'2627PR_Loading'!$Q$3:$Q$501,'2627PR_Loading'!$C$3:$C$501,"",0),"")</f>
        <v/>
      </c>
      <c r="L42" s="459"/>
      <c r="M42" s="348" t="s">
        <v>126</v>
      </c>
      <c r="N42" s="349" t="s">
        <v>485</v>
      </c>
      <c r="O42" s="349" t="s">
        <v>486</v>
      </c>
      <c r="P42" s="248" t="str">
        <f>IF(B42&lt;&gt;"",_xlfn.XLOOKUP(B42,'2627PR_Loading'!$E$3:$E$501,'2627PR_Loading'!$J$3:$J$501,"",0)&amp;_xlfn.XLOOKUP(B42,'2627PR_Loading'!$K$3:$K$501,'2627PR_Loading'!$P$3:$P$501,"",0)&amp;_xlfn.XLOOKUP(B42,'2627PR_Loading'!$Q$3:$Q$501,'2627PR_Loading'!$V$3:$V$501,"",0),"")</f>
        <v/>
      </c>
      <c r="Q42" s="98" t="str">
        <f>IF(B42&lt;&gt;"",_xlfn.XLOOKUP(B42,TableDispatch[Uniq Id],TableDispatch[Delivery Date],"",0),"")</f>
        <v/>
      </c>
      <c r="R42" s="98" t="str">
        <f>IF(B42&lt;&gt;"",_xlfn.XLOOKUP(B42,TableDispatch[Uniq Id],TableDispatch[Our Ch No.],"",0),"")</f>
        <v/>
      </c>
      <c r="T42" s="26" t="str">
        <f>IF(B42&lt;&gt;"",_xlfn.XLOOKUP(B42,TableDispatch[Uniq Id],TableDispatch[Eway Bill Out],"",0),"")</f>
        <v/>
      </c>
    </row>
    <row r="43" spans="1:22" x14ac:dyDescent="0.25">
      <c r="A43" s="313" t="s">
        <v>885</v>
      </c>
      <c r="B43" s="4">
        <v>940601</v>
      </c>
      <c r="C43" s="4" t="s">
        <v>89</v>
      </c>
      <c r="D43" s="4">
        <v>415</v>
      </c>
      <c r="E43" s="99">
        <v>46181</v>
      </c>
      <c r="F43" s="4" t="s">
        <v>475</v>
      </c>
      <c r="G43" s="4" t="s">
        <v>476</v>
      </c>
      <c r="H43" s="4">
        <v>10</v>
      </c>
      <c r="I43" s="4">
        <v>4140</v>
      </c>
      <c r="J43" s="562" t="str">
        <f>IF(B43&lt;&gt;"",_xlfn.XLOOKUP(B43,'2627PR_Loading'!$E$3:$E$501,'2627PR_Loading'!$B$3:$B$501,"",0)&amp;_xlfn.XLOOKUP(B43,'2627PR_Loading'!$K$3:$K$501,'2627PR_Loading'!$B$3:$B$501,"",0)&amp;_xlfn.XLOOKUP(B43,'2627PR_Loading'!$Q$3:$Q$501,'2627PR_Loading'!$B$3:$B$501,"",0),"")</f>
        <v>25</v>
      </c>
      <c r="K43" s="211" t="str">
        <f>IF(B43&lt;&gt;"",_xlfn.XLOOKUP(B43,'2627PR_Loading'!$E$3:$E$501,'2627PR_Loading'!$C$3:$C$501,"",0)&amp;_xlfn.XLOOKUP(B43,'2627PR_Loading'!$K$3:$K$501,'2627PR_Loading'!$C$3:$C$501,"",0)&amp;_xlfn.XLOOKUP(B43,'2627PR_Loading'!$Q$3:$Q$501,'2627PR_Loading'!$C$3:$C$501,"",0),"")</f>
        <v>12</v>
      </c>
      <c r="L43">
        <v>1925</v>
      </c>
      <c r="M43">
        <v>1929</v>
      </c>
      <c r="O43" s="4" t="s">
        <v>769</v>
      </c>
      <c r="P43" s="248" t="str">
        <f>IF(B43&lt;&gt;"",_xlfn.XLOOKUP(B43,'2627PR_Loading'!$E$3:$E$501,'2627PR_Loading'!$J$3:$J$501,"",0)&amp;_xlfn.XLOOKUP(B43,'2627PR_Loading'!$K$3:$K$501,'2627PR_Loading'!$P$3:$P$501,"",0)&amp;_xlfn.XLOOKUP(B43,'2627PR_Loading'!$Q$3:$Q$501,'2627PR_Loading'!$V$3:$V$501,"",0),"")</f>
        <v>75</v>
      </c>
      <c r="Q43" s="98">
        <f>IF(B43&lt;&gt;"",_xlfn.XLOOKUP(B43,TableDispatch[Uniq Id],TableDispatch[Delivery Date],"",0),"")</f>
        <v>46202</v>
      </c>
      <c r="R43" s="98" t="str">
        <f>IF(B43&lt;&gt;"",_xlfn.XLOOKUP(B43,TableDispatch[Uniq Id],TableDispatch[Our Ch No.],"",0),"")</f>
        <v>DC/25</v>
      </c>
      <c r="T43" s="26" t="str">
        <f>IF(B43&lt;&gt;"",_xlfn.XLOOKUP(B43,TableDispatch[Uniq Id],TableDispatch[Eway Bill Out],"",0),"")</f>
        <v>6721 3652 6145</v>
      </c>
      <c r="U43" s="260">
        <v>81</v>
      </c>
      <c r="V43" s="263">
        <f>U43*L43</f>
        <v>155925</v>
      </c>
    </row>
    <row r="44" spans="1:22" ht="15.75" x14ac:dyDescent="0.25">
      <c r="E44" s="99"/>
      <c r="J44" s="211" t="str">
        <f>IF(B44&lt;&gt;"",_xlfn.XLOOKUP(B44,'2627PR_Loading'!$E$3:$E$501,'2627PR_Loading'!$B$3:$B$501,"",0)&amp;_xlfn.XLOOKUP(B44,'2627PR_Loading'!$K$3:$K$501,'2627PR_Loading'!$B$3:$B$501,"",0)&amp;_xlfn.XLOOKUP(B44,'2627PR_Loading'!$Q$3:$Q$501,'2627PR_Loading'!$B$3:$B$501,"",0),"")</f>
        <v/>
      </c>
      <c r="K44" s="211" t="str">
        <f>IF(B44&lt;&gt;"",_xlfn.XLOOKUP(B44,'2627PR_Loading'!$E$3:$E$501,'2627PR_Loading'!$C$3:$C$501,"",0)&amp;_xlfn.XLOOKUP(B44,'2627PR_Loading'!$K$3:$K$501,'2627PR_Loading'!$C$3:$C$501,"",0)&amp;_xlfn.XLOOKUP(B44,'2627PR_Loading'!$Q$3:$Q$501,'2627PR_Loading'!$C$3:$C$501,"",0),"")</f>
        <v/>
      </c>
      <c r="L44" s="458">
        <f>SUM(L43)</f>
        <v>1925</v>
      </c>
      <c r="M44" s="348">
        <f>SUM(M43)</f>
        <v>1929</v>
      </c>
      <c r="N44" s="349">
        <v>1925</v>
      </c>
      <c r="O44" s="349">
        <v>1925</v>
      </c>
      <c r="P44" s="248" t="str">
        <f>IF(B44&lt;&gt;"",_xlfn.XLOOKUP(B44,'2627PR_Loading'!$E$3:$E$501,'2627PR_Loading'!$J$3:$J$501,"",0)&amp;_xlfn.XLOOKUP(B44,'2627PR_Loading'!$K$3:$K$501,'2627PR_Loading'!$P$3:$P$501,"",0)&amp;_xlfn.XLOOKUP(B44,'2627PR_Loading'!$Q$3:$Q$501,'2627PR_Loading'!$V$3:$V$501,"",0),"")</f>
        <v/>
      </c>
      <c r="Q44" s="98" t="str">
        <f>IF(B44&lt;&gt;"",_xlfn.XLOOKUP(B44,TableDispatch[Uniq Id],TableDispatch[Delivery Date],"",0),"")</f>
        <v/>
      </c>
      <c r="R44" s="98" t="str">
        <f>IF(B44&lt;&gt;"",_xlfn.XLOOKUP(B44,TableDispatch[Uniq Id],TableDispatch[Our Ch No.],"",0),"")</f>
        <v/>
      </c>
      <c r="T44" s="26" t="str">
        <f>IF(B44&lt;&gt;"",_xlfn.XLOOKUP(B44,TableDispatch[Uniq Id],TableDispatch[Eway Bill Out],"",0),"")</f>
        <v/>
      </c>
    </row>
    <row r="45" spans="1:22" ht="15.75" x14ac:dyDescent="0.25">
      <c r="E45" s="99"/>
      <c r="J45" s="211" t="str">
        <f>IF(B45&lt;&gt;"",_xlfn.XLOOKUP(B45,'2627PR_Loading'!$E$3:$E$501,'2627PR_Loading'!$B$3:$B$501,"",0)&amp;_xlfn.XLOOKUP(B45,'2627PR_Loading'!$K$3:$K$501,'2627PR_Loading'!$B$3:$B$501,"",0)&amp;_xlfn.XLOOKUP(B45,'2627PR_Loading'!$Q$3:$Q$501,'2627PR_Loading'!$B$3:$B$501,"",0),"")</f>
        <v/>
      </c>
      <c r="K45" s="211" t="str">
        <f>IF(B45&lt;&gt;"",_xlfn.XLOOKUP(B45,'2627PR_Loading'!$E$3:$E$501,'2627PR_Loading'!$C$3:$C$501,"",0)&amp;_xlfn.XLOOKUP(B45,'2627PR_Loading'!$K$3:$K$501,'2627PR_Loading'!$C$3:$C$501,"",0)&amp;_xlfn.XLOOKUP(B45,'2627PR_Loading'!$Q$3:$Q$501,'2627PR_Loading'!$C$3:$C$501,"",0),"")</f>
        <v/>
      </c>
      <c r="L45" s="459"/>
      <c r="M45" s="348" t="s">
        <v>126</v>
      </c>
      <c r="N45" s="349" t="s">
        <v>485</v>
      </c>
      <c r="O45" s="349" t="s">
        <v>486</v>
      </c>
      <c r="P45" s="248" t="str">
        <f>IF(B45&lt;&gt;"",_xlfn.XLOOKUP(B45,'2627PR_Loading'!$E$3:$E$501,'2627PR_Loading'!$J$3:$J$501,"",0)&amp;_xlfn.XLOOKUP(B45,'2627PR_Loading'!$K$3:$K$501,'2627PR_Loading'!$P$3:$P$501,"",0)&amp;_xlfn.XLOOKUP(B45,'2627PR_Loading'!$Q$3:$Q$501,'2627PR_Loading'!$V$3:$V$501,"",0),"")</f>
        <v/>
      </c>
      <c r="Q45" s="98" t="str">
        <f>IF(B45&lt;&gt;"",_xlfn.XLOOKUP(B45,TableDispatch[Uniq Id],TableDispatch[Delivery Date],"",0),"")</f>
        <v/>
      </c>
      <c r="R45" s="98" t="str">
        <f>IF(B45&lt;&gt;"",_xlfn.XLOOKUP(B45,TableDispatch[Uniq Id],TableDispatch[Our Ch No.],"",0),"")</f>
        <v/>
      </c>
      <c r="T45" s="26" t="str">
        <f>IF(B45&lt;&gt;"",_xlfn.XLOOKUP(B45,TableDispatch[Uniq Id],TableDispatch[Eway Bill Out],"",0),"")</f>
        <v/>
      </c>
    </row>
    <row r="46" spans="1:22" ht="15.75" x14ac:dyDescent="0.25">
      <c r="A46" s="313" t="s">
        <v>885</v>
      </c>
      <c r="B46" s="4">
        <v>830601</v>
      </c>
      <c r="C46" s="4" t="s">
        <v>784</v>
      </c>
      <c r="E46" s="99">
        <v>46187</v>
      </c>
      <c r="F46" s="4" t="s">
        <v>475</v>
      </c>
      <c r="G46" s="4" t="s">
        <v>476</v>
      </c>
      <c r="H46" s="4">
        <v>17.5</v>
      </c>
      <c r="I46" s="4" t="s">
        <v>453</v>
      </c>
      <c r="J46" s="562" t="str">
        <f>IF(B46&lt;&gt;"",_xlfn.XLOOKUP(B46,'2627PR_Loading'!$E$3:$E$501,'2627PR_Loading'!$B$3:$B$501,"",0)&amp;_xlfn.XLOOKUP(B46,'2627PR_Loading'!$K$3:$K$501,'2627PR_Loading'!$B$3:$B$501,"",0)&amp;_xlfn.XLOOKUP(B46,'2627PR_Loading'!$Q$3:$Q$501,'2627PR_Loading'!$B$3:$B$501,"",0),"")</f>
        <v>20</v>
      </c>
      <c r="K46" s="211" t="str">
        <f>IF(B46&lt;&gt;"",_xlfn.XLOOKUP(B46,'2627PR_Loading'!$E$3:$E$501,'2627PR_Loading'!$C$3:$C$501,"",0)&amp;_xlfn.XLOOKUP(B46,'2627PR_Loading'!$K$3:$K$501,'2627PR_Loading'!$C$3:$C$501,"",0)&amp;_xlfn.XLOOKUP(B46,'2627PR_Loading'!$Q$3:$Q$501,'2627PR_Loading'!$C$3:$C$501,"",0),"")</f>
        <v>12</v>
      </c>
      <c r="L46">
        <v>2010</v>
      </c>
      <c r="M46">
        <v>2002</v>
      </c>
      <c r="O46" s="476" t="s">
        <v>785</v>
      </c>
      <c r="P46" s="248" t="str">
        <f>IF(B46&lt;&gt;"",_xlfn.XLOOKUP(B46,'2627PR_Loading'!$E$3:$E$501,'2627PR_Loading'!$J$3:$J$501,"",0)&amp;_xlfn.XLOOKUP(B46,'2627PR_Loading'!$K$3:$K$501,'2627PR_Loading'!$P$3:$P$501,"",0)&amp;_xlfn.XLOOKUP(B46,'2627PR_Loading'!$Q$3:$Q$501,'2627PR_Loading'!$V$3:$V$501,"",0),"")</f>
        <v>85</v>
      </c>
      <c r="Q46" s="98">
        <f>IF(B46&lt;&gt;"",_xlfn.XLOOKUP(B46,TableDispatch[Uniq Id],TableDispatch[Delivery Date],"",0),"")</f>
        <v>46191</v>
      </c>
      <c r="R46" s="98" t="str">
        <f>IF(B46&lt;&gt;"",_xlfn.XLOOKUP(B46,TableDispatch[Uniq Id],TableDispatch[Our Ch No.],"",0),"")</f>
        <v>DC/22</v>
      </c>
      <c r="T46" s="26" t="str">
        <f>IF(B46&lt;&gt;"",_xlfn.XLOOKUP(B46,TableDispatch[Uniq Id],TableDispatch[Eway Bill Out],"",0),"")</f>
        <v>6821 3103 0785</v>
      </c>
      <c r="U46" s="260">
        <v>73.099999999999994</v>
      </c>
      <c r="V46" s="263">
        <f>U46*L46</f>
        <v>146931</v>
      </c>
    </row>
    <row r="47" spans="1:22" ht="15.75" x14ac:dyDescent="0.25">
      <c r="A47" s="313" t="s">
        <v>885</v>
      </c>
      <c r="B47" s="4">
        <v>830602</v>
      </c>
      <c r="C47" s="4" t="s">
        <v>784</v>
      </c>
      <c r="E47" s="99">
        <v>46187</v>
      </c>
      <c r="F47" s="4" t="s">
        <v>475</v>
      </c>
      <c r="G47" s="4" t="s">
        <v>476</v>
      </c>
      <c r="H47" s="4">
        <v>17.5</v>
      </c>
      <c r="I47" s="4" t="s">
        <v>453</v>
      </c>
      <c r="J47" s="562" t="str">
        <f>IF(B47&lt;&gt;"",_xlfn.XLOOKUP(B47,'2627PR_Loading'!$E$3:$E$501,'2627PR_Loading'!$B$3:$B$501,"",0)&amp;_xlfn.XLOOKUP(B47,'2627PR_Loading'!$K$3:$K$501,'2627PR_Loading'!$B$3:$B$501,"",0)&amp;_xlfn.XLOOKUP(B47,'2627PR_Loading'!$Q$3:$Q$501,'2627PR_Loading'!$B$3:$B$501,"",0),"")</f>
        <v>21</v>
      </c>
      <c r="K47" s="211" t="str">
        <f>IF(B47&lt;&gt;"",_xlfn.XLOOKUP(B47,'2627PR_Loading'!$E$3:$E$501,'2627PR_Loading'!$C$3:$C$501,"",0)&amp;_xlfn.XLOOKUP(B47,'2627PR_Loading'!$K$3:$K$501,'2627PR_Loading'!$C$3:$C$501,"",0)&amp;_xlfn.XLOOKUP(B47,'2627PR_Loading'!$Q$3:$Q$501,'2627PR_Loading'!$C$3:$C$501,"",0),"")</f>
        <v>12</v>
      </c>
      <c r="L47">
        <v>2010</v>
      </c>
      <c r="M47">
        <v>2004</v>
      </c>
      <c r="O47" s="476" t="s">
        <v>785</v>
      </c>
      <c r="P47" s="248" t="str">
        <f>IF(B47&lt;&gt;"",_xlfn.XLOOKUP(B47,'2627PR_Loading'!$E$3:$E$501,'2627PR_Loading'!$J$3:$J$501,"",0)&amp;_xlfn.XLOOKUP(B47,'2627PR_Loading'!$K$3:$K$501,'2627PR_Loading'!$P$3:$P$501,"",0)&amp;_xlfn.XLOOKUP(B47,'2627PR_Loading'!$Q$3:$Q$501,'2627PR_Loading'!$V$3:$V$501,"",0),"")</f>
        <v>85</v>
      </c>
      <c r="Q47" s="98">
        <f>IF(B47&lt;&gt;"",_xlfn.XLOOKUP(B47,TableDispatch[Uniq Id],TableDispatch[Delivery Date],"",0),"")</f>
        <v>46191</v>
      </c>
      <c r="R47" s="98" t="str">
        <f>IF(B47&lt;&gt;"",_xlfn.XLOOKUP(B47,TableDispatch[Uniq Id],TableDispatch[Our Ch No.],"",0),"")</f>
        <v>DC/22</v>
      </c>
      <c r="T47" s="26" t="str">
        <f>IF(B47&lt;&gt;"",_xlfn.XLOOKUP(B47,TableDispatch[Uniq Id],TableDispatch[Eway Bill Out],"",0),"")</f>
        <v>6821 3103 0785</v>
      </c>
      <c r="U47" s="260">
        <v>73.099999999999994</v>
      </c>
      <c r="V47" s="263">
        <f>U47*L47</f>
        <v>146931</v>
      </c>
    </row>
    <row r="48" spans="1:22" ht="15.75" x14ac:dyDescent="0.25">
      <c r="A48" s="313" t="s">
        <v>885</v>
      </c>
      <c r="B48" s="4">
        <v>830603</v>
      </c>
      <c r="C48" s="4" t="s">
        <v>784</v>
      </c>
      <c r="E48" s="99">
        <v>46187</v>
      </c>
      <c r="F48" s="4" t="s">
        <v>475</v>
      </c>
      <c r="G48" s="4" t="s">
        <v>476</v>
      </c>
      <c r="H48" s="4">
        <v>17.5</v>
      </c>
      <c r="I48" s="4" t="s">
        <v>453</v>
      </c>
      <c r="J48" s="562" t="str">
        <f>IF(B48&lt;&gt;"",_xlfn.XLOOKUP(B48,'2627PR_Loading'!$E$3:$E$501,'2627PR_Loading'!$B$3:$B$501,"",0)&amp;_xlfn.XLOOKUP(B48,'2627PR_Loading'!$K$3:$K$501,'2627PR_Loading'!$B$3:$B$501,"",0)&amp;_xlfn.XLOOKUP(B48,'2627PR_Loading'!$Q$3:$Q$501,'2627PR_Loading'!$B$3:$B$501,"",0),"")</f>
        <v>22</v>
      </c>
      <c r="K48" s="211" t="str">
        <f>IF(B48&lt;&gt;"",_xlfn.XLOOKUP(B48,'2627PR_Loading'!$E$3:$E$501,'2627PR_Loading'!$C$3:$C$501,"",0)&amp;_xlfn.XLOOKUP(B48,'2627PR_Loading'!$K$3:$K$501,'2627PR_Loading'!$C$3:$C$501,"",0)&amp;_xlfn.XLOOKUP(B48,'2627PR_Loading'!$Q$3:$Q$501,'2627PR_Loading'!$C$3:$C$501,"",0),"")</f>
        <v>12</v>
      </c>
      <c r="L48">
        <v>2010</v>
      </c>
      <c r="M48">
        <v>2004</v>
      </c>
      <c r="O48" s="476" t="s">
        <v>785</v>
      </c>
      <c r="P48" s="248" t="str">
        <f>IF(B48&lt;&gt;"",_xlfn.XLOOKUP(B48,'2627PR_Loading'!$E$3:$E$501,'2627PR_Loading'!$J$3:$J$501,"",0)&amp;_xlfn.XLOOKUP(B48,'2627PR_Loading'!$K$3:$K$501,'2627PR_Loading'!$P$3:$P$501,"",0)&amp;_xlfn.XLOOKUP(B48,'2627PR_Loading'!$Q$3:$Q$501,'2627PR_Loading'!$V$3:$V$501,"",0),"")</f>
        <v>81</v>
      </c>
      <c r="Q48" s="98">
        <f>IF(B48&lt;&gt;"",_xlfn.XLOOKUP(B48,TableDispatch[Uniq Id],TableDispatch[Delivery Date],"",0),"")</f>
        <v>46227</v>
      </c>
      <c r="R48" s="98" t="str">
        <f>IF(B48&lt;&gt;"",_xlfn.XLOOKUP(B48,TableDispatch[Uniq Id],TableDispatch[Our Ch No.],"",0),"")</f>
        <v>DC/38</v>
      </c>
      <c r="T48" s="26" t="str">
        <f>IF(B48&lt;&gt;"",_xlfn.XLOOKUP(B48,TableDispatch[Uniq Id],TableDispatch[Eway Bill Out],"",0),"")</f>
        <v>6221 5045 4955</v>
      </c>
      <c r="U48" s="260">
        <v>73.099999999999994</v>
      </c>
      <c r="V48" s="263">
        <f>U48*L48</f>
        <v>146931</v>
      </c>
    </row>
    <row r="49" spans="1:22" ht="15.75" x14ac:dyDescent="0.25">
      <c r="A49" s="313" t="s">
        <v>885</v>
      </c>
      <c r="B49" s="4">
        <v>830604</v>
      </c>
      <c r="C49" s="4" t="s">
        <v>784</v>
      </c>
      <c r="E49" s="99">
        <v>46187</v>
      </c>
      <c r="F49" s="4" t="s">
        <v>475</v>
      </c>
      <c r="G49" s="4" t="s">
        <v>476</v>
      </c>
      <c r="H49" s="4">
        <v>17.5</v>
      </c>
      <c r="I49" s="4" t="s">
        <v>453</v>
      </c>
      <c r="J49" s="562" t="str">
        <f>IF(B49&lt;&gt;"",_xlfn.XLOOKUP(B49,'2627PR_Loading'!$E$3:$E$501,'2627PR_Loading'!$B$3:$B$501,"",0)&amp;_xlfn.XLOOKUP(B49,'2627PR_Loading'!$K$3:$K$501,'2627PR_Loading'!$B$3:$B$501,"",0)&amp;_xlfn.XLOOKUP(B49,'2627PR_Loading'!$Q$3:$Q$501,'2627PR_Loading'!$B$3:$B$501,"",0),"")</f>
        <v>26</v>
      </c>
      <c r="K49" s="211" t="str">
        <f>IF(B49&lt;&gt;"",_xlfn.XLOOKUP(B49,'2627PR_Loading'!$E$3:$E$501,'2627PR_Loading'!$C$3:$C$501,"",0)&amp;_xlfn.XLOOKUP(B49,'2627PR_Loading'!$K$3:$K$501,'2627PR_Loading'!$C$3:$C$501,"",0)&amp;_xlfn.XLOOKUP(B49,'2627PR_Loading'!$Q$3:$Q$501,'2627PR_Loading'!$C$3:$C$501,"",0),"")</f>
        <v>12</v>
      </c>
      <c r="L49">
        <v>2030</v>
      </c>
      <c r="M49">
        <v>2026</v>
      </c>
      <c r="O49" s="476" t="s">
        <v>785</v>
      </c>
      <c r="P49" s="248" t="str">
        <f>IF(B49&lt;&gt;"",_xlfn.XLOOKUP(B49,'2627PR_Loading'!$E$3:$E$501,'2627PR_Loading'!$J$3:$J$501,"",0)&amp;_xlfn.XLOOKUP(B49,'2627PR_Loading'!$K$3:$K$501,'2627PR_Loading'!$P$3:$P$501,"",0)&amp;_xlfn.XLOOKUP(B49,'2627PR_Loading'!$Q$3:$Q$501,'2627PR_Loading'!$V$3:$V$501,"",0),"")</f>
        <v>85</v>
      </c>
      <c r="Q49" s="98">
        <f>IF(B49&lt;&gt;"",_xlfn.XLOOKUP(B49,TableDispatch[Uniq Id],TableDispatch[Delivery Date],"",0),"")</f>
        <v>46199</v>
      </c>
      <c r="R49" s="98" t="str">
        <f>IF(B49&lt;&gt;"",_xlfn.XLOOKUP(B49,TableDispatch[Uniq Id],TableDispatch[Our Ch No.],"",0),"")</f>
        <v>DC/24</v>
      </c>
      <c r="T49" s="26" t="str">
        <f>IF(B49&lt;&gt;"",_xlfn.XLOOKUP(B49,TableDispatch[Uniq Id],TableDispatch[Eway Bill Out],"",0),"")</f>
        <v>6521 3555 9414</v>
      </c>
      <c r="U49" s="260">
        <v>73.099999999999994</v>
      </c>
      <c r="V49" s="263">
        <f>U49*L49</f>
        <v>148393</v>
      </c>
    </row>
    <row r="50" spans="1:22" ht="15.75" x14ac:dyDescent="0.25">
      <c r="A50" s="313" t="s">
        <v>885</v>
      </c>
      <c r="B50" s="4">
        <v>830605</v>
      </c>
      <c r="C50" s="4" t="s">
        <v>784</v>
      </c>
      <c r="E50" s="99">
        <v>46187</v>
      </c>
      <c r="F50" s="4" t="s">
        <v>475</v>
      </c>
      <c r="G50" s="4" t="s">
        <v>476</v>
      </c>
      <c r="H50" s="4">
        <v>17.5</v>
      </c>
      <c r="I50" s="4" t="s">
        <v>453</v>
      </c>
      <c r="J50" s="562" t="str">
        <f>IF(B50&lt;&gt;"",_xlfn.XLOOKUP(B50,'2627PR_Loading'!$E$3:$E$501,'2627PR_Loading'!$B$3:$B$501,"",0)&amp;_xlfn.XLOOKUP(B50,'2627PR_Loading'!$K$3:$K$501,'2627PR_Loading'!$B$3:$B$501,"",0)&amp;_xlfn.XLOOKUP(B50,'2627PR_Loading'!$Q$3:$Q$501,'2627PR_Loading'!$B$3:$B$501,"",0),"")</f>
        <v>27</v>
      </c>
      <c r="K50" s="211" t="str">
        <f>IF(B50&lt;&gt;"",_xlfn.XLOOKUP(B50,'2627PR_Loading'!$E$3:$E$501,'2627PR_Loading'!$C$3:$C$501,"",0)&amp;_xlfn.XLOOKUP(B50,'2627PR_Loading'!$K$3:$K$501,'2627PR_Loading'!$C$3:$C$501,"",0)&amp;_xlfn.XLOOKUP(B50,'2627PR_Loading'!$Q$3:$Q$501,'2627PR_Loading'!$C$3:$C$501,"",0),"")</f>
        <v>12</v>
      </c>
      <c r="L50">
        <v>2020</v>
      </c>
      <c r="M50">
        <v>2010</v>
      </c>
      <c r="O50" s="476" t="s">
        <v>785</v>
      </c>
      <c r="P50" s="248" t="str">
        <f>IF(B50&lt;&gt;"",_xlfn.XLOOKUP(B50,'2627PR_Loading'!$E$3:$E$501,'2627PR_Loading'!$J$3:$J$501,"",0)&amp;_xlfn.XLOOKUP(B50,'2627PR_Loading'!$K$3:$K$501,'2627PR_Loading'!$P$3:$P$501,"",0)&amp;_xlfn.XLOOKUP(B50,'2627PR_Loading'!$Q$3:$Q$501,'2627PR_Loading'!$V$3:$V$501,"",0),"")</f>
        <v>83</v>
      </c>
      <c r="Q50" s="98">
        <f>IF(B50&lt;&gt;"",_xlfn.XLOOKUP(B50,TableDispatch[Uniq Id],TableDispatch[Delivery Date],"",0),"")</f>
        <v>46199</v>
      </c>
      <c r="R50" s="98" t="str">
        <f>IF(B50&lt;&gt;"",_xlfn.XLOOKUP(B50,TableDispatch[Uniq Id],TableDispatch[Our Ch No.],"",0),"")</f>
        <v>DC/24</v>
      </c>
      <c r="T50" s="26" t="str">
        <f>IF(B50&lt;&gt;"",_xlfn.XLOOKUP(B50,TableDispatch[Uniq Id],TableDispatch[Eway Bill Out],"",0),"")</f>
        <v>6521 3555 9414</v>
      </c>
      <c r="U50" s="260">
        <v>73.099999999999994</v>
      </c>
      <c r="V50" s="263">
        <f>U50*L50</f>
        <v>147662</v>
      </c>
    </row>
    <row r="51" spans="1:22" ht="15.75" x14ac:dyDescent="0.25">
      <c r="E51" s="99"/>
      <c r="J51" s="211" t="str">
        <f>IF(B51&lt;&gt;"",_xlfn.XLOOKUP(B51,'2627PR_Loading'!$E$3:$E$501,'2627PR_Loading'!$B$3:$B$501,"",0)&amp;_xlfn.XLOOKUP(B51,'2627PR_Loading'!$K$3:$K$501,'2627PR_Loading'!$B$3:$B$501,"",0)&amp;_xlfn.XLOOKUP(B51,'2627PR_Loading'!$Q$3:$Q$501,'2627PR_Loading'!$B$3:$B$501,"",0),"")</f>
        <v/>
      </c>
      <c r="K51" s="211" t="str">
        <f>IF(B51&lt;&gt;"",_xlfn.XLOOKUP(B51,'2627PR_Loading'!$E$3:$E$501,'2627PR_Loading'!$C$3:$C$501,"",0)&amp;_xlfn.XLOOKUP(B51,'2627PR_Loading'!$K$3:$K$501,'2627PR_Loading'!$C$3:$C$501,"",0)&amp;_xlfn.XLOOKUP(B51,'2627PR_Loading'!$Q$3:$Q$501,'2627PR_Loading'!$C$3:$C$501,"",0),"")</f>
        <v/>
      </c>
      <c r="L51" s="458">
        <f>SUM(L46:L50)</f>
        <v>10080</v>
      </c>
      <c r="M51" s="348">
        <f>SUM(M49)</f>
        <v>2026</v>
      </c>
      <c r="N51" s="349">
        <v>10080</v>
      </c>
      <c r="O51" s="349">
        <v>10080</v>
      </c>
      <c r="P51" s="248" t="str">
        <f>IF(B51&lt;&gt;"",_xlfn.XLOOKUP(B51,'2627PR_Loading'!$E$3:$E$501,'2627PR_Loading'!$J$3:$J$501,"",0)&amp;_xlfn.XLOOKUP(B51,'2627PR_Loading'!$K$3:$K$501,'2627PR_Loading'!$P$3:$P$501,"",0)&amp;_xlfn.XLOOKUP(B51,'2627PR_Loading'!$Q$3:$Q$501,'2627PR_Loading'!$V$3:$V$501,"",0),"")</f>
        <v/>
      </c>
      <c r="Q51" s="98" t="str">
        <f>IF(B51&lt;&gt;"",_xlfn.XLOOKUP(B51,TableDispatch[Uniq Id],TableDispatch[Delivery Date],"",0),"")</f>
        <v/>
      </c>
      <c r="R51" s="98" t="str">
        <f>IF(B51&lt;&gt;"",_xlfn.XLOOKUP(B51,TableDispatch[Uniq Id],TableDispatch[Our Ch No.],"",0),"")</f>
        <v/>
      </c>
      <c r="T51" s="26" t="str">
        <f>IF(B51&lt;&gt;"",_xlfn.XLOOKUP(B51,TableDispatch[Uniq Id],TableDispatch[Eway Bill Out],"",0),"")</f>
        <v/>
      </c>
      <c r="V51" s="263"/>
    </row>
    <row r="52" spans="1:22" ht="15.75" x14ac:dyDescent="0.25">
      <c r="E52" s="99"/>
      <c r="J52" s="211" t="str">
        <f>IF(B52&lt;&gt;"",_xlfn.XLOOKUP(B52,'2627PR_Loading'!$E$3:$E$501,'2627PR_Loading'!$B$3:$B$501,"",0)&amp;_xlfn.XLOOKUP(B52,'2627PR_Loading'!$K$3:$K$501,'2627PR_Loading'!$B$3:$B$501,"",0)&amp;_xlfn.XLOOKUP(B52,'2627PR_Loading'!$Q$3:$Q$501,'2627PR_Loading'!$B$3:$B$501,"",0),"")</f>
        <v/>
      </c>
      <c r="K52" s="211" t="str">
        <f>IF(B52&lt;&gt;"",_xlfn.XLOOKUP(B52,'2627PR_Loading'!$E$3:$E$501,'2627PR_Loading'!$C$3:$C$501,"",0)&amp;_xlfn.XLOOKUP(B52,'2627PR_Loading'!$K$3:$K$501,'2627PR_Loading'!$C$3:$C$501,"",0)&amp;_xlfn.XLOOKUP(B52,'2627PR_Loading'!$Q$3:$Q$501,'2627PR_Loading'!$C$3:$C$501,"",0),"")</f>
        <v/>
      </c>
      <c r="L52" s="459"/>
      <c r="M52" s="348" t="s">
        <v>126</v>
      </c>
      <c r="N52" s="349" t="s">
        <v>485</v>
      </c>
      <c r="O52" s="349" t="s">
        <v>486</v>
      </c>
      <c r="P52" s="248" t="str">
        <f>IF(B52&lt;&gt;"",_xlfn.XLOOKUP(B52,'2627PR_Loading'!$E$3:$E$501,'2627PR_Loading'!$J$3:$J$501,"",0)&amp;_xlfn.XLOOKUP(B52,'2627PR_Loading'!$K$3:$K$501,'2627PR_Loading'!$P$3:$P$501,"",0)&amp;_xlfn.XLOOKUP(B52,'2627PR_Loading'!$Q$3:$Q$501,'2627PR_Loading'!$V$3:$V$501,"",0),"")</f>
        <v/>
      </c>
      <c r="Q52" s="98" t="str">
        <f>IF(B52&lt;&gt;"",_xlfn.XLOOKUP(B52,TableDispatch[Uniq Id],TableDispatch[Delivery Date],"",0),"")</f>
        <v/>
      </c>
      <c r="R52" s="98" t="str">
        <f>IF(B52&lt;&gt;"",_xlfn.XLOOKUP(B52,TableDispatch[Uniq Id],TableDispatch[Our Ch No.],"",0),"")</f>
        <v/>
      </c>
      <c r="T52" s="26" t="str">
        <f>IF(B52&lt;&gt;"",_xlfn.XLOOKUP(B52,TableDispatch[Uniq Id],TableDispatch[Eway Bill Out],"",0),"")</f>
        <v/>
      </c>
    </row>
    <row r="53" spans="1:22" x14ac:dyDescent="0.25">
      <c r="A53" s="313" t="s">
        <v>885</v>
      </c>
      <c r="B53" s="4">
        <v>340603</v>
      </c>
      <c r="C53" s="4" t="s">
        <v>244</v>
      </c>
      <c r="D53" s="4">
        <v>46772</v>
      </c>
      <c r="E53" s="99">
        <v>46196</v>
      </c>
      <c r="F53" s="4" t="s">
        <v>795</v>
      </c>
      <c r="G53" s="4" t="s">
        <v>463</v>
      </c>
      <c r="H53" s="4">
        <v>16.3</v>
      </c>
      <c r="I53" s="4" t="s">
        <v>453</v>
      </c>
      <c r="J53" s="562" t="str">
        <f>IF(B53&lt;&gt;"",_xlfn.XLOOKUP(B53,'2627PR_Loading'!$E$3:$E$501,'2627PR_Loading'!$B$3:$B$501,"",0)&amp;_xlfn.XLOOKUP(B53,'2627PR_Loading'!$K$3:$K$501,'2627PR_Loading'!$B$3:$B$501,"",0)&amp;_xlfn.XLOOKUP(B53,'2627PR_Loading'!$Q$3:$Q$501,'2627PR_Loading'!$B$3:$B$501,"",0),"")</f>
        <v>28</v>
      </c>
      <c r="K53" s="211" t="str">
        <f>IF(B53&lt;&gt;"",_xlfn.XLOOKUP(B53,'2627PR_Loading'!$E$3:$E$501,'2627PR_Loading'!$C$3:$C$501,"",0)&amp;_xlfn.XLOOKUP(B53,'2627PR_Loading'!$K$3:$K$501,'2627PR_Loading'!$C$3:$C$501,"",0)&amp;_xlfn.XLOOKUP(B53,'2627PR_Loading'!$Q$3:$Q$501,'2627PR_Loading'!$C$3:$C$501,"",0),"")</f>
        <v>12</v>
      </c>
      <c r="L53">
        <v>2270</v>
      </c>
      <c r="M53">
        <v>2259</v>
      </c>
      <c r="O53" s="4" t="s">
        <v>799</v>
      </c>
      <c r="P53" s="248" t="str">
        <f>IF(B53&lt;&gt;"",_xlfn.XLOOKUP(B53,'2627PR_Loading'!$E$3:$E$501,'2627PR_Loading'!$J$3:$J$501,"",0)&amp;_xlfn.XLOOKUP(B53,'2627PR_Loading'!$K$3:$K$501,'2627PR_Loading'!$P$3:$P$501,"",0)&amp;_xlfn.XLOOKUP(B53,'2627PR_Loading'!$Q$3:$Q$501,'2627PR_Loading'!$V$3:$V$501,"",0),"")</f>
        <v>81</v>
      </c>
      <c r="Q53" s="98">
        <f>IF(B53&lt;&gt;"",_xlfn.XLOOKUP(B53,TableDispatch[Uniq Id],TableDispatch[Delivery Date],"",0),"")</f>
        <v>46205</v>
      </c>
      <c r="R53" s="98" t="str">
        <f>IF(B53&lt;&gt;"",_xlfn.XLOOKUP(B53,TableDispatch[Uniq Id],TableDispatch[Our Ch No.],"",0),"")</f>
        <v>DC/26</v>
      </c>
      <c r="T53" s="26" t="str">
        <f>IF(B53&lt;&gt;"",_xlfn.XLOOKUP(B53,TableDispatch[Uniq Id],TableDispatch[Eway Bill Out],"",0),"")</f>
        <v>6021 3844 2301</v>
      </c>
      <c r="U53" s="260">
        <v>91</v>
      </c>
      <c r="V53" s="263">
        <f>U53*L53</f>
        <v>206570</v>
      </c>
    </row>
    <row r="54" spans="1:22" ht="15.75" x14ac:dyDescent="0.25">
      <c r="E54" s="99"/>
      <c r="J54" s="211" t="str">
        <f>IF(B54&lt;&gt;"",_xlfn.XLOOKUP(B54,'2627PR_Loading'!$E$3:$E$501,'2627PR_Loading'!$B$3:$B$501,"",0)&amp;_xlfn.XLOOKUP(B54,'2627PR_Loading'!$K$3:$K$501,'2627PR_Loading'!$B$3:$B$501,"",0)&amp;_xlfn.XLOOKUP(B54,'2627PR_Loading'!$Q$3:$Q$501,'2627PR_Loading'!$B$3:$B$501,"",0),"")</f>
        <v/>
      </c>
      <c r="K54" s="211" t="str">
        <f>IF(B54&lt;&gt;"",_xlfn.XLOOKUP(B54,'2627PR_Loading'!$E$3:$E$501,'2627PR_Loading'!$C$3:$C$501,"",0)&amp;_xlfn.XLOOKUP(B54,'2627PR_Loading'!$K$3:$K$501,'2627PR_Loading'!$C$3:$C$501,"",0)&amp;_xlfn.XLOOKUP(B54,'2627PR_Loading'!$Q$3:$Q$501,'2627PR_Loading'!$C$3:$C$501,"",0),"")</f>
        <v/>
      </c>
      <c r="L54" s="458">
        <f>SUM(L53)</f>
        <v>2270</v>
      </c>
      <c r="M54" s="348">
        <f>SUM(M53)</f>
        <v>2259</v>
      </c>
      <c r="N54" s="349">
        <v>2270</v>
      </c>
      <c r="O54" s="349">
        <v>2270</v>
      </c>
      <c r="P54" s="248" t="str">
        <f>IF(B54&lt;&gt;"",_xlfn.XLOOKUP(B54,'2627PR_Loading'!$E$3:$E$501,'2627PR_Loading'!$J$3:$J$501,"",0)&amp;_xlfn.XLOOKUP(B54,'2627PR_Loading'!$K$3:$K$501,'2627PR_Loading'!$P$3:$P$501,"",0)&amp;_xlfn.XLOOKUP(B54,'2627PR_Loading'!$Q$3:$Q$501,'2627PR_Loading'!$V$3:$V$501,"",0),"")</f>
        <v/>
      </c>
      <c r="Q54" s="98" t="str">
        <f>IF(B54&lt;&gt;"",_xlfn.XLOOKUP(B54,TableDispatch[Uniq Id],TableDispatch[Delivery Date],"",0),"")</f>
        <v/>
      </c>
      <c r="R54" s="98" t="str">
        <f>IF(B54&lt;&gt;"",_xlfn.XLOOKUP(B54,TableDispatch[Uniq Id],TableDispatch[Our Ch No.],"",0),"")</f>
        <v/>
      </c>
      <c r="T54" s="26" t="str">
        <f>IF(B54&lt;&gt;"",_xlfn.XLOOKUP(B54,TableDispatch[Uniq Id],TableDispatch[Eway Bill Out],"",0),"")</f>
        <v/>
      </c>
    </row>
    <row r="55" spans="1:22" ht="15.75" x14ac:dyDescent="0.25">
      <c r="E55" s="99"/>
      <c r="J55" s="211" t="str">
        <f>IF(B55&lt;&gt;"",_xlfn.XLOOKUP(B55,'2627PR_Loading'!$E$3:$E$501,'2627PR_Loading'!$B$3:$B$501,"",0)&amp;_xlfn.XLOOKUP(B55,'2627PR_Loading'!$K$3:$K$501,'2627PR_Loading'!$B$3:$B$501,"",0)&amp;_xlfn.XLOOKUP(B55,'2627PR_Loading'!$Q$3:$Q$501,'2627PR_Loading'!$B$3:$B$501,"",0),"")</f>
        <v/>
      </c>
      <c r="K55" s="211" t="str">
        <f>IF(B55&lt;&gt;"",_xlfn.XLOOKUP(B55,'2627PR_Loading'!$E$3:$E$501,'2627PR_Loading'!$C$3:$C$501,"",0)&amp;_xlfn.XLOOKUP(B55,'2627PR_Loading'!$K$3:$K$501,'2627PR_Loading'!$C$3:$C$501,"",0)&amp;_xlfn.XLOOKUP(B55,'2627PR_Loading'!$Q$3:$Q$501,'2627PR_Loading'!$C$3:$C$501,"",0),"")</f>
        <v/>
      </c>
      <c r="L55" s="459"/>
      <c r="M55" s="348" t="s">
        <v>126</v>
      </c>
      <c r="N55" s="349" t="s">
        <v>485</v>
      </c>
      <c r="O55" s="349" t="s">
        <v>97</v>
      </c>
      <c r="P55" s="248" t="str">
        <f>IF(B55&lt;&gt;"",_xlfn.XLOOKUP(B55,'2627PR_Loading'!$E$3:$E$501,'2627PR_Loading'!$J$3:$J$501,"",0)&amp;_xlfn.XLOOKUP(B55,'2627PR_Loading'!$K$3:$K$501,'2627PR_Loading'!$P$3:$P$501,"",0)&amp;_xlfn.XLOOKUP(B55,'2627PR_Loading'!$Q$3:$Q$501,'2627PR_Loading'!$V$3:$V$501,"",0),"")</f>
        <v/>
      </c>
      <c r="Q55" s="98" t="str">
        <f>IF(B55&lt;&gt;"",_xlfn.XLOOKUP(B55,TableDispatch[Uniq Id],TableDispatch[Delivery Date],"",0),"")</f>
        <v/>
      </c>
      <c r="R55" s="98" t="str">
        <f>IF(B55&lt;&gt;"",_xlfn.XLOOKUP(B55,TableDispatch[Uniq Id],TableDispatch[Our Ch No.],"",0),"")</f>
        <v/>
      </c>
      <c r="T55" s="26" t="str">
        <f>IF(B55&lt;&gt;"",_xlfn.XLOOKUP(B55,TableDispatch[Uniq Id],TableDispatch[Eway Bill Out],"",0),"")</f>
        <v/>
      </c>
    </row>
    <row r="56" spans="1:22" x14ac:dyDescent="0.25">
      <c r="A56" s="313" t="s">
        <v>450</v>
      </c>
      <c r="B56" s="4" t="s">
        <v>897</v>
      </c>
      <c r="C56" s="4" t="s">
        <v>74</v>
      </c>
      <c r="D56" s="4" t="s">
        <v>814</v>
      </c>
      <c r="E56" s="99">
        <v>46202</v>
      </c>
      <c r="F56" s="4" t="s">
        <v>726</v>
      </c>
      <c r="G56" s="4" t="s">
        <v>595</v>
      </c>
      <c r="H56" s="4">
        <v>20</v>
      </c>
      <c r="I56" s="4" t="s">
        <v>453</v>
      </c>
      <c r="J56" s="211" t="str">
        <f>IF(B56&lt;&gt;"",_xlfn.XLOOKUP(B56,'2627PR_Loading'!$E$3:$E$501,'2627PR_Loading'!$B$3:$B$501,"",0)&amp;_xlfn.XLOOKUP(B56,'2627PR_Loading'!$K$3:$K$501,'2627PR_Loading'!$B$3:$B$501,"",0)&amp;_xlfn.XLOOKUP(B56,'2627PR_Loading'!$Q$3:$Q$501,'2627PR_Loading'!$B$3:$B$501,"",0),"")</f>
        <v>49</v>
      </c>
      <c r="K56" s="211" t="str">
        <f>IF(B56&lt;&gt;"",_xlfn.XLOOKUP(B56,'2627PR_Loading'!$E$3:$E$501,'2627PR_Loading'!$C$3:$C$501,"",0)&amp;_xlfn.XLOOKUP(B56,'2627PR_Loading'!$K$3:$K$501,'2627PR_Loading'!$C$3:$C$501,"",0)&amp;_xlfn.XLOOKUP(B56,'2627PR_Loading'!$Q$3:$Q$501,'2627PR_Loading'!$C$3:$C$501,"",0),"")</f>
        <v>12</v>
      </c>
      <c r="L56">
        <v>2473</v>
      </c>
      <c r="N56" s="4"/>
      <c r="O56" s="4">
        <v>4617428</v>
      </c>
      <c r="P56" s="248" t="str">
        <f>IF(B56&lt;&gt;"",_xlfn.XLOOKUP(B56,'2627PR_Loading'!$E$3:$E$501,'2627PR_Loading'!$J$3:$J$501,"",0)&amp;_xlfn.XLOOKUP(B56,'2627PR_Loading'!$K$3:$K$501,'2627PR_Loading'!$P$3:$P$501,"",0)&amp;_xlfn.XLOOKUP(B56,'2627PR_Loading'!$Q$3:$Q$501,'2627PR_Loading'!$V$3:$V$501,"",0),"")</f>
        <v>84</v>
      </c>
      <c r="Q56" s="98">
        <f>IF(B56&lt;&gt;"",_xlfn.XLOOKUP(B56,TableDispatch[Uniq Id],TableDispatch[Delivery Date],"",0),"")</f>
        <v>46230</v>
      </c>
      <c r="R56" s="98" t="str">
        <f>IF(B56&lt;&gt;"",_xlfn.XLOOKUP(B56,TableDispatch[Uniq Id],TableDispatch[Our Ch No.],"",0),"")</f>
        <v>DC/40</v>
      </c>
      <c r="T56" s="26" t="str">
        <f>IF(B56&lt;&gt;"",_xlfn.XLOOKUP(B56,TableDispatch[Uniq Id],TableDispatch[Eway Bill Out],"",0),"")</f>
        <v>6321 5179 0228</v>
      </c>
      <c r="U56" s="260">
        <v>69</v>
      </c>
      <c r="V56" s="263">
        <f t="shared" ref="V56:V74" si="1">U56*L56</f>
        <v>170637</v>
      </c>
    </row>
    <row r="57" spans="1:22" x14ac:dyDescent="0.25">
      <c r="A57" s="313" t="s">
        <v>885</v>
      </c>
      <c r="B57" s="4">
        <v>400602</v>
      </c>
      <c r="C57" s="4" t="s">
        <v>74</v>
      </c>
      <c r="D57" s="4" t="s">
        <v>814</v>
      </c>
      <c r="E57" s="99">
        <v>46202</v>
      </c>
      <c r="F57" s="4" t="s">
        <v>726</v>
      </c>
      <c r="G57" s="4" t="s">
        <v>595</v>
      </c>
      <c r="H57" s="4">
        <v>20</v>
      </c>
      <c r="I57" s="4" t="s">
        <v>453</v>
      </c>
      <c r="J57" s="562" t="str">
        <f>IF(B57&lt;&gt;"",_xlfn.XLOOKUP(B57,'2627PR_Loading'!$E$3:$E$501,'2627PR_Loading'!$B$3:$B$501,"",0)&amp;_xlfn.XLOOKUP(B57,'2627PR_Loading'!$K$3:$K$501,'2627PR_Loading'!$B$3:$B$501,"",0)&amp;_xlfn.XLOOKUP(B57,'2627PR_Loading'!$Q$3:$Q$501,'2627PR_Loading'!$B$3:$B$501,"",0),"")</f>
        <v>34</v>
      </c>
      <c r="K57" s="211" t="str">
        <f>IF(B57&lt;&gt;"",_xlfn.XLOOKUP(B57,'2627PR_Loading'!$E$3:$E$501,'2627PR_Loading'!$C$3:$C$501,"",0)&amp;_xlfn.XLOOKUP(B57,'2627PR_Loading'!$K$3:$K$501,'2627PR_Loading'!$C$3:$C$501,"",0)&amp;_xlfn.XLOOKUP(B57,'2627PR_Loading'!$Q$3:$Q$501,'2627PR_Loading'!$C$3:$C$501,"",0),"")</f>
        <v>12</v>
      </c>
      <c r="L57">
        <v>2480</v>
      </c>
      <c r="N57" s="4"/>
      <c r="O57" s="4">
        <v>4617428</v>
      </c>
      <c r="P57" s="248" t="str">
        <f>IF(B57&lt;&gt;"",_xlfn.XLOOKUP(B57,'2627PR_Loading'!$E$3:$E$501,'2627PR_Loading'!$J$3:$J$501,"",0)&amp;_xlfn.XLOOKUP(B57,'2627PR_Loading'!$K$3:$K$501,'2627PR_Loading'!$P$3:$P$501,"",0)&amp;_xlfn.XLOOKUP(B57,'2627PR_Loading'!$Q$3:$Q$501,'2627PR_Loading'!$V$3:$V$501,"",0),"")</f>
        <v>81</v>
      </c>
      <c r="Q57" s="98">
        <f>IF(B57&lt;&gt;"",_xlfn.XLOOKUP(B57,TableDispatch[Uniq Id],TableDispatch[Delivery Date],"",0),"")</f>
        <v>46210</v>
      </c>
      <c r="R57" s="98" t="str">
        <f>IF(B57&lt;&gt;"",_xlfn.XLOOKUP(B57,TableDispatch[Uniq Id],TableDispatch[Our Ch No.],"",0),"")</f>
        <v>DC/31</v>
      </c>
      <c r="T57" s="26" t="str">
        <f>IF(B57&lt;&gt;"",_xlfn.XLOOKUP(B57,TableDispatch[Uniq Id],TableDispatch[Eway Bill Out],"",0),"")</f>
        <v>6921 4101 1520</v>
      </c>
      <c r="U57" s="260">
        <v>69</v>
      </c>
      <c r="V57" s="263">
        <f t="shared" si="1"/>
        <v>171120</v>
      </c>
    </row>
    <row r="58" spans="1:22" x14ac:dyDescent="0.25">
      <c r="A58" s="313" t="s">
        <v>450</v>
      </c>
      <c r="B58" s="4" t="s">
        <v>898</v>
      </c>
      <c r="C58" s="4" t="s">
        <v>74</v>
      </c>
      <c r="D58" s="4" t="s">
        <v>814</v>
      </c>
      <c r="E58" s="99">
        <v>46202</v>
      </c>
      <c r="F58" s="4" t="s">
        <v>726</v>
      </c>
      <c r="G58" s="4" t="s">
        <v>595</v>
      </c>
      <c r="H58" s="4">
        <v>20</v>
      </c>
      <c r="I58" s="4" t="s">
        <v>453</v>
      </c>
      <c r="J58" s="211" t="str">
        <f>IF(B58&lt;&gt;"",_xlfn.XLOOKUP(B58,'2627PR_Loading'!$E$3:$E$501,'2627PR_Loading'!$B$3:$B$501,"",0)&amp;_xlfn.XLOOKUP(B58,'2627PR_Loading'!$K$3:$K$501,'2627PR_Loading'!$B$3:$B$501,"",0)&amp;_xlfn.XLOOKUP(B58,'2627PR_Loading'!$Q$3:$Q$501,'2627PR_Loading'!$B$3:$B$501,"",0),"")</f>
        <v>48</v>
      </c>
      <c r="K58" s="211" t="str">
        <f>IF(B58&lt;&gt;"",_xlfn.XLOOKUP(B58,'2627PR_Loading'!$E$3:$E$501,'2627PR_Loading'!$C$3:$C$501,"",0)&amp;_xlfn.XLOOKUP(B58,'2627PR_Loading'!$K$3:$K$501,'2627PR_Loading'!$C$3:$C$501,"",0)&amp;_xlfn.XLOOKUP(B58,'2627PR_Loading'!$Q$3:$Q$501,'2627PR_Loading'!$C$3:$C$501,"",0),"")</f>
        <v>11</v>
      </c>
      <c r="L58">
        <v>2455</v>
      </c>
      <c r="N58" s="4"/>
      <c r="O58" s="4">
        <v>4617427</v>
      </c>
      <c r="P58" s="248" t="str">
        <f>IF(B58&lt;&gt;"",_xlfn.XLOOKUP(B58,'2627PR_Loading'!$E$3:$E$501,'2627PR_Loading'!$J$3:$J$501,"",0)&amp;_xlfn.XLOOKUP(B58,'2627PR_Loading'!$K$3:$K$501,'2627PR_Loading'!$P$3:$P$501,"",0)&amp;_xlfn.XLOOKUP(B58,'2627PR_Loading'!$Q$3:$Q$501,'2627PR_Loading'!$V$3:$V$501,"",0),"")</f>
        <v>81</v>
      </c>
      <c r="Q58" s="98">
        <f>IF(B58&lt;&gt;"",_xlfn.XLOOKUP(B58,TableDispatch[Uniq Id],TableDispatch[Delivery Date],"",0),"")</f>
        <v>46230</v>
      </c>
      <c r="R58" s="98" t="str">
        <f>IF(B58&lt;&gt;"",_xlfn.XLOOKUP(B58,TableDispatch[Uniq Id],TableDispatch[Our Ch No.],"",0),"")</f>
        <v>DC/40</v>
      </c>
      <c r="T58" s="26" t="str">
        <f>IF(B58&lt;&gt;"",_xlfn.XLOOKUP(B58,TableDispatch[Uniq Id],TableDispatch[Eway Bill Out],"",0),"")</f>
        <v>6321 5179 0228</v>
      </c>
      <c r="U58" s="260">
        <v>69</v>
      </c>
      <c r="V58" s="263">
        <f t="shared" si="1"/>
        <v>169395</v>
      </c>
    </row>
    <row r="59" spans="1:22" x14ac:dyDescent="0.25">
      <c r="A59" s="313" t="s">
        <v>885</v>
      </c>
      <c r="B59" s="4" t="s">
        <v>905</v>
      </c>
      <c r="C59" s="346" t="s">
        <v>74</v>
      </c>
      <c r="D59" s="346" t="s">
        <v>814</v>
      </c>
      <c r="E59" s="551">
        <v>46202</v>
      </c>
      <c r="F59" s="346" t="s">
        <v>726</v>
      </c>
      <c r="G59" s="346" t="s">
        <v>595</v>
      </c>
      <c r="H59" s="346">
        <v>20</v>
      </c>
      <c r="I59" s="346" t="s">
        <v>453</v>
      </c>
      <c r="J59" s="562" t="str">
        <f>IF(B59&lt;&gt;"",_xlfn.XLOOKUP(B59,'2627PR_Loading'!$E$3:$E$501,'2627PR_Loading'!$B$3:$B$501,"",0)&amp;_xlfn.XLOOKUP(B59,'2627PR_Loading'!$K$3:$K$501,'2627PR_Loading'!$B$3:$B$501,"",0)&amp;_xlfn.XLOOKUP(B59,'2627PR_Loading'!$Q$3:$Q$501,'2627PR_Loading'!$B$3:$B$501,"",0),"")</f>
        <v>41</v>
      </c>
      <c r="K59" s="211" t="str">
        <f>IF(B59&lt;&gt;"",_xlfn.XLOOKUP(B59,'2627PR_Loading'!$E$3:$E$501,'2627PR_Loading'!$C$3:$C$501,"",0)&amp;_xlfn.XLOOKUP(B59,'2627PR_Loading'!$K$3:$K$501,'2627PR_Loading'!$C$3:$C$501,"",0)&amp;_xlfn.XLOOKUP(B59,'2627PR_Loading'!$Q$3:$Q$501,'2627PR_Loading'!$C$3:$C$501,"",0),"")</f>
        <v>12</v>
      </c>
      <c r="L59">
        <v>2473</v>
      </c>
      <c r="N59" s="4"/>
      <c r="O59" s="4">
        <v>4617428</v>
      </c>
      <c r="P59" s="508">
        <v>70</v>
      </c>
      <c r="Q59" s="551">
        <f>IF(B59&lt;&gt;"",_xlfn.XLOOKUP(B59,TableDispatch[Uniq Id],TableDispatch[Delivery Date],"",0),"")</f>
        <v>46265</v>
      </c>
      <c r="R59" s="551" t="str">
        <f>IF(B59&lt;&gt;"",_xlfn.XLOOKUP(B59,TableDispatch[Uniq Id],TableDispatch[Our Ch No.],"",0),"")</f>
        <v>DC/49</v>
      </c>
      <c r="T59" s="346" t="str">
        <f>IF(B59&lt;&gt;"",_xlfn.XLOOKUP(B59,TableDispatch[Uniq Id],TableDispatch[Eway Bill Out],"",0),"")</f>
        <v>6321 7357 9986</v>
      </c>
      <c r="U59" s="260">
        <v>69</v>
      </c>
      <c r="V59" s="263">
        <f t="shared" si="1"/>
        <v>170637</v>
      </c>
    </row>
    <row r="60" spans="1:22" x14ac:dyDescent="0.25">
      <c r="A60" s="313" t="s">
        <v>885</v>
      </c>
      <c r="B60" s="4">
        <v>400605</v>
      </c>
      <c r="C60" s="4" t="s">
        <v>74</v>
      </c>
      <c r="D60" s="4" t="s">
        <v>814</v>
      </c>
      <c r="E60" s="99">
        <v>46202</v>
      </c>
      <c r="F60" s="4" t="s">
        <v>726</v>
      </c>
      <c r="G60" s="4" t="s">
        <v>595</v>
      </c>
      <c r="H60" s="4">
        <v>14</v>
      </c>
      <c r="I60" s="4" t="s">
        <v>453</v>
      </c>
      <c r="J60" s="562" t="str">
        <f>IF(B60&lt;&gt;"",_xlfn.XLOOKUP(B60,'2627PR_Loading'!$E$3:$E$501,'2627PR_Loading'!$B$3:$B$501,"",0)&amp;_xlfn.XLOOKUP(B60,'2627PR_Loading'!$K$3:$K$501,'2627PR_Loading'!$B$3:$B$501,"",0)&amp;_xlfn.XLOOKUP(B60,'2627PR_Loading'!$Q$3:$Q$501,'2627PR_Loading'!$B$3:$B$501,"",0),"")</f>
        <v>39</v>
      </c>
      <c r="K60" s="211" t="str">
        <f>IF(B60&lt;&gt;"",_xlfn.XLOOKUP(B60,'2627PR_Loading'!$E$3:$E$501,'2627PR_Loading'!$C$3:$C$501,"",0)&amp;_xlfn.XLOOKUP(B60,'2627PR_Loading'!$K$3:$K$501,'2627PR_Loading'!$C$3:$C$501,"",0)&amp;_xlfn.XLOOKUP(B60,'2627PR_Loading'!$Q$3:$Q$501,'2627PR_Loading'!$C$3:$C$501,"",0),"")</f>
        <v>12</v>
      </c>
      <c r="L60">
        <v>2440</v>
      </c>
      <c r="N60" s="4"/>
      <c r="O60" s="4">
        <v>4617428</v>
      </c>
      <c r="P60" s="248" t="str">
        <f>IF(B60&lt;&gt;"",_xlfn.XLOOKUP(B60,'2627PR_Loading'!$E$3:$E$501,'2627PR_Loading'!$J$3:$J$501,"",0)&amp;_xlfn.XLOOKUP(B60,'2627PR_Loading'!$K$3:$K$501,'2627PR_Loading'!$P$3:$P$501,"",0)&amp;_xlfn.XLOOKUP(B60,'2627PR_Loading'!$Q$3:$Q$501,'2627PR_Loading'!$V$3:$V$501,"",0),"")</f>
        <v>85</v>
      </c>
      <c r="Q60" s="98">
        <f>IF(B60&lt;&gt;"",_xlfn.XLOOKUP(B60,TableDispatch[Uniq Id],TableDispatch[Delivery Date],"",0),"")</f>
        <v>46217</v>
      </c>
      <c r="R60" s="98" t="str">
        <f>IF(B60&lt;&gt;"",_xlfn.XLOOKUP(B60,TableDispatch[Uniq Id],TableDispatch[Our Ch No.],"",0),"")</f>
        <v>DC/33</v>
      </c>
      <c r="T60" s="26" t="str">
        <f>IF(B60&lt;&gt;"",_xlfn.XLOOKUP(B60,TableDispatch[Uniq Id],TableDispatch[Eway Bill Out],"",0),"")</f>
        <v>6821 4475 0289</v>
      </c>
      <c r="U60" s="260">
        <v>69</v>
      </c>
      <c r="V60" s="263">
        <f t="shared" si="1"/>
        <v>168360</v>
      </c>
    </row>
    <row r="61" spans="1:22" x14ac:dyDescent="0.25">
      <c r="A61" s="313" t="s">
        <v>885</v>
      </c>
      <c r="B61" s="4">
        <v>400606</v>
      </c>
      <c r="C61" s="4" t="s">
        <v>74</v>
      </c>
      <c r="D61" s="4" t="s">
        <v>814</v>
      </c>
      <c r="E61" s="99">
        <v>46202</v>
      </c>
      <c r="F61" s="4" t="s">
        <v>726</v>
      </c>
      <c r="G61" s="4" t="s">
        <v>595</v>
      </c>
      <c r="H61" s="4">
        <v>14</v>
      </c>
      <c r="I61" s="4" t="s">
        <v>453</v>
      </c>
      <c r="J61" s="562" t="str">
        <f>IF(B61&lt;&gt;"",_xlfn.XLOOKUP(B61,'2627PR_Loading'!$E$3:$E$501,'2627PR_Loading'!$B$3:$B$501,"",0)&amp;_xlfn.XLOOKUP(B61,'2627PR_Loading'!$K$3:$K$501,'2627PR_Loading'!$B$3:$B$501,"",0)&amp;_xlfn.XLOOKUP(B61,'2627PR_Loading'!$Q$3:$Q$501,'2627PR_Loading'!$B$3:$B$501,"",0),"")</f>
        <v>40</v>
      </c>
      <c r="K61" s="211" t="str">
        <f>IF(B61&lt;&gt;"",_xlfn.XLOOKUP(B61,'2627PR_Loading'!$E$3:$E$501,'2627PR_Loading'!$C$3:$C$501,"",0)&amp;_xlfn.XLOOKUP(B61,'2627PR_Loading'!$K$3:$K$501,'2627PR_Loading'!$C$3:$C$501,"",0)&amp;_xlfn.XLOOKUP(B61,'2627PR_Loading'!$Q$3:$Q$501,'2627PR_Loading'!$C$3:$C$501,"",0),"")</f>
        <v>12</v>
      </c>
      <c r="L61">
        <v>2408</v>
      </c>
      <c r="N61" s="4"/>
      <c r="O61" s="4">
        <v>4617428</v>
      </c>
      <c r="P61" s="248" t="str">
        <f>IF(B61&lt;&gt;"",_xlfn.XLOOKUP(B61,'2627PR_Loading'!$E$3:$E$501,'2627PR_Loading'!$J$3:$J$501,"",0)&amp;_xlfn.XLOOKUP(B61,'2627PR_Loading'!$K$3:$K$501,'2627PR_Loading'!$P$3:$P$501,"",0)&amp;_xlfn.XLOOKUP(B61,'2627PR_Loading'!$Q$3:$Q$501,'2627PR_Loading'!$V$3:$V$501,"",0),"")</f>
        <v>82</v>
      </c>
      <c r="Q61" s="98">
        <f>IF(B61&lt;&gt;"",_xlfn.XLOOKUP(B61,TableDispatch[Uniq Id],TableDispatch[Delivery Date],"",0),"")</f>
        <v>46217</v>
      </c>
      <c r="R61" s="98" t="str">
        <f>IF(B61&lt;&gt;"",_xlfn.XLOOKUP(B61,TableDispatch[Uniq Id],TableDispatch[Our Ch No.],"",0),"")</f>
        <v>DC/33</v>
      </c>
      <c r="T61" s="26" t="str">
        <f>IF(B61&lt;&gt;"",_xlfn.XLOOKUP(B61,TableDispatch[Uniq Id],TableDispatch[Eway Bill Out],"",0),"")</f>
        <v>6821 4475 0289</v>
      </c>
      <c r="U61" s="260">
        <v>69</v>
      </c>
      <c r="V61" s="263">
        <f t="shared" si="1"/>
        <v>166152</v>
      </c>
    </row>
    <row r="62" spans="1:22" x14ac:dyDescent="0.25">
      <c r="A62" s="313" t="s">
        <v>885</v>
      </c>
      <c r="B62" s="4">
        <v>400607</v>
      </c>
      <c r="C62" s="4" t="s">
        <v>74</v>
      </c>
      <c r="D62" s="4" t="s">
        <v>814</v>
      </c>
      <c r="E62" s="99">
        <v>46202</v>
      </c>
      <c r="F62" s="4" t="s">
        <v>726</v>
      </c>
      <c r="G62" s="4" t="s">
        <v>595</v>
      </c>
      <c r="H62" s="4">
        <v>14</v>
      </c>
      <c r="I62" s="4" t="s">
        <v>453</v>
      </c>
      <c r="J62" s="562" t="str">
        <f>IF(B62&lt;&gt;"",_xlfn.XLOOKUP(B62,'2627PR_Loading'!$E$3:$E$501,'2627PR_Loading'!$B$3:$B$501,"",0)&amp;_xlfn.XLOOKUP(B62,'2627PR_Loading'!$K$3:$K$501,'2627PR_Loading'!$B$3:$B$501,"",0)&amp;_xlfn.XLOOKUP(B62,'2627PR_Loading'!$Q$3:$Q$501,'2627PR_Loading'!$B$3:$B$501,"",0),"")</f>
        <v>37</v>
      </c>
      <c r="K62" s="211" t="str">
        <f>IF(B62&lt;&gt;"",_xlfn.XLOOKUP(B62,'2627PR_Loading'!$E$3:$E$501,'2627PR_Loading'!$C$3:$C$501,"",0)&amp;_xlfn.XLOOKUP(B62,'2627PR_Loading'!$K$3:$K$501,'2627PR_Loading'!$C$3:$C$501,"",0)&amp;_xlfn.XLOOKUP(B62,'2627PR_Loading'!$Q$3:$Q$501,'2627PR_Loading'!$C$3:$C$501,"",0),"")</f>
        <v>11</v>
      </c>
      <c r="L62">
        <v>2468</v>
      </c>
      <c r="N62" s="4"/>
      <c r="O62" s="4">
        <v>4617428</v>
      </c>
      <c r="P62" s="248" t="str">
        <f>IF(B62&lt;&gt;"",_xlfn.XLOOKUP(B62,'2627PR_Loading'!$E$3:$E$501,'2627PR_Loading'!$J$3:$J$501,"",0)&amp;_xlfn.XLOOKUP(B62,'2627PR_Loading'!$K$3:$K$501,'2627PR_Loading'!$P$3:$P$501,"",0)&amp;_xlfn.XLOOKUP(B62,'2627PR_Loading'!$Q$3:$Q$501,'2627PR_Loading'!$V$3:$V$501,"",0),"")</f>
        <v>84</v>
      </c>
      <c r="Q62" s="98">
        <f>IF(B62&lt;&gt;"",_xlfn.XLOOKUP(B62,TableDispatch[Uniq Id],TableDispatch[Delivery Date],"",0),"")</f>
        <v>46212</v>
      </c>
      <c r="R62" s="98" t="str">
        <f>IF(B62&lt;&gt;"",_xlfn.XLOOKUP(B62,TableDispatch[Uniq Id],TableDispatch[Our Ch No.],"",0),"")</f>
        <v>DC/32</v>
      </c>
      <c r="T62" s="26" t="str">
        <f>IF(B62&lt;&gt;"",_xlfn.XLOOKUP(B62,TableDispatch[Uniq Id],TableDispatch[Eway Bill Out],"",0),"")</f>
        <v>6321 4246 3144</v>
      </c>
      <c r="U62" s="260">
        <v>69</v>
      </c>
      <c r="V62" s="263">
        <f t="shared" si="1"/>
        <v>170292</v>
      </c>
    </row>
    <row r="63" spans="1:22" x14ac:dyDescent="0.25">
      <c r="A63" s="313" t="s">
        <v>885</v>
      </c>
      <c r="B63" s="4">
        <v>400608</v>
      </c>
      <c r="C63" s="4" t="s">
        <v>74</v>
      </c>
      <c r="D63" s="4" t="s">
        <v>814</v>
      </c>
      <c r="E63" s="99">
        <v>46202</v>
      </c>
      <c r="F63" s="4" t="s">
        <v>726</v>
      </c>
      <c r="G63" s="4" t="s">
        <v>595</v>
      </c>
      <c r="H63" s="4">
        <v>16.3</v>
      </c>
      <c r="I63" s="4" t="s">
        <v>453</v>
      </c>
      <c r="J63" s="562" t="str">
        <f>IF(B63&lt;&gt;"",_xlfn.XLOOKUP(B63,'2627PR_Loading'!$E$3:$E$501,'2627PR_Loading'!$B$3:$B$501,"",0)&amp;_xlfn.XLOOKUP(B63,'2627PR_Loading'!$K$3:$K$501,'2627PR_Loading'!$B$3:$B$501,"",0)&amp;_xlfn.XLOOKUP(B63,'2627PR_Loading'!$Q$3:$Q$501,'2627PR_Loading'!$B$3:$B$501,"",0),"")</f>
        <v>32</v>
      </c>
      <c r="K63" s="211" t="str">
        <f>IF(B63&lt;&gt;"",_xlfn.XLOOKUP(B63,'2627PR_Loading'!$E$3:$E$501,'2627PR_Loading'!$C$3:$C$501,"",0)&amp;_xlfn.XLOOKUP(B63,'2627PR_Loading'!$K$3:$K$501,'2627PR_Loading'!$C$3:$C$501,"",0)&amp;_xlfn.XLOOKUP(B63,'2627PR_Loading'!$Q$3:$Q$501,'2627PR_Loading'!$C$3:$C$501,"",0),"")</f>
        <v>12</v>
      </c>
      <c r="L63">
        <v>2420</v>
      </c>
      <c r="N63" s="4"/>
      <c r="O63" s="4">
        <v>4617427</v>
      </c>
      <c r="P63" s="248" t="str">
        <f>IF(B63&lt;&gt;"",_xlfn.XLOOKUP(B63,'2627PR_Loading'!$E$3:$E$501,'2627PR_Loading'!$J$3:$J$501,"",0)&amp;_xlfn.XLOOKUP(B63,'2627PR_Loading'!$K$3:$K$501,'2627PR_Loading'!$P$3:$P$501,"",0)&amp;_xlfn.XLOOKUP(B63,'2627PR_Loading'!$Q$3:$Q$501,'2627PR_Loading'!$V$3:$V$501,"",0),"")</f>
        <v>82</v>
      </c>
      <c r="Q63" s="98">
        <f>IF(B63&lt;&gt;"",_xlfn.XLOOKUP(B63,TableDispatch[Uniq Id],TableDispatch[Delivery Date],"",0),"")</f>
        <v>46208</v>
      </c>
      <c r="R63" s="98" t="str">
        <f>IF(B63&lt;&gt;"",_xlfn.XLOOKUP(B63,TableDispatch[Uniq Id],TableDispatch[Our Ch No.],"",0),"")</f>
        <v>DC/30</v>
      </c>
      <c r="T63" s="26" t="str">
        <f>IF(B63&lt;&gt;"",_xlfn.XLOOKUP(B63,TableDispatch[Uniq Id],TableDispatch[Eway Bill Out],"",0),"")</f>
        <v>6121 4015 0086</v>
      </c>
      <c r="U63" s="260">
        <v>69</v>
      </c>
      <c r="V63" s="263">
        <f t="shared" si="1"/>
        <v>166980</v>
      </c>
    </row>
    <row r="64" spans="1:22" x14ac:dyDescent="0.25">
      <c r="A64" s="313" t="s">
        <v>885</v>
      </c>
      <c r="B64" s="4">
        <v>400609</v>
      </c>
      <c r="C64" s="4" t="s">
        <v>74</v>
      </c>
      <c r="D64" s="4" t="s">
        <v>814</v>
      </c>
      <c r="E64" s="99">
        <v>46202</v>
      </c>
      <c r="F64" s="4" t="s">
        <v>726</v>
      </c>
      <c r="G64" s="4" t="s">
        <v>595</v>
      </c>
      <c r="H64" s="4">
        <v>16.3</v>
      </c>
      <c r="I64" s="4" t="s">
        <v>453</v>
      </c>
      <c r="J64" s="562" t="str">
        <f>IF(B64&lt;&gt;"",_xlfn.XLOOKUP(B64,'2627PR_Loading'!$E$3:$E$501,'2627PR_Loading'!$B$3:$B$501,"",0)&amp;_xlfn.XLOOKUP(B64,'2627PR_Loading'!$K$3:$K$501,'2627PR_Loading'!$B$3:$B$501,"",0)&amp;_xlfn.XLOOKUP(B64,'2627PR_Loading'!$Q$3:$Q$501,'2627PR_Loading'!$B$3:$B$501,"",0),"")</f>
        <v>35</v>
      </c>
      <c r="K64" s="211" t="str">
        <f>IF(B64&lt;&gt;"",_xlfn.XLOOKUP(B64,'2627PR_Loading'!$E$3:$E$501,'2627PR_Loading'!$C$3:$C$501,"",0)&amp;_xlfn.XLOOKUP(B64,'2627PR_Loading'!$K$3:$K$501,'2627PR_Loading'!$C$3:$C$501,"",0)&amp;_xlfn.XLOOKUP(B64,'2627PR_Loading'!$Q$3:$Q$501,'2627PR_Loading'!$C$3:$C$501,"",0),"")</f>
        <v>11</v>
      </c>
      <c r="L64">
        <v>2489</v>
      </c>
      <c r="N64" s="4"/>
      <c r="O64" s="4">
        <v>4617428</v>
      </c>
      <c r="P64" s="248" t="str">
        <f>IF(B64&lt;&gt;"",_xlfn.XLOOKUP(B64,'2627PR_Loading'!$E$3:$E$501,'2627PR_Loading'!$J$3:$J$501,"",0)&amp;_xlfn.XLOOKUP(B64,'2627PR_Loading'!$K$3:$K$501,'2627PR_Loading'!$P$3:$P$501,"",0)&amp;_xlfn.XLOOKUP(B64,'2627PR_Loading'!$Q$3:$Q$501,'2627PR_Loading'!$V$3:$V$501,"",0),"")</f>
        <v>81</v>
      </c>
      <c r="Q64" s="98">
        <f>IF(B64&lt;&gt;"",_xlfn.XLOOKUP(B64,TableDispatch[Uniq Id],TableDispatch[Delivery Date],"",0),"")</f>
        <v>46210</v>
      </c>
      <c r="R64" s="98" t="str">
        <f>IF(B64&lt;&gt;"",_xlfn.XLOOKUP(B64,TableDispatch[Uniq Id],TableDispatch[Our Ch No.],"",0),"")</f>
        <v>DC/31</v>
      </c>
      <c r="T64" s="26" t="str">
        <f>IF(B64&lt;&gt;"",_xlfn.XLOOKUP(B64,TableDispatch[Uniq Id],TableDispatch[Eway Bill Out],"",0),"")</f>
        <v>6921 4101 1520</v>
      </c>
      <c r="U64" s="260">
        <v>69</v>
      </c>
      <c r="V64" s="263">
        <f t="shared" si="1"/>
        <v>171741</v>
      </c>
    </row>
    <row r="65" spans="1:22" x14ac:dyDescent="0.25">
      <c r="A65" s="313" t="s">
        <v>885</v>
      </c>
      <c r="B65" s="4">
        <v>400610</v>
      </c>
      <c r="C65" s="4" t="s">
        <v>74</v>
      </c>
      <c r="D65" s="4" t="s">
        <v>814</v>
      </c>
      <c r="E65" s="99">
        <v>46202</v>
      </c>
      <c r="F65" s="4" t="s">
        <v>726</v>
      </c>
      <c r="G65" s="4" t="s">
        <v>595</v>
      </c>
      <c r="H65" s="4">
        <v>16.3</v>
      </c>
      <c r="I65" s="4" t="s">
        <v>453</v>
      </c>
      <c r="J65" s="562" t="str">
        <f>IF(B65&lt;&gt;"",_xlfn.XLOOKUP(B65,'2627PR_Loading'!$E$3:$E$501,'2627PR_Loading'!$B$3:$B$501,"",0)&amp;_xlfn.XLOOKUP(B65,'2627PR_Loading'!$K$3:$K$501,'2627PR_Loading'!$B$3:$B$501,"",0)&amp;_xlfn.XLOOKUP(B65,'2627PR_Loading'!$Q$3:$Q$501,'2627PR_Loading'!$B$3:$B$501,"",0),"")</f>
        <v>38</v>
      </c>
      <c r="K65" s="211" t="str">
        <f>IF(B65&lt;&gt;"",_xlfn.XLOOKUP(B65,'2627PR_Loading'!$E$3:$E$501,'2627PR_Loading'!$C$3:$C$501,"",0)&amp;_xlfn.XLOOKUP(B65,'2627PR_Loading'!$K$3:$K$501,'2627PR_Loading'!$C$3:$C$501,"",0)&amp;_xlfn.XLOOKUP(B65,'2627PR_Loading'!$Q$3:$Q$501,'2627PR_Loading'!$C$3:$C$501,"",0),"")</f>
        <v>12</v>
      </c>
      <c r="L65">
        <v>2471</v>
      </c>
      <c r="N65" s="4"/>
      <c r="O65" s="4">
        <v>4617427</v>
      </c>
      <c r="P65" s="248" t="str">
        <f>IF(B65&lt;&gt;"",_xlfn.XLOOKUP(B65,'2627PR_Loading'!$E$3:$E$501,'2627PR_Loading'!$J$3:$J$501,"",0)&amp;_xlfn.XLOOKUP(B65,'2627PR_Loading'!$K$3:$K$501,'2627PR_Loading'!$P$3:$P$501,"",0)&amp;_xlfn.XLOOKUP(B65,'2627PR_Loading'!$Q$3:$Q$501,'2627PR_Loading'!$V$3:$V$501,"",0),"")</f>
        <v>85</v>
      </c>
      <c r="Q65" s="98">
        <f>IF(B65&lt;&gt;"",_xlfn.XLOOKUP(B65,TableDispatch[Uniq Id],TableDispatch[Delivery Date],"",0),"")</f>
        <v>46219</v>
      </c>
      <c r="R65" s="98" t="str">
        <f>IF(B65&lt;&gt;"",_xlfn.XLOOKUP(B65,TableDispatch[Uniq Id],TableDispatch[Our Ch No.],"",0),"")</f>
        <v>DC/34</v>
      </c>
      <c r="T65" s="26" t="str">
        <f>IF(B65&lt;&gt;"",_xlfn.XLOOKUP(B65,TableDispatch[Uniq Id],TableDispatch[Eway Bill Out],"",0),"")</f>
        <v>6221 4603 0417</v>
      </c>
      <c r="U65" s="260">
        <v>69</v>
      </c>
      <c r="V65" s="263">
        <f t="shared" si="1"/>
        <v>170499</v>
      </c>
    </row>
    <row r="66" spans="1:22" x14ac:dyDescent="0.25">
      <c r="A66" s="313" t="s">
        <v>885</v>
      </c>
      <c r="B66" s="507" t="s">
        <v>823</v>
      </c>
      <c r="C66" s="4" t="s">
        <v>74</v>
      </c>
      <c r="D66" s="4" t="s">
        <v>814</v>
      </c>
      <c r="E66" s="99">
        <v>46202</v>
      </c>
      <c r="F66" s="4" t="s">
        <v>726</v>
      </c>
      <c r="G66" s="4" t="s">
        <v>595</v>
      </c>
      <c r="H66" s="4">
        <v>16.3</v>
      </c>
      <c r="I66" s="4" t="s">
        <v>453</v>
      </c>
      <c r="J66" s="562" t="str">
        <f>IF(B66&lt;&gt;"",_xlfn.XLOOKUP(B66,'2627PR_Loading'!$E$3:$E$501,'2627PR_Loading'!$B$3:$B$501,"",0)&amp;_xlfn.XLOOKUP(B66,'2627PR_Loading'!$K$3:$K$501,'2627PR_Loading'!$B$3:$B$501,"",0)&amp;_xlfn.XLOOKUP(B66,'2627PR_Loading'!$Q$3:$Q$501,'2627PR_Loading'!$B$3:$B$501,"",0),"")</f>
        <v>36</v>
      </c>
      <c r="K66" s="211" t="str">
        <f>IF(B66&lt;&gt;"",_xlfn.XLOOKUP(B66,'2627PR_Loading'!$E$3:$E$501,'2627PR_Loading'!$C$3:$C$501,"",0)&amp;_xlfn.XLOOKUP(B66,'2627PR_Loading'!$K$3:$K$501,'2627PR_Loading'!$C$3:$C$501,"",0)&amp;_xlfn.XLOOKUP(B66,'2627PR_Loading'!$Q$3:$Q$501,'2627PR_Loading'!$C$3:$C$501,"",0),"")</f>
        <v>12</v>
      </c>
      <c r="L66">
        <v>1759</v>
      </c>
      <c r="M66">
        <v>2484</v>
      </c>
      <c r="N66" s="4"/>
      <c r="O66" s="4">
        <v>4617427</v>
      </c>
      <c r="P66" s="248" t="str">
        <f>IF(B66&lt;&gt;"",_xlfn.XLOOKUP(B66,'2627PR_Loading'!$E$3:$E$501,'2627PR_Loading'!$J$3:$J$501,"",0)&amp;_xlfn.XLOOKUP(B66,'2627PR_Loading'!$K$3:$K$501,'2627PR_Loading'!$P$3:$P$501,"",0)&amp;_xlfn.XLOOKUP(B66,'2627PR_Loading'!$Q$3:$Q$501,'2627PR_Loading'!$V$3:$V$501,"",0),"")</f>
        <v>82</v>
      </c>
      <c r="Q66" s="98">
        <f>IF(B66&lt;&gt;"",_xlfn.XLOOKUP(B66,TableDispatch[Uniq Id],TableDispatch[Delivery Date],"",0),"")</f>
        <v>46219</v>
      </c>
      <c r="R66" s="98" t="str">
        <f>IF(B66&lt;&gt;"",_xlfn.XLOOKUP(B66,TableDispatch[Uniq Id],TableDispatch[Our Ch No.],"",0),"")</f>
        <v>DC/34</v>
      </c>
      <c r="T66" s="26" t="str">
        <f>IF(B66&lt;&gt;"",_xlfn.XLOOKUP(B66,TableDispatch[Uniq Id],TableDispatch[Eway Bill Out],"",0),"")</f>
        <v>6221 4603 0417</v>
      </c>
      <c r="U66" s="260">
        <v>69</v>
      </c>
      <c r="V66" s="263">
        <f t="shared" si="1"/>
        <v>121371</v>
      </c>
    </row>
    <row r="67" spans="1:22" x14ac:dyDescent="0.25">
      <c r="A67" s="313" t="s">
        <v>885</v>
      </c>
      <c r="B67" s="507" t="s">
        <v>824</v>
      </c>
      <c r="C67" s="4" t="s">
        <v>74</v>
      </c>
      <c r="D67" s="4" t="s">
        <v>814</v>
      </c>
      <c r="E67" s="99">
        <v>46202</v>
      </c>
      <c r="F67" s="4" t="s">
        <v>726</v>
      </c>
      <c r="G67" s="4" t="s">
        <v>595</v>
      </c>
      <c r="H67" s="4">
        <v>16.3</v>
      </c>
      <c r="I67" s="4" t="s">
        <v>453</v>
      </c>
      <c r="J67" s="562" t="str">
        <f>IF(B67&lt;&gt;"",_xlfn.XLOOKUP(B67,'2627PR_Loading'!$E$3:$E$501,'2627PR_Loading'!$B$3:$B$501,"",0)&amp;_xlfn.XLOOKUP(B67,'2627PR_Loading'!$K$3:$K$501,'2627PR_Loading'!$B$3:$B$501,"",0)&amp;_xlfn.XLOOKUP(B67,'2627PR_Loading'!$Q$3:$Q$501,'2627PR_Loading'!$B$3:$B$501,"",0),"")</f>
        <v>36</v>
      </c>
      <c r="K67" s="211" t="str">
        <f>IF(B67&lt;&gt;"",_xlfn.XLOOKUP(B67,'2627PR_Loading'!$E$3:$E$501,'2627PR_Loading'!$C$3:$C$501,"",0)&amp;_xlfn.XLOOKUP(B67,'2627PR_Loading'!$K$3:$K$501,'2627PR_Loading'!$C$3:$C$501,"",0)&amp;_xlfn.XLOOKUP(B67,'2627PR_Loading'!$Q$3:$Q$501,'2627PR_Loading'!$C$3:$C$501,"",0),"")</f>
        <v>12</v>
      </c>
      <c r="L67">
        <v>725</v>
      </c>
      <c r="N67" s="4"/>
      <c r="O67" s="4">
        <v>4617427</v>
      </c>
      <c r="P67" s="248" t="str">
        <f>IF(B67&lt;&gt;"",_xlfn.XLOOKUP(B67,'2627PR_Loading'!$E$3:$E$501,'2627PR_Loading'!$J$3:$J$501,"",0)&amp;_xlfn.XLOOKUP(B67,'2627PR_Loading'!$K$3:$K$501,'2627PR_Loading'!$P$3:$P$501,"",0)&amp;_xlfn.XLOOKUP(B67,'2627PR_Loading'!$Q$3:$Q$501,'2627PR_Loading'!$V$3:$V$501,"",0),"")</f>
        <v>82</v>
      </c>
      <c r="Q67" s="98">
        <f>IF(B67&lt;&gt;"",_xlfn.XLOOKUP(B67,TableDispatch[Uniq Id],TableDispatch[Delivery Date],"",0),"")</f>
        <v>46219</v>
      </c>
      <c r="R67" s="98" t="str">
        <f>IF(B67&lt;&gt;"",_xlfn.XLOOKUP(B67,TableDispatch[Uniq Id],TableDispatch[Our Ch No.],"",0),"")</f>
        <v>DC/34</v>
      </c>
      <c r="T67" s="26" t="str">
        <f>IF(B67&lt;&gt;"",_xlfn.XLOOKUP(B67,TableDispatch[Uniq Id],TableDispatch[Eway Bill Out],"",0),"")</f>
        <v>6221 4603 0417</v>
      </c>
      <c r="U67" s="260">
        <v>69</v>
      </c>
      <c r="V67" s="263">
        <f t="shared" si="1"/>
        <v>50025</v>
      </c>
    </row>
    <row r="68" spans="1:22" x14ac:dyDescent="0.25">
      <c r="A68" s="313" t="s">
        <v>885</v>
      </c>
      <c r="B68" s="4">
        <v>400612</v>
      </c>
      <c r="C68" s="4" t="s">
        <v>74</v>
      </c>
      <c r="D68" s="4" t="s">
        <v>814</v>
      </c>
      <c r="E68" s="99">
        <v>46202</v>
      </c>
      <c r="F68" s="4" t="s">
        <v>726</v>
      </c>
      <c r="G68" s="4" t="s">
        <v>595</v>
      </c>
      <c r="H68" s="4">
        <v>22.3</v>
      </c>
      <c r="I68" s="4" t="s">
        <v>453</v>
      </c>
      <c r="J68" s="562" t="str">
        <f>IF(B68&lt;&gt;"",_xlfn.XLOOKUP(B68,'2627PR_Loading'!$E$3:$E$501,'2627PR_Loading'!$B$3:$B$501,"",0)&amp;_xlfn.XLOOKUP(B68,'2627PR_Loading'!$K$3:$K$501,'2627PR_Loading'!$B$3:$B$501,"",0)&amp;_xlfn.XLOOKUP(B68,'2627PR_Loading'!$Q$3:$Q$501,'2627PR_Loading'!$B$3:$B$501,"",0),"")</f>
        <v>30</v>
      </c>
      <c r="K68" s="211" t="str">
        <f>IF(B68&lt;&gt;"",_xlfn.XLOOKUP(B68,'2627PR_Loading'!$E$3:$E$501,'2627PR_Loading'!$C$3:$C$501,"",0)&amp;_xlfn.XLOOKUP(B68,'2627PR_Loading'!$K$3:$K$501,'2627PR_Loading'!$C$3:$C$501,"",0)&amp;_xlfn.XLOOKUP(B68,'2627PR_Loading'!$Q$3:$Q$501,'2627PR_Loading'!$C$3:$C$501,"",0),"")</f>
        <v>12</v>
      </c>
      <c r="L68">
        <v>2495</v>
      </c>
      <c r="N68" s="4"/>
      <c r="O68" s="4">
        <v>4617427</v>
      </c>
      <c r="P68" s="248" t="str">
        <f>IF(B68&lt;&gt;"",_xlfn.XLOOKUP(B68,'2627PR_Loading'!$E$3:$E$501,'2627PR_Loading'!$J$3:$J$501,"",0)&amp;_xlfn.XLOOKUP(B68,'2627PR_Loading'!$K$3:$K$501,'2627PR_Loading'!$P$3:$P$501,"",0)&amp;_xlfn.XLOOKUP(B68,'2627PR_Loading'!$Q$3:$Q$501,'2627PR_Loading'!$V$3:$V$501,"",0),"")</f>
        <v>82</v>
      </c>
      <c r="Q68" s="98">
        <f>IF(B68&lt;&gt;"",_xlfn.XLOOKUP(B68,TableDispatch[Uniq Id],TableDispatch[Delivery Date],"",0),"")</f>
        <v>46206</v>
      </c>
      <c r="R68" s="98" t="str">
        <f>IF(B68&lt;&gt;"",_xlfn.XLOOKUP(B68,TableDispatch[Uniq Id],TableDispatch[Our Ch No.],"",0),"")</f>
        <v>DC/29</v>
      </c>
      <c r="T68" s="26" t="str">
        <f>IF(B68&lt;&gt;"",_xlfn.XLOOKUP(B68,TableDispatch[Uniq Id],TableDispatch[Eway Bill Out],"",0),"")</f>
        <v>6021 3907 4893</v>
      </c>
      <c r="U68" s="260">
        <v>69</v>
      </c>
      <c r="V68" s="263">
        <f t="shared" si="1"/>
        <v>172155</v>
      </c>
    </row>
    <row r="69" spans="1:22" x14ac:dyDescent="0.25">
      <c r="A69" s="313" t="s">
        <v>885</v>
      </c>
      <c r="B69" s="4">
        <v>400613</v>
      </c>
      <c r="C69" s="4" t="s">
        <v>74</v>
      </c>
      <c r="D69" s="4" t="s">
        <v>814</v>
      </c>
      <c r="E69" s="99">
        <v>46202</v>
      </c>
      <c r="F69" s="4" t="s">
        <v>726</v>
      </c>
      <c r="G69" s="4" t="s">
        <v>595</v>
      </c>
      <c r="H69" s="4">
        <v>22.3</v>
      </c>
      <c r="I69" s="4" t="s">
        <v>453</v>
      </c>
      <c r="J69" s="562" t="str">
        <f>IF(B69&lt;&gt;"",_xlfn.XLOOKUP(B69,'2627PR_Loading'!$E$3:$E$501,'2627PR_Loading'!$B$3:$B$501,"",0)&amp;_xlfn.XLOOKUP(B69,'2627PR_Loading'!$K$3:$K$501,'2627PR_Loading'!$B$3:$B$501,"",0)&amp;_xlfn.XLOOKUP(B69,'2627PR_Loading'!$Q$3:$Q$501,'2627PR_Loading'!$B$3:$B$501,"",0),"")</f>
        <v>45</v>
      </c>
      <c r="K69" s="211" t="str">
        <f>IF(B69&lt;&gt;"",_xlfn.XLOOKUP(B69,'2627PR_Loading'!$E$3:$E$501,'2627PR_Loading'!$C$3:$C$501,"",0)&amp;_xlfn.XLOOKUP(B69,'2627PR_Loading'!$K$3:$K$501,'2627PR_Loading'!$C$3:$C$501,"",0)&amp;_xlfn.XLOOKUP(B69,'2627PR_Loading'!$Q$3:$Q$501,'2627PR_Loading'!$C$3:$C$501,"",0),"")</f>
        <v>12</v>
      </c>
      <c r="L69">
        <v>2480</v>
      </c>
      <c r="N69" s="4"/>
      <c r="O69" s="4">
        <v>4617427</v>
      </c>
      <c r="P69" s="248" t="str">
        <f>IF(B69&lt;&gt;"",_xlfn.XLOOKUP(B69,'2627PR_Loading'!$E$3:$E$501,'2627PR_Loading'!$J$3:$J$501,"",0)&amp;_xlfn.XLOOKUP(B69,'2627PR_Loading'!$K$3:$K$501,'2627PR_Loading'!$P$3:$P$501,"",0)&amp;_xlfn.XLOOKUP(B69,'2627PR_Loading'!$Q$3:$Q$501,'2627PR_Loading'!$V$3:$V$501,"",0),"")</f>
        <v>82</v>
      </c>
      <c r="Q69" s="98">
        <f>IF(B69&lt;&gt;"",_xlfn.XLOOKUP(B69,TableDispatch[Uniq Id],TableDispatch[Delivery Date],"",0),"")</f>
        <v>46220</v>
      </c>
      <c r="R69" s="98" t="str">
        <f>IF(B69&lt;&gt;"",_xlfn.XLOOKUP(B69,TableDispatch[Uniq Id],TableDispatch[Our Ch No.],"",0),"")</f>
        <v>DC/35</v>
      </c>
      <c r="T69" s="26" t="str">
        <f>IF(B69&lt;&gt;"",_xlfn.XLOOKUP(B69,TableDispatch[Uniq Id],TableDispatch[Eway Bill Out],"",0),"")</f>
        <v>6121 4664 7269</v>
      </c>
      <c r="U69" s="260">
        <v>69</v>
      </c>
      <c r="V69" s="263">
        <f t="shared" si="1"/>
        <v>171120</v>
      </c>
    </row>
    <row r="70" spans="1:22" x14ac:dyDescent="0.25">
      <c r="A70" s="313" t="s">
        <v>885</v>
      </c>
      <c r="B70" s="4" t="s">
        <v>954</v>
      </c>
      <c r="C70" s="4" t="s">
        <v>74</v>
      </c>
      <c r="D70" s="4" t="s">
        <v>814</v>
      </c>
      <c r="E70" s="99">
        <v>46202</v>
      </c>
      <c r="F70" s="4" t="s">
        <v>726</v>
      </c>
      <c r="G70" s="4" t="s">
        <v>595</v>
      </c>
      <c r="H70" s="4">
        <v>22.3</v>
      </c>
      <c r="I70" s="4" t="s">
        <v>453</v>
      </c>
      <c r="J70" s="211" t="str">
        <f>IF(B70&lt;&gt;"",_xlfn.XLOOKUP(B70,'2627PR_Loading'!$E$3:$E$501,'2627PR_Loading'!$B$3:$B$501,"",0)&amp;_xlfn.XLOOKUP(B70,'2627PR_Loading'!$K$3:$K$501,'2627PR_Loading'!$B$3:$B$501,"",0)&amp;_xlfn.XLOOKUP(B70,'2627PR_Loading'!$Q$3:$Q$501,'2627PR_Loading'!$B$3:$B$501,"",0),"")</f>
        <v>54</v>
      </c>
      <c r="K70" s="211" t="str">
        <f>IF(B70&lt;&gt;"",_xlfn.XLOOKUP(B70,'2627PR_Loading'!$E$3:$E$501,'2627PR_Loading'!$C$3:$C$501,"",0)&amp;_xlfn.XLOOKUP(B70,'2627PR_Loading'!$K$3:$K$501,'2627PR_Loading'!$C$3:$C$501,"",0)&amp;_xlfn.XLOOKUP(B70,'2627PR_Loading'!$Q$3:$Q$501,'2627PR_Loading'!$C$3:$C$501,"",0),"")</f>
        <v>12</v>
      </c>
      <c r="L70">
        <v>2485</v>
      </c>
      <c r="N70" s="4"/>
      <c r="O70" s="4">
        <v>4617427</v>
      </c>
      <c r="P70" s="248" t="str">
        <f>IF(B70&lt;&gt;"",_xlfn.XLOOKUP(B70,'2627PR_Loading'!$E$3:$E$501,'2627PR_Loading'!$J$3:$J$501,"",0)&amp;_xlfn.XLOOKUP(B70,'2627PR_Loading'!$K$3:$K$501,'2627PR_Loading'!$P$3:$P$501,"",0)&amp;_xlfn.XLOOKUP(B70,'2627PR_Loading'!$Q$3:$Q$501,'2627PR_Loading'!$V$3:$V$501,"",0),"")</f>
        <v>79</v>
      </c>
      <c r="Q70" s="98">
        <f>IF(B70&lt;&gt;"",_xlfn.XLOOKUP(B70,TableDispatch[Uniq Id],TableDispatch[Delivery Date],"",0),"")</f>
        <v>46243</v>
      </c>
      <c r="R70" s="98" t="str">
        <f>IF(B70&lt;&gt;"",_xlfn.XLOOKUP(B70,TableDispatch[Uniq Id],TableDispatch[Our Ch No.],"",0),"")</f>
        <v>DC/46</v>
      </c>
      <c r="T70" s="26" t="str">
        <f>IF(B70&lt;&gt;"",_xlfn.XLOOKUP(B70,TableDispatch[Uniq Id],TableDispatch[Eway Bill Out],"",0),"")</f>
        <v>6421 6003 9847</v>
      </c>
      <c r="U70" s="260">
        <v>69</v>
      </c>
      <c r="V70" s="263">
        <f t="shared" si="1"/>
        <v>171465</v>
      </c>
    </row>
    <row r="71" spans="1:22" x14ac:dyDescent="0.25">
      <c r="A71" s="313" t="s">
        <v>885</v>
      </c>
      <c r="B71" s="4">
        <v>400615</v>
      </c>
      <c r="C71" s="4" t="s">
        <v>74</v>
      </c>
      <c r="D71" s="4" t="s">
        <v>814</v>
      </c>
      <c r="E71" s="99">
        <v>46202</v>
      </c>
      <c r="F71" s="4" t="s">
        <v>726</v>
      </c>
      <c r="G71" s="4" t="s">
        <v>595</v>
      </c>
      <c r="H71" s="4">
        <v>22.3</v>
      </c>
      <c r="I71" s="4" t="s">
        <v>453</v>
      </c>
      <c r="J71" s="562" t="str">
        <f>IF(B71&lt;&gt;"",_xlfn.XLOOKUP(B71,'2627PR_Loading'!$E$3:$E$501,'2627PR_Loading'!$B$3:$B$501,"",0)&amp;_xlfn.XLOOKUP(B71,'2627PR_Loading'!$K$3:$K$501,'2627PR_Loading'!$B$3:$B$501,"",0)&amp;_xlfn.XLOOKUP(B71,'2627PR_Loading'!$Q$3:$Q$501,'2627PR_Loading'!$B$3:$B$501,"",0),"")</f>
        <v>43</v>
      </c>
      <c r="K71" s="211" t="str">
        <f>IF(B71&lt;&gt;"",_xlfn.XLOOKUP(B71,'2627PR_Loading'!$E$3:$E$501,'2627PR_Loading'!$C$3:$C$501,"",0)&amp;_xlfn.XLOOKUP(B71,'2627PR_Loading'!$K$3:$K$501,'2627PR_Loading'!$C$3:$C$501,"",0)&amp;_xlfn.XLOOKUP(B71,'2627PR_Loading'!$Q$3:$Q$501,'2627PR_Loading'!$C$3:$C$501,"",0),"")</f>
        <v>12</v>
      </c>
      <c r="L71">
        <v>2475</v>
      </c>
      <c r="N71" s="4"/>
      <c r="O71" s="4">
        <v>4617427</v>
      </c>
      <c r="P71" s="248" t="str">
        <f>IF(B71&lt;&gt;"",_xlfn.XLOOKUP(B71,'2627PR_Loading'!$E$3:$E$501,'2627PR_Loading'!$J$3:$J$501,"",0)&amp;_xlfn.XLOOKUP(B71,'2627PR_Loading'!$K$3:$K$501,'2627PR_Loading'!$P$3:$P$501,"",0)&amp;_xlfn.XLOOKUP(B71,'2627PR_Loading'!$Q$3:$Q$501,'2627PR_Loading'!$V$3:$V$501,"",0),"")</f>
        <v>84</v>
      </c>
      <c r="Q71" s="98">
        <f>IF(B71&lt;&gt;"",_xlfn.XLOOKUP(B71,TableDispatch[Uniq Id],TableDispatch[Delivery Date],"",0),"")</f>
        <v>46220</v>
      </c>
      <c r="R71" s="98" t="str">
        <f>IF(B71&lt;&gt;"",_xlfn.XLOOKUP(B71,TableDispatch[Uniq Id],TableDispatch[Our Ch No.],"",0),"")</f>
        <v>DC/35</v>
      </c>
      <c r="T71" s="26" t="str">
        <f>IF(B71&lt;&gt;"",_xlfn.XLOOKUP(B71,TableDispatch[Uniq Id],TableDispatch[Eway Bill Out],"",0),"")</f>
        <v>6121 4664 7269</v>
      </c>
      <c r="U71" s="260">
        <v>69</v>
      </c>
      <c r="V71" s="263">
        <f t="shared" si="1"/>
        <v>170775</v>
      </c>
    </row>
    <row r="72" spans="1:22" x14ac:dyDescent="0.25">
      <c r="A72" s="313" t="s">
        <v>885</v>
      </c>
      <c r="B72" s="4">
        <v>400616</v>
      </c>
      <c r="C72" s="4" t="s">
        <v>74</v>
      </c>
      <c r="D72" s="4" t="s">
        <v>814</v>
      </c>
      <c r="E72" s="99">
        <v>46202</v>
      </c>
      <c r="F72" s="4" t="s">
        <v>726</v>
      </c>
      <c r="G72" s="4" t="s">
        <v>595</v>
      </c>
      <c r="H72" s="4">
        <v>22.3</v>
      </c>
      <c r="I72" s="4" t="s">
        <v>453</v>
      </c>
      <c r="J72" s="562" t="str">
        <f>IF(B72&lt;&gt;"",_xlfn.XLOOKUP(B72,'2627PR_Loading'!$E$3:$E$501,'2627PR_Loading'!$B$3:$B$501,"",0)&amp;_xlfn.XLOOKUP(B72,'2627PR_Loading'!$K$3:$K$501,'2627PR_Loading'!$B$3:$B$501,"",0)&amp;_xlfn.XLOOKUP(B72,'2627PR_Loading'!$Q$3:$Q$501,'2627PR_Loading'!$B$3:$B$501,"",0),"")</f>
        <v>31</v>
      </c>
      <c r="K72" s="211" t="str">
        <f>IF(B72&lt;&gt;"",_xlfn.XLOOKUP(B72,'2627PR_Loading'!$E$3:$E$501,'2627PR_Loading'!$C$3:$C$501,"",0)&amp;_xlfn.XLOOKUP(B72,'2627PR_Loading'!$K$3:$K$501,'2627PR_Loading'!$C$3:$C$501,"",0)&amp;_xlfn.XLOOKUP(B72,'2627PR_Loading'!$Q$3:$Q$501,'2627PR_Loading'!$C$3:$C$501,"",0),"")</f>
        <v>12</v>
      </c>
      <c r="L72">
        <v>2460</v>
      </c>
      <c r="N72" s="4"/>
      <c r="O72" s="4">
        <v>4617427</v>
      </c>
      <c r="P72" s="248" t="str">
        <f>IF(B72&lt;&gt;"",_xlfn.XLOOKUP(B72,'2627PR_Loading'!$E$3:$E$501,'2627PR_Loading'!$J$3:$J$501,"",0)&amp;_xlfn.XLOOKUP(B72,'2627PR_Loading'!$K$3:$K$501,'2627PR_Loading'!$P$3:$P$501,"",0)&amp;_xlfn.XLOOKUP(B72,'2627PR_Loading'!$Q$3:$Q$501,'2627PR_Loading'!$V$3:$V$501,"",0),"")</f>
        <v>84</v>
      </c>
      <c r="Q72" s="98">
        <f>IF(B72&lt;&gt;"",_xlfn.XLOOKUP(B72,TableDispatch[Uniq Id],TableDispatch[Delivery Date],"",0),"")</f>
        <v>46206</v>
      </c>
      <c r="R72" s="98" t="str">
        <f>IF(B72&lt;&gt;"",_xlfn.XLOOKUP(B72,TableDispatch[Uniq Id],TableDispatch[Our Ch No.],"",0),"")</f>
        <v>DC/29</v>
      </c>
      <c r="T72" s="26" t="str">
        <f>IF(B72&lt;&gt;"",_xlfn.XLOOKUP(B72,TableDispatch[Uniq Id],TableDispatch[Eway Bill Out],"",0),"")</f>
        <v>6021 3907 4893</v>
      </c>
      <c r="U72" s="260">
        <v>69</v>
      </c>
      <c r="V72" s="263">
        <f t="shared" si="1"/>
        <v>169740</v>
      </c>
    </row>
    <row r="73" spans="1:22" x14ac:dyDescent="0.25">
      <c r="A73" s="313" t="s">
        <v>885</v>
      </c>
      <c r="B73" s="507" t="s">
        <v>822</v>
      </c>
      <c r="C73" s="4" t="s">
        <v>74</v>
      </c>
      <c r="D73" s="4" t="s">
        <v>814</v>
      </c>
      <c r="E73" s="99">
        <v>46202</v>
      </c>
      <c r="F73" s="4" t="s">
        <v>726</v>
      </c>
      <c r="G73" s="4" t="s">
        <v>595</v>
      </c>
      <c r="H73" s="4">
        <v>22.3</v>
      </c>
      <c r="I73" s="4" t="s">
        <v>453</v>
      </c>
      <c r="J73" s="562" t="str">
        <f>IF(B73&lt;&gt;"",_xlfn.XLOOKUP(B73,'2627PR_Loading'!$E$3:$E$501,'2627PR_Loading'!$B$3:$B$501,"",0)&amp;_xlfn.XLOOKUP(B73,'2627PR_Loading'!$K$3:$K$501,'2627PR_Loading'!$B$3:$B$501,"",0)&amp;_xlfn.XLOOKUP(B73,'2627PR_Loading'!$Q$3:$Q$501,'2627PR_Loading'!$B$3:$B$501,"",0),"")</f>
        <v>33</v>
      </c>
      <c r="K73" s="211" t="str">
        <f>IF(B73&lt;&gt;"",_xlfn.XLOOKUP(B73,'2627PR_Loading'!$E$3:$E$501,'2627PR_Loading'!$C$3:$C$501,"",0)&amp;_xlfn.XLOOKUP(B73,'2627PR_Loading'!$K$3:$K$501,'2627PR_Loading'!$C$3:$C$501,"",0)&amp;_xlfn.XLOOKUP(B73,'2627PR_Loading'!$Q$3:$Q$501,'2627PR_Loading'!$C$3:$C$501,"",0),"")</f>
        <v>11</v>
      </c>
      <c r="L73">
        <v>1882</v>
      </c>
      <c r="M73">
        <v>2502</v>
      </c>
      <c r="O73" s="4">
        <v>4617427</v>
      </c>
      <c r="P73" s="248" t="str">
        <f>IF(B73&lt;&gt;"",_xlfn.XLOOKUP(B73,'2627PR_Loading'!$E$3:$E$501,'2627PR_Loading'!$J$3:$J$501,"",0)&amp;_xlfn.XLOOKUP(B73,'2627PR_Loading'!$K$3:$K$501,'2627PR_Loading'!$P$3:$P$501,"",0)&amp;_xlfn.XLOOKUP(B73,'2627PR_Loading'!$Q$3:$Q$501,'2627PR_Loading'!$V$3:$V$501,"",0),"")</f>
        <v>80</v>
      </c>
      <c r="Q73" s="98">
        <f>IF(B73&lt;&gt;"",_xlfn.XLOOKUP(B73,TableDispatch[Uniq Id],TableDispatch[Delivery Date],"",0),"")</f>
        <v>46208</v>
      </c>
      <c r="R73" s="98" t="str">
        <f>IF(B73&lt;&gt;"",_xlfn.XLOOKUP(B73,TableDispatch[Uniq Id],TableDispatch[Our Ch No.],"",0),"")</f>
        <v>DC/30</v>
      </c>
      <c r="T73" s="26" t="str">
        <f>IF(B73&lt;&gt;"",_xlfn.XLOOKUP(B73,TableDispatch[Uniq Id],TableDispatch[Eway Bill Out],"",0),"")</f>
        <v>6121 4015 0086</v>
      </c>
      <c r="U73" s="260">
        <v>69</v>
      </c>
      <c r="V73" s="263">
        <f t="shared" si="1"/>
        <v>129858</v>
      </c>
    </row>
    <row r="74" spans="1:22" x14ac:dyDescent="0.25">
      <c r="A74" s="313" t="s">
        <v>450</v>
      </c>
      <c r="B74" s="507" t="s">
        <v>966</v>
      </c>
      <c r="C74" s="4" t="s">
        <v>74</v>
      </c>
      <c r="D74" s="4" t="s">
        <v>814</v>
      </c>
      <c r="E74" s="99">
        <v>46202</v>
      </c>
      <c r="F74" s="4" t="s">
        <v>726</v>
      </c>
      <c r="G74" s="4" t="s">
        <v>595</v>
      </c>
      <c r="H74" s="4">
        <v>22.3</v>
      </c>
      <c r="I74" s="4" t="s">
        <v>453</v>
      </c>
      <c r="J74" s="211" t="str">
        <f>IF(B74&lt;&gt;"",_xlfn.XLOOKUP(B74,'2627PR_Loading'!$E$3:$E$501,'2627PR_Loading'!$B$3:$B$501,"",0)&amp;_xlfn.XLOOKUP(B74,'2627PR_Loading'!$K$3:$K$501,'2627PR_Loading'!$B$3:$B$501,"",0)&amp;_xlfn.XLOOKUP(B74,'2627PR_Loading'!$Q$3:$Q$501,'2627PR_Loading'!$B$3:$B$501,"",0),"")</f>
        <v>56</v>
      </c>
      <c r="K74" s="211" t="str">
        <f>IF(B74&lt;&gt;"",_xlfn.XLOOKUP(B74,'2627PR_Loading'!$E$3:$E$501,'2627PR_Loading'!$C$3:$C$501,"",0)&amp;_xlfn.XLOOKUP(B74,'2627PR_Loading'!$K$3:$K$501,'2627PR_Loading'!$C$3:$C$501,"",0)&amp;_xlfn.XLOOKUP(B74,'2627PR_Loading'!$Q$3:$Q$501,'2627PR_Loading'!$C$3:$C$501,"",0),"")</f>
        <v>12</v>
      </c>
      <c r="L74">
        <v>620</v>
      </c>
      <c r="O74" s="4">
        <v>4617427</v>
      </c>
      <c r="P74" s="248" t="str">
        <f>IF(B74&lt;&gt;"",_xlfn.XLOOKUP(B74,'2627PR_Loading'!$E$3:$E$501,'2627PR_Loading'!$J$3:$J$501,"",0)&amp;_xlfn.XLOOKUP(B74,'2627PR_Loading'!$K$3:$K$501,'2627PR_Loading'!$P$3:$P$501,"",0)&amp;_xlfn.XLOOKUP(B74,'2627PR_Loading'!$Q$3:$Q$501,'2627PR_Loading'!$V$3:$V$501,"",0),"")</f>
        <v>80</v>
      </c>
      <c r="Q74" s="98">
        <f>IF(B74&lt;&gt;"",_xlfn.XLOOKUP(B74,TableDispatch[Uniq Id],TableDispatch[Delivery Date],"",0),"")</f>
        <v>46243</v>
      </c>
      <c r="R74" s="98" t="str">
        <f>IF(B74&lt;&gt;"",_xlfn.XLOOKUP(B74,TableDispatch[Uniq Id],TableDispatch[Our Ch No.],"",0),"")</f>
        <v>DC/46</v>
      </c>
      <c r="T74" s="26" t="str">
        <f>IF(B74&lt;&gt;"",_xlfn.XLOOKUP(B74,TableDispatch[Uniq Id],TableDispatch[Eway Bill Out],"",0),"")</f>
        <v>6421 6003 9847</v>
      </c>
      <c r="U74" s="260">
        <v>69</v>
      </c>
      <c r="V74" s="263">
        <f t="shared" si="1"/>
        <v>42780</v>
      </c>
    </row>
    <row r="75" spans="1:22" ht="15.75" x14ac:dyDescent="0.25">
      <c r="E75" s="99"/>
      <c r="J75" s="211" t="str">
        <f>IF(B75&lt;&gt;"",_xlfn.XLOOKUP(B75,'2627PR_Loading'!$E$3:$E$501,'2627PR_Loading'!$B$3:$B$501,"",0)&amp;_xlfn.XLOOKUP(B75,'2627PR_Loading'!$K$3:$K$501,'2627PR_Loading'!$B$3:$B$501,"",0)&amp;_xlfn.XLOOKUP(B75,'2627PR_Loading'!$Q$3:$Q$501,'2627PR_Loading'!$B$3:$B$501,"",0),"")</f>
        <v/>
      </c>
      <c r="K75" s="211" t="str">
        <f>IF(B75&lt;&gt;"",_xlfn.XLOOKUP(B75,'2627PR_Loading'!$E$3:$E$501,'2627PR_Loading'!$C$3:$C$501,"",0)&amp;_xlfn.XLOOKUP(B75,'2627PR_Loading'!$K$3:$K$501,'2627PR_Loading'!$C$3:$C$501,"",0)&amp;_xlfn.XLOOKUP(B75,'2627PR_Loading'!$Q$3:$Q$501,'2627PR_Loading'!$C$3:$C$501,"",0),"")</f>
        <v/>
      </c>
      <c r="L75" s="458">
        <f>SUM(L56:L74)</f>
        <v>41958</v>
      </c>
      <c r="M75" s="348">
        <f>SUM(M56:M73)</f>
        <v>4986</v>
      </c>
      <c r="N75" s="349">
        <v>41958</v>
      </c>
      <c r="O75" s="349"/>
      <c r="P75" s="248" t="str">
        <f>IF(B75&lt;&gt;"",_xlfn.XLOOKUP(B75,'2627PR_Loading'!$E$3:$E$501,'2627PR_Loading'!$J$3:$J$501,"",0)&amp;_xlfn.XLOOKUP(B75,'2627PR_Loading'!$K$3:$K$501,'2627PR_Loading'!$P$3:$P$501,"",0)&amp;_xlfn.XLOOKUP(B75,'2627PR_Loading'!$Q$3:$Q$501,'2627PR_Loading'!$V$3:$V$501,"",0),"")</f>
        <v/>
      </c>
      <c r="Q75" s="98" t="str">
        <f>IF(B75&lt;&gt;"",_xlfn.XLOOKUP(B75,TableDispatch[Uniq Id],TableDispatch[Delivery Date],"",0),"")</f>
        <v/>
      </c>
      <c r="R75" s="98" t="str">
        <f>IF(B75&lt;&gt;"",_xlfn.XLOOKUP(B75,TableDispatch[Uniq Id],TableDispatch[Our Ch No.],"",0),"")</f>
        <v/>
      </c>
      <c r="T75" s="26" t="str">
        <f>IF(B75&lt;&gt;"",_xlfn.XLOOKUP(B75,TableDispatch[Uniq Id],TableDispatch[Eway Bill Out],"",0),"")</f>
        <v/>
      </c>
    </row>
    <row r="76" spans="1:22" ht="15.75" x14ac:dyDescent="0.25">
      <c r="E76" s="99"/>
      <c r="J76" s="211" t="str">
        <f>IF(B76&lt;&gt;"",_xlfn.XLOOKUP(B76,'2627PR_Loading'!$E$3:$E$501,'2627PR_Loading'!$B$3:$B$501,"",0)&amp;_xlfn.XLOOKUP(B76,'2627PR_Loading'!$K$3:$K$501,'2627PR_Loading'!$B$3:$B$501,"",0)&amp;_xlfn.XLOOKUP(B76,'2627PR_Loading'!$Q$3:$Q$501,'2627PR_Loading'!$B$3:$B$501,"",0),"")</f>
        <v/>
      </c>
      <c r="K76" s="211" t="str">
        <f>IF(B76&lt;&gt;"",_xlfn.XLOOKUP(B76,'2627PR_Loading'!$E$3:$E$501,'2627PR_Loading'!$C$3:$C$501,"",0)&amp;_xlfn.XLOOKUP(B76,'2627PR_Loading'!$K$3:$K$501,'2627PR_Loading'!$C$3:$C$501,"",0)&amp;_xlfn.XLOOKUP(B76,'2627PR_Loading'!$Q$3:$Q$501,'2627PR_Loading'!$C$3:$C$501,"",0),"")</f>
        <v/>
      </c>
      <c r="L76" s="459"/>
      <c r="M76" s="348" t="s">
        <v>126</v>
      </c>
      <c r="N76" s="349" t="s">
        <v>485</v>
      </c>
      <c r="O76" s="349" t="s">
        <v>97</v>
      </c>
      <c r="P76" s="248" t="str">
        <f>IF(B76&lt;&gt;"",_xlfn.XLOOKUP(B76,'2627PR_Loading'!$E$3:$E$501,'2627PR_Loading'!$J$3:$J$501,"",0)&amp;_xlfn.XLOOKUP(B76,'2627PR_Loading'!$K$3:$K$501,'2627PR_Loading'!$P$3:$P$501,"",0)&amp;_xlfn.XLOOKUP(B76,'2627PR_Loading'!$Q$3:$Q$501,'2627PR_Loading'!$V$3:$V$501,"",0),"")</f>
        <v/>
      </c>
      <c r="Q76" s="98" t="str">
        <f>IF(B76&lt;&gt;"",_xlfn.XLOOKUP(B76,TableDispatch[Uniq Id],TableDispatch[Delivery Date],"",0),"")</f>
        <v/>
      </c>
      <c r="R76" s="98" t="str">
        <f>IF(B76&lt;&gt;"",_xlfn.XLOOKUP(B76,TableDispatch[Uniq Id],TableDispatch[Our Ch No.],"",0),"")</f>
        <v/>
      </c>
      <c r="T76" s="26" t="str">
        <f>IF(B76&lt;&gt;"",_xlfn.XLOOKUP(B76,TableDispatch[Uniq Id],TableDispatch[Eway Bill Out],"",0),"")</f>
        <v/>
      </c>
    </row>
    <row r="77" spans="1:22" s="11" customFormat="1" x14ac:dyDescent="0.25">
      <c r="A77" s="10"/>
      <c r="B77" s="10"/>
      <c r="C77" s="10"/>
      <c r="D77" s="10"/>
      <c r="E77" s="460"/>
      <c r="F77" s="10"/>
      <c r="G77" s="10"/>
      <c r="H77" s="10"/>
      <c r="I77" s="10"/>
      <c r="J77" s="508" t="str">
        <f>IF(B77&lt;&gt;"",_xlfn.XLOOKUP(B77,'2627PR_Loading'!$E$3:$E$501,'2627PR_Loading'!$B$3:$B$501,"",0)&amp;_xlfn.XLOOKUP(B77,'2627PR_Loading'!$K$3:$K$501,'2627PR_Loading'!$B$3:$B$501,"",0)&amp;_xlfn.XLOOKUP(B77,'2627PR_Loading'!$Q$3:$Q$501,'2627PR_Loading'!$B$3:$B$501,"",0),"")</f>
        <v/>
      </c>
      <c r="K77" s="508" t="str">
        <f>IF(B77&lt;&gt;"",_xlfn.XLOOKUP(B77,'2627PR_Loading'!$E$3:$E$501,'2627PR_Loading'!$C$3:$C$501,"",0)&amp;_xlfn.XLOOKUP(B77,'2627PR_Loading'!$K$3:$K$501,'2627PR_Loading'!$C$3:$C$501,"",0)&amp;_xlfn.XLOOKUP(B77,'2627PR_Loading'!$Q$3:$Q$501,'2627PR_Loading'!$C$3:$C$501,"",0),"")</f>
        <v/>
      </c>
      <c r="O77" s="10"/>
      <c r="P77" s="508" t="str">
        <f>IF(B77&lt;&gt;"",_xlfn.XLOOKUP(B77,'2627PR_Loading'!$E$3:$E$501,'2627PR_Loading'!$J$3:$J$501,"",0)&amp;_xlfn.XLOOKUP(B77,'2627PR_Loading'!$K$3:$K$501,'2627PR_Loading'!$P$3:$P$501,"",0)&amp;_xlfn.XLOOKUP(B77,'2627PR_Loading'!$Q$3:$Q$501,'2627PR_Loading'!$V$3:$V$501,"",0),"")</f>
        <v/>
      </c>
      <c r="Q77" s="460" t="str">
        <f>IF(B77&lt;&gt;"",_xlfn.XLOOKUP(B77,TableDispatch[Uniq Id],TableDispatch[Delivery Date],"",0),"")</f>
        <v/>
      </c>
      <c r="R77" s="460" t="str">
        <f>IF(B77&lt;&gt;"",_xlfn.XLOOKUP(B77,TableDispatch[Uniq Id],TableDispatch[Our Ch No.],"",0),"")</f>
        <v/>
      </c>
      <c r="S77" s="509"/>
      <c r="T77" s="10" t="str">
        <f>IF(B77&lt;&gt;"",_xlfn.XLOOKUP(B77,TableDispatch[Uniq Id],TableDispatch[Eway Bill Out],"",0),"")</f>
        <v/>
      </c>
      <c r="U77" s="318"/>
    </row>
    <row r="78" spans="1:22" x14ac:dyDescent="0.25">
      <c r="A78" s="510" t="s">
        <v>813</v>
      </c>
      <c r="B78" s="4" t="s">
        <v>899</v>
      </c>
      <c r="C78" s="4" t="s">
        <v>244</v>
      </c>
      <c r="D78" s="4">
        <v>46973</v>
      </c>
      <c r="E78" s="99">
        <v>46213</v>
      </c>
      <c r="F78" s="4" t="s">
        <v>261</v>
      </c>
      <c r="G78" s="4" t="s">
        <v>476</v>
      </c>
      <c r="H78" s="4">
        <v>16.5</v>
      </c>
      <c r="I78" s="4" t="s">
        <v>453</v>
      </c>
      <c r="J78" s="211" t="str">
        <f>IF(B78&lt;&gt;"",_xlfn.XLOOKUP(B78,'2627PR_Loading'!$E$3:$E$501,'2627PR_Loading'!$B$3:$B$501,"",0)&amp;_xlfn.XLOOKUP(B78,'2627PR_Loading'!$K$3:$K$501,'2627PR_Loading'!$B$3:$B$501,"",0)&amp;_xlfn.XLOOKUP(B78,'2627PR_Loading'!$Q$3:$Q$501,'2627PR_Loading'!$B$3:$B$501,"",0),"")</f>
        <v>50</v>
      </c>
      <c r="K78" s="211" t="str">
        <f>IF(B78&lt;&gt;"",_xlfn.XLOOKUP(B78,'2627PR_Loading'!$E$3:$E$501,'2627PR_Loading'!$C$3:$C$501,"",0)&amp;_xlfn.XLOOKUP(B78,'2627PR_Loading'!$K$3:$K$501,'2627PR_Loading'!$C$3:$C$501,"",0)&amp;_xlfn.XLOOKUP(B78,'2627PR_Loading'!$Q$3:$Q$501,'2627PR_Loading'!$C$3:$C$501,"",0),"")</f>
        <v>12</v>
      </c>
      <c r="L78">
        <v>2015</v>
      </c>
      <c r="M78">
        <v>2010</v>
      </c>
      <c r="O78" s="4" t="s">
        <v>836</v>
      </c>
      <c r="P78" s="248" t="str">
        <f>IF(B78&lt;&gt;"",_xlfn.XLOOKUP(B78,'2627PR_Loading'!$E$3:$E$501,'2627PR_Loading'!$J$3:$J$501,"",0)&amp;_xlfn.XLOOKUP(B78,'2627PR_Loading'!$K$3:$K$501,'2627PR_Loading'!$P$3:$P$501,"",0)&amp;_xlfn.XLOOKUP(B78,'2627PR_Loading'!$Q$3:$Q$501,'2627PR_Loading'!$V$3:$V$501,"",0),"")</f>
        <v>84</v>
      </c>
      <c r="Q78" s="98">
        <f>IF(B78&lt;&gt;"",_xlfn.XLOOKUP(B78,TableDispatch[Uniq Id],TableDispatch[Delivery Date],"",0),"")</f>
        <v>46228</v>
      </c>
      <c r="R78" s="98" t="str">
        <f>IF(B78&lt;&gt;"",_xlfn.XLOOKUP(B78,TableDispatch[Uniq Id],TableDispatch[Our Ch No.],"",0),"")</f>
        <v>DC/39</v>
      </c>
      <c r="T78" s="26" t="str">
        <f>IF(B78&lt;&gt;"",_xlfn.XLOOKUP(B78,TableDispatch[Uniq Id],TableDispatch[Eway Bill Out],"",0),"")</f>
        <v>6321 5096 2154</v>
      </c>
      <c r="U78" s="260">
        <v>90</v>
      </c>
      <c r="V78" s="263">
        <f>U78*L78</f>
        <v>181350</v>
      </c>
    </row>
    <row r="79" spans="1:22" x14ac:dyDescent="0.25">
      <c r="A79" s="510" t="s">
        <v>885</v>
      </c>
      <c r="B79" s="4">
        <v>340702</v>
      </c>
      <c r="C79" s="4" t="s">
        <v>244</v>
      </c>
      <c r="D79" s="4">
        <v>46973</v>
      </c>
      <c r="E79" s="99">
        <v>46213</v>
      </c>
      <c r="F79" s="4" t="s">
        <v>261</v>
      </c>
      <c r="G79" s="4" t="s">
        <v>476</v>
      </c>
      <c r="H79" s="4">
        <v>16.5</v>
      </c>
      <c r="I79" s="4" t="s">
        <v>453</v>
      </c>
      <c r="J79" s="562" t="str">
        <f>IF(B79&lt;&gt;"",_xlfn.XLOOKUP(B79,'2627PR_Loading'!$E$3:$E$501,'2627PR_Loading'!$B$3:$B$501,"",0)&amp;_xlfn.XLOOKUP(B79,'2627PR_Loading'!$K$3:$K$501,'2627PR_Loading'!$B$3:$B$501,"",0)&amp;_xlfn.XLOOKUP(B79,'2627PR_Loading'!$Q$3:$Q$501,'2627PR_Loading'!$B$3:$B$501,"",0),"")</f>
        <v>42</v>
      </c>
      <c r="K79" s="211" t="str">
        <f>IF(B79&lt;&gt;"",_xlfn.XLOOKUP(B79,'2627PR_Loading'!$E$3:$E$501,'2627PR_Loading'!$C$3:$C$501,"",0)&amp;_xlfn.XLOOKUP(B79,'2627PR_Loading'!$K$3:$K$501,'2627PR_Loading'!$C$3:$C$501,"",0)&amp;_xlfn.XLOOKUP(B79,'2627PR_Loading'!$Q$3:$Q$501,'2627PR_Loading'!$C$3:$C$501,"",0),"")</f>
        <v>11</v>
      </c>
      <c r="L79">
        <v>2015</v>
      </c>
      <c r="M79">
        <v>2004</v>
      </c>
      <c r="O79" s="4" t="s">
        <v>836</v>
      </c>
      <c r="P79" s="248" t="str">
        <f>IF(B79&lt;&gt;"",_xlfn.XLOOKUP(B79,'2627PR_Loading'!$E$3:$E$501,'2627PR_Loading'!$J$3:$J$501,"",0)&amp;_xlfn.XLOOKUP(B79,'2627PR_Loading'!$K$3:$K$501,'2627PR_Loading'!$P$3:$P$501,"",0)&amp;_xlfn.XLOOKUP(B79,'2627PR_Loading'!$Q$3:$Q$501,'2627PR_Loading'!$V$3:$V$501,"",0),"")</f>
        <v>84</v>
      </c>
      <c r="Q79" s="98">
        <f>IF(B79&lt;&gt;"",_xlfn.XLOOKUP(B79,TableDispatch[Uniq Id],TableDispatch[Delivery Date],"",0),"")</f>
        <v>46228</v>
      </c>
      <c r="R79" s="98" t="str">
        <f>IF(B79&lt;&gt;"",_xlfn.XLOOKUP(B79,TableDispatch[Uniq Id],TableDispatch[Our Ch No.],"",0),"")</f>
        <v>DC/39</v>
      </c>
      <c r="T79" s="26" t="str">
        <f>IF(B79&lt;&gt;"",_xlfn.XLOOKUP(B79,TableDispatch[Uniq Id],TableDispatch[Eway Bill Out],"",0),"")</f>
        <v>6321 5096 2154</v>
      </c>
      <c r="U79" s="260">
        <v>90</v>
      </c>
      <c r="V79" s="263">
        <f>U79*L79</f>
        <v>181350</v>
      </c>
    </row>
    <row r="80" spans="1:22" x14ac:dyDescent="0.25">
      <c r="A80" s="510" t="s">
        <v>885</v>
      </c>
      <c r="B80" s="4">
        <v>340703</v>
      </c>
      <c r="C80" s="4" t="s">
        <v>244</v>
      </c>
      <c r="D80" s="4">
        <v>46973</v>
      </c>
      <c r="E80" s="99">
        <v>46213</v>
      </c>
      <c r="F80" s="4" t="s">
        <v>261</v>
      </c>
      <c r="G80" s="4" t="s">
        <v>476</v>
      </c>
      <c r="H80" s="4">
        <v>16.5</v>
      </c>
      <c r="I80" s="4" t="s">
        <v>453</v>
      </c>
      <c r="J80" s="562" t="str">
        <f>IF(B80&lt;&gt;"",_xlfn.XLOOKUP(B80,'2627PR_Loading'!$E$3:$E$501,'2627PR_Loading'!$B$3:$B$501,"",0)&amp;_xlfn.XLOOKUP(B80,'2627PR_Loading'!$K$3:$K$501,'2627PR_Loading'!$B$3:$B$501,"",0)&amp;_xlfn.XLOOKUP(B80,'2627PR_Loading'!$Q$3:$Q$501,'2627PR_Loading'!$B$3:$B$501,"",0),"")</f>
        <v>46</v>
      </c>
      <c r="K80" s="211" t="str">
        <f>IF(B80&lt;&gt;"",_xlfn.XLOOKUP(B80,'2627PR_Loading'!$E$3:$E$501,'2627PR_Loading'!$C$3:$C$501,"",0)&amp;_xlfn.XLOOKUP(B80,'2627PR_Loading'!$K$3:$K$501,'2627PR_Loading'!$C$3:$C$501,"",0)&amp;_xlfn.XLOOKUP(B80,'2627PR_Loading'!$Q$3:$Q$501,'2627PR_Loading'!$C$3:$C$501,"",0),"")</f>
        <v>11</v>
      </c>
      <c r="L80">
        <v>2030</v>
      </c>
      <c r="M80">
        <v>2028</v>
      </c>
      <c r="O80" s="4" t="s">
        <v>836</v>
      </c>
      <c r="P80" s="248" t="str">
        <f>IF(B80&lt;&gt;"",_xlfn.XLOOKUP(B80,'2627PR_Loading'!$E$3:$E$501,'2627PR_Loading'!$J$3:$J$501,"",0)&amp;_xlfn.XLOOKUP(B80,'2627PR_Loading'!$K$3:$K$501,'2627PR_Loading'!$P$3:$P$501,"",0)&amp;_xlfn.XLOOKUP(B80,'2627PR_Loading'!$Q$3:$Q$501,'2627PR_Loading'!$V$3:$V$501,"",0),"")</f>
        <v>82</v>
      </c>
      <c r="Q80" s="98">
        <f>IF(B80&lt;&gt;"",_xlfn.XLOOKUP(B80,TableDispatch[Uniq Id],TableDispatch[Delivery Date],"",0),"")</f>
        <v>46228</v>
      </c>
      <c r="R80" s="98" t="str">
        <f>IF(B80&lt;&gt;"",_xlfn.XLOOKUP(B80,TableDispatch[Uniq Id],TableDispatch[Our Ch No.],"",0),"")</f>
        <v>DC/39</v>
      </c>
      <c r="T80" s="26" t="str">
        <f>IF(B80&lt;&gt;"",_xlfn.XLOOKUP(B80,TableDispatch[Uniq Id],TableDispatch[Eway Bill Out],"",0),"")</f>
        <v>6321 5096 2154</v>
      </c>
      <c r="U80" s="260">
        <v>90</v>
      </c>
      <c r="V80" s="263">
        <f>U80*L80</f>
        <v>182700</v>
      </c>
    </row>
    <row r="81" spans="1:22" ht="15.75" x14ac:dyDescent="0.25">
      <c r="E81" s="99"/>
      <c r="J81" s="211" t="str">
        <f>IF(B81&lt;&gt;"",_xlfn.XLOOKUP(B81,'2627PR_Loading'!$E$3:$E$501,'2627PR_Loading'!$B$3:$B$501,"",0)&amp;_xlfn.XLOOKUP(B81,'2627PR_Loading'!$K$3:$K$501,'2627PR_Loading'!$B$3:$B$501,"",0)&amp;_xlfn.XLOOKUP(B81,'2627PR_Loading'!$Q$3:$Q$501,'2627PR_Loading'!$B$3:$B$501,"",0),"")</f>
        <v/>
      </c>
      <c r="K81" s="211" t="str">
        <f>IF(B81&lt;&gt;"",_xlfn.XLOOKUP(B81,'2627PR_Loading'!$E$3:$E$501,'2627PR_Loading'!$C$3:$C$501,"",0)&amp;_xlfn.XLOOKUP(B81,'2627PR_Loading'!$K$3:$K$501,'2627PR_Loading'!$C$3:$C$501,"",0)&amp;_xlfn.XLOOKUP(B81,'2627PR_Loading'!$Q$3:$Q$501,'2627PR_Loading'!$C$3:$C$501,"",0),"")</f>
        <v/>
      </c>
      <c r="L81" s="458">
        <f>SUM(L78:L80)</f>
        <v>6060</v>
      </c>
      <c r="M81" s="348">
        <f>SUM(M78:M80)</f>
        <v>6042</v>
      </c>
      <c r="N81" s="349">
        <v>6060</v>
      </c>
      <c r="O81" s="349"/>
      <c r="P81" s="248" t="str">
        <f>IF(B81&lt;&gt;"",_xlfn.XLOOKUP(B81,'2627PR_Loading'!$E$3:$E$501,'2627PR_Loading'!$J$3:$J$501,"",0)&amp;_xlfn.XLOOKUP(B81,'2627PR_Loading'!$K$3:$K$501,'2627PR_Loading'!$P$3:$P$501,"",0)&amp;_xlfn.XLOOKUP(B81,'2627PR_Loading'!$Q$3:$Q$501,'2627PR_Loading'!$V$3:$V$501,"",0),"")</f>
        <v/>
      </c>
      <c r="Q81" s="98" t="str">
        <f>IF(B81&lt;&gt;"",_xlfn.XLOOKUP(B81,TableDispatch[Uniq Id],TableDispatch[Delivery Date],"",0),"")</f>
        <v/>
      </c>
      <c r="R81" s="98" t="str">
        <f>IF(B81&lt;&gt;"",_xlfn.XLOOKUP(B81,TableDispatch[Uniq Id],TableDispatch[Our Ch No.],"",0),"")</f>
        <v/>
      </c>
      <c r="T81" s="26" t="str">
        <f>IF(B81&lt;&gt;"",_xlfn.XLOOKUP(B81,TableDispatch[Uniq Id],TableDispatch[Eway Bill Out],"",0),"")</f>
        <v/>
      </c>
    </row>
    <row r="82" spans="1:22" ht="15.75" x14ac:dyDescent="0.25">
      <c r="E82" s="99"/>
      <c r="J82" s="211" t="str">
        <f>IF(B82&lt;&gt;"",_xlfn.XLOOKUP(B82,'2627PR_Loading'!$E$3:$E$501,'2627PR_Loading'!$B$3:$B$501,"",0)&amp;_xlfn.XLOOKUP(B82,'2627PR_Loading'!$K$3:$K$501,'2627PR_Loading'!$B$3:$B$501,"",0)&amp;_xlfn.XLOOKUP(B82,'2627PR_Loading'!$Q$3:$Q$501,'2627PR_Loading'!$B$3:$B$501,"",0),"")</f>
        <v/>
      </c>
      <c r="K82" s="211" t="str">
        <f>IF(B82&lt;&gt;"",_xlfn.XLOOKUP(B82,'2627PR_Loading'!$E$3:$E$501,'2627PR_Loading'!$C$3:$C$501,"",0)&amp;_xlfn.XLOOKUP(B82,'2627PR_Loading'!$K$3:$K$501,'2627PR_Loading'!$C$3:$C$501,"",0)&amp;_xlfn.XLOOKUP(B82,'2627PR_Loading'!$Q$3:$Q$501,'2627PR_Loading'!$C$3:$C$501,"",0),"")</f>
        <v/>
      </c>
      <c r="L82" s="459"/>
      <c r="M82" s="348" t="s">
        <v>126</v>
      </c>
      <c r="N82" s="349" t="s">
        <v>485</v>
      </c>
      <c r="O82" s="349" t="s">
        <v>97</v>
      </c>
      <c r="P82" s="248" t="str">
        <f>IF(B82&lt;&gt;"",_xlfn.XLOOKUP(B82,'2627PR_Loading'!$E$3:$E$501,'2627PR_Loading'!$J$3:$J$501,"",0)&amp;_xlfn.XLOOKUP(B82,'2627PR_Loading'!$K$3:$K$501,'2627PR_Loading'!$P$3:$P$501,"",0)&amp;_xlfn.XLOOKUP(B82,'2627PR_Loading'!$Q$3:$Q$501,'2627PR_Loading'!$V$3:$V$501,"",0),"")</f>
        <v/>
      </c>
      <c r="Q82" s="98" t="str">
        <f>IF(B82&lt;&gt;"",_xlfn.XLOOKUP(B82,TableDispatch[Uniq Id],TableDispatch[Delivery Date],"",0),"")</f>
        <v/>
      </c>
      <c r="R82" s="98" t="str">
        <f>IF(B82&lt;&gt;"",_xlfn.XLOOKUP(B82,TableDispatch[Uniq Id],TableDispatch[Our Ch No.],"",0),"")</f>
        <v/>
      </c>
      <c r="T82" s="26" t="str">
        <f>IF(B82&lt;&gt;"",_xlfn.XLOOKUP(B82,TableDispatch[Uniq Id],TableDispatch[Eway Bill Out],"",0),"")</f>
        <v/>
      </c>
    </row>
    <row r="83" spans="1:22" x14ac:dyDescent="0.25">
      <c r="A83" s="510" t="s">
        <v>885</v>
      </c>
      <c r="B83" s="4">
        <v>410701</v>
      </c>
      <c r="C83" s="4" t="s">
        <v>80</v>
      </c>
      <c r="D83" s="4">
        <v>936</v>
      </c>
      <c r="E83" s="99">
        <v>46213</v>
      </c>
      <c r="F83" s="4" t="s">
        <v>261</v>
      </c>
      <c r="G83" s="4" t="s">
        <v>840</v>
      </c>
      <c r="H83" s="4">
        <v>10</v>
      </c>
      <c r="I83" s="4" t="s">
        <v>837</v>
      </c>
      <c r="J83" s="562" t="str">
        <f>IF(B83&lt;&gt;"",_xlfn.XLOOKUP(B83,'2627PR_Loading'!$E$3:$E$501,'2627PR_Loading'!$B$3:$B$501,"",0)&amp;_xlfn.XLOOKUP(B83,'2627PR_Loading'!$K$3:$K$501,'2627PR_Loading'!$B$3:$B$501,"",0)&amp;_xlfn.XLOOKUP(B83,'2627PR_Loading'!$Q$3:$Q$501,'2627PR_Loading'!$B$3:$B$501,"",0),"")</f>
        <v>44</v>
      </c>
      <c r="K83" s="211" t="str">
        <f>IF(B83&lt;&gt;"",_xlfn.XLOOKUP(B83,'2627PR_Loading'!$E$3:$E$501,'2627PR_Loading'!$C$3:$C$501,"",0)&amp;_xlfn.XLOOKUP(B83,'2627PR_Loading'!$K$3:$K$501,'2627PR_Loading'!$C$3:$C$501,"",0)&amp;_xlfn.XLOOKUP(B83,'2627PR_Loading'!$Q$3:$Q$501,'2627PR_Loading'!$C$3:$C$501,"",0),"")</f>
        <v>11</v>
      </c>
      <c r="L83">
        <v>2060</v>
      </c>
      <c r="O83" s="4" t="s">
        <v>839</v>
      </c>
      <c r="P83" s="248" t="str">
        <f>IF(B83&lt;&gt;"",_xlfn.XLOOKUP(B83,'2627PR_Loading'!$E$3:$E$501,'2627PR_Loading'!$J$3:$J$501,"",0)&amp;_xlfn.XLOOKUP(B83,'2627PR_Loading'!$K$3:$K$501,'2627PR_Loading'!$P$3:$P$501,"",0)&amp;_xlfn.XLOOKUP(B83,'2627PR_Loading'!$Q$3:$Q$501,'2627PR_Loading'!$V$3:$V$501,"",0),"")</f>
        <v>84</v>
      </c>
      <c r="Q83" s="98">
        <f>IF(B83&lt;&gt;"",_xlfn.XLOOKUP(B83,TableDispatch[Uniq Id],TableDispatch[Delivery Date],"",0),"")</f>
        <v>46224</v>
      </c>
      <c r="R83" s="98" t="str">
        <f>IF(B83&lt;&gt;"",_xlfn.XLOOKUP(B83,TableDispatch[Uniq Id],TableDispatch[Our Ch No.],"",0),"")</f>
        <v>DC/37</v>
      </c>
      <c r="T83" s="26" t="str">
        <f>IF(B83&lt;&gt;"",_xlfn.XLOOKUP(B83,TableDispatch[Uniq Id],TableDispatch[Eway Bill Out],"",0),"")</f>
        <v>6521 4883 0335</v>
      </c>
      <c r="U83" s="260">
        <v>66</v>
      </c>
      <c r="V83" s="263">
        <f>U83*L83</f>
        <v>135960</v>
      </c>
    </row>
    <row r="84" spans="1:22" ht="15.75" x14ac:dyDescent="0.25">
      <c r="E84" s="99"/>
      <c r="J84" s="211" t="str">
        <f>IF(B84&lt;&gt;"",_xlfn.XLOOKUP(B84,'2627PR_Loading'!$E$3:$E$501,'2627PR_Loading'!$B$3:$B$501,"",0)&amp;_xlfn.XLOOKUP(B84,'2627PR_Loading'!$K$3:$K$501,'2627PR_Loading'!$B$3:$B$501,"",0)&amp;_xlfn.XLOOKUP(B84,'2627PR_Loading'!$Q$3:$Q$501,'2627PR_Loading'!$B$3:$B$501,"",0),"")</f>
        <v/>
      </c>
      <c r="K84" s="211" t="str">
        <f>IF(B84&lt;&gt;"",_xlfn.XLOOKUP(B84,'2627PR_Loading'!$E$3:$E$501,'2627PR_Loading'!$C$3:$C$501,"",0)&amp;_xlfn.XLOOKUP(B84,'2627PR_Loading'!$K$3:$K$501,'2627PR_Loading'!$C$3:$C$501,"",0)&amp;_xlfn.XLOOKUP(B84,'2627PR_Loading'!$Q$3:$Q$501,'2627PR_Loading'!$C$3:$C$501,"",0),"")</f>
        <v/>
      </c>
      <c r="L84" s="458">
        <f>SUM(L83)</f>
        <v>2060</v>
      </c>
      <c r="M84" s="348"/>
      <c r="N84" s="349">
        <v>2060</v>
      </c>
      <c r="O84" s="349"/>
      <c r="P84" s="248" t="str">
        <f>IF(B84&lt;&gt;"",_xlfn.XLOOKUP(B84,'2627PR_Loading'!$E$3:$E$501,'2627PR_Loading'!$J$3:$J$501,"",0)&amp;_xlfn.XLOOKUP(B84,'2627PR_Loading'!$K$3:$K$501,'2627PR_Loading'!$P$3:$P$501,"",0)&amp;_xlfn.XLOOKUP(B84,'2627PR_Loading'!$Q$3:$Q$501,'2627PR_Loading'!$V$3:$V$501,"",0),"")</f>
        <v/>
      </c>
      <c r="Q84" s="98" t="str">
        <f>IF(B84&lt;&gt;"",_xlfn.XLOOKUP(B84,TableDispatch[Uniq Id],TableDispatch[Delivery Date],"",0),"")</f>
        <v/>
      </c>
      <c r="R84" s="98" t="str">
        <f>IF(B84&lt;&gt;"",_xlfn.XLOOKUP(B84,TableDispatch[Uniq Id],TableDispatch[Our Ch No.],"",0),"")</f>
        <v/>
      </c>
      <c r="T84" s="26" t="str">
        <f>IF(B84&lt;&gt;"",_xlfn.XLOOKUP(B84,TableDispatch[Uniq Id],TableDispatch[Eway Bill Out],"",0),"")</f>
        <v/>
      </c>
      <c r="U84" s="260"/>
      <c r="V84" s="263"/>
    </row>
    <row r="85" spans="1:22" ht="15.75" x14ac:dyDescent="0.25">
      <c r="E85" s="99"/>
      <c r="J85" s="211" t="str">
        <f>IF(B85&lt;&gt;"",_xlfn.XLOOKUP(B85,'2627PR_Loading'!$E$3:$E$501,'2627PR_Loading'!$B$3:$B$501,"",0)&amp;_xlfn.XLOOKUP(B85,'2627PR_Loading'!$K$3:$K$501,'2627PR_Loading'!$B$3:$B$501,"",0)&amp;_xlfn.XLOOKUP(B85,'2627PR_Loading'!$Q$3:$Q$501,'2627PR_Loading'!$B$3:$B$501,"",0),"")</f>
        <v/>
      </c>
      <c r="K85" s="211" t="str">
        <f>IF(B85&lt;&gt;"",_xlfn.XLOOKUP(B85,'2627PR_Loading'!$E$3:$E$501,'2627PR_Loading'!$C$3:$C$501,"",0)&amp;_xlfn.XLOOKUP(B85,'2627PR_Loading'!$K$3:$K$501,'2627PR_Loading'!$C$3:$C$501,"",0)&amp;_xlfn.XLOOKUP(B85,'2627PR_Loading'!$Q$3:$Q$501,'2627PR_Loading'!$C$3:$C$501,"",0),"")</f>
        <v/>
      </c>
      <c r="L85" s="459"/>
      <c r="M85" s="348" t="s">
        <v>126</v>
      </c>
      <c r="N85" s="349" t="s">
        <v>485</v>
      </c>
      <c r="O85" s="349" t="s">
        <v>97</v>
      </c>
      <c r="P85" s="248" t="str">
        <f>IF(B85&lt;&gt;"",_xlfn.XLOOKUP(B85,'2627PR_Loading'!$E$3:$E$501,'2627PR_Loading'!$J$3:$J$501,"",0)&amp;_xlfn.XLOOKUP(B85,'2627PR_Loading'!$K$3:$K$501,'2627PR_Loading'!$P$3:$P$501,"",0)&amp;_xlfn.XLOOKUP(B85,'2627PR_Loading'!$Q$3:$Q$501,'2627PR_Loading'!$V$3:$V$501,"",0),"")</f>
        <v/>
      </c>
      <c r="Q85" s="98" t="str">
        <f>IF(B85&lt;&gt;"",_xlfn.XLOOKUP(B85,TableDispatch[Uniq Id],TableDispatch[Delivery Date],"",0),"")</f>
        <v/>
      </c>
      <c r="R85" s="98" t="str">
        <f>IF(B85&lt;&gt;"",_xlfn.XLOOKUP(B85,TableDispatch[Uniq Id],TableDispatch[Our Ch No.],"",0),"")</f>
        <v/>
      </c>
      <c r="T85" s="26" t="str">
        <f>IF(B85&lt;&gt;"",_xlfn.XLOOKUP(B85,TableDispatch[Uniq Id],TableDispatch[Eway Bill Out],"",0),"")</f>
        <v/>
      </c>
      <c r="U85" s="260"/>
      <c r="V85" s="263"/>
    </row>
    <row r="86" spans="1:22" x14ac:dyDescent="0.25">
      <c r="A86" s="510" t="s">
        <v>813</v>
      </c>
      <c r="B86" s="4">
        <v>410702</v>
      </c>
      <c r="C86" s="4" t="s">
        <v>80</v>
      </c>
      <c r="D86" s="4">
        <v>937</v>
      </c>
      <c r="E86" s="99">
        <v>46213</v>
      </c>
      <c r="F86" s="4" t="s">
        <v>261</v>
      </c>
      <c r="G86" s="4" t="s">
        <v>840</v>
      </c>
      <c r="H86" s="4">
        <v>10</v>
      </c>
      <c r="I86" s="4" t="s">
        <v>837</v>
      </c>
      <c r="J86" s="211" t="str">
        <f>IF(B86&lt;&gt;"",_xlfn.XLOOKUP(B86,'2627PR_Loading'!$E$3:$E$501,'2627PR_Loading'!$B$3:$B$501,"",0)&amp;_xlfn.XLOOKUP(B86,'2627PR_Loading'!$K$3:$K$501,'2627PR_Loading'!$B$3:$B$501,"",0)&amp;_xlfn.XLOOKUP(B86,'2627PR_Loading'!$Q$3:$Q$501,'2627PR_Loading'!$B$3:$B$501,"",0),"")</f>
        <v>0</v>
      </c>
      <c r="K86" s="211" t="str">
        <f>IF(B86&lt;&gt;"",_xlfn.XLOOKUP(B86,'2627PR_Loading'!$E$3:$E$501,'2627PR_Loading'!$C$3:$C$501,"",0)&amp;_xlfn.XLOOKUP(B86,'2627PR_Loading'!$K$3:$K$501,'2627PR_Loading'!$C$3:$C$501,"",0)&amp;_xlfn.XLOOKUP(B86,'2627PR_Loading'!$Q$3:$Q$501,'2627PR_Loading'!$C$3:$C$501,"",0),"")</f>
        <v>0</v>
      </c>
      <c r="L86">
        <v>2080</v>
      </c>
      <c r="O86" s="4" t="s">
        <v>838</v>
      </c>
      <c r="P86" s="248" t="str">
        <f>IF(B86&lt;&gt;"",_xlfn.XLOOKUP(B86,'2627PR_Loading'!$E$3:$E$501,'2627PR_Loading'!$J$3:$J$501,"",0)&amp;_xlfn.XLOOKUP(B86,'2627PR_Loading'!$K$3:$K$501,'2627PR_Loading'!$P$3:$P$501,"",0)&amp;_xlfn.XLOOKUP(B86,'2627PR_Loading'!$Q$3:$Q$501,'2627PR_Loading'!$V$3:$V$501,"",0),"")</f>
        <v/>
      </c>
      <c r="Q86" s="98">
        <f>IF(B86&lt;&gt;"",_xlfn.XLOOKUP(B86,TableDispatch[Uniq Id],TableDispatch[Delivery Date],"",0),"")</f>
        <v>46227</v>
      </c>
      <c r="R86" s="98">
        <f>IF(B86&lt;&gt;"",_xlfn.XLOOKUP(B86,TableDispatch[Uniq Id],TableDispatch[Our Ch No.],"",0),"")</f>
        <v>0</v>
      </c>
      <c r="T86" s="26">
        <f>IF(B86&lt;&gt;"",_xlfn.XLOOKUP(B86,TableDispatch[Uniq Id],TableDispatch[Eway Bill Out],"",0),"")</f>
        <v>0</v>
      </c>
      <c r="U86" s="260">
        <v>66</v>
      </c>
      <c r="V86" s="263">
        <f>U86*L86</f>
        <v>137280</v>
      </c>
    </row>
    <row r="87" spans="1:22" ht="15.75" x14ac:dyDescent="0.25">
      <c r="E87" s="99"/>
      <c r="J87" s="211" t="str">
        <f>IF(B87&lt;&gt;"",_xlfn.XLOOKUP(B87,'2627PR_Loading'!$E$3:$E$501,'2627PR_Loading'!$B$3:$B$501,"",0)&amp;_xlfn.XLOOKUP(B87,'2627PR_Loading'!$K$3:$K$501,'2627PR_Loading'!$B$3:$B$501,"",0)&amp;_xlfn.XLOOKUP(B87,'2627PR_Loading'!$Q$3:$Q$501,'2627PR_Loading'!$B$3:$B$501,"",0),"")</f>
        <v/>
      </c>
      <c r="K87" s="211" t="str">
        <f>IF(B87&lt;&gt;"",_xlfn.XLOOKUP(B87,'2627PR_Loading'!$E$3:$E$501,'2627PR_Loading'!$C$3:$C$501,"",0)&amp;_xlfn.XLOOKUP(B87,'2627PR_Loading'!$K$3:$K$501,'2627PR_Loading'!$C$3:$C$501,"",0)&amp;_xlfn.XLOOKUP(B87,'2627PR_Loading'!$Q$3:$Q$501,'2627PR_Loading'!$C$3:$C$501,"",0),"")</f>
        <v/>
      </c>
      <c r="L87" s="458">
        <f>SUM(L86)</f>
        <v>2080</v>
      </c>
      <c r="M87" s="348"/>
      <c r="N87" s="349">
        <v>2080</v>
      </c>
      <c r="O87" s="349"/>
      <c r="P87" s="248" t="str">
        <f>IF(B87&lt;&gt;"",_xlfn.XLOOKUP(B87,'2627PR_Loading'!$E$3:$E$501,'2627PR_Loading'!$J$3:$J$501,"",0)&amp;_xlfn.XLOOKUP(B87,'2627PR_Loading'!$K$3:$K$501,'2627PR_Loading'!$P$3:$P$501,"",0)&amp;_xlfn.XLOOKUP(B87,'2627PR_Loading'!$Q$3:$Q$501,'2627PR_Loading'!$V$3:$V$501,"",0),"")</f>
        <v/>
      </c>
      <c r="Q87" s="98" t="str">
        <f>IF(B87&lt;&gt;"",_xlfn.XLOOKUP(B87,TableDispatch[Uniq Id],TableDispatch[Delivery Date],"",0),"")</f>
        <v/>
      </c>
      <c r="R87" s="98" t="str">
        <f>IF(B87&lt;&gt;"",_xlfn.XLOOKUP(B87,TableDispatch[Uniq Id],TableDispatch[Our Ch No.],"",0),"")</f>
        <v/>
      </c>
      <c r="T87" s="26" t="str">
        <f>IF(B87&lt;&gt;"",_xlfn.XLOOKUP(B87,TableDispatch[Uniq Id],TableDispatch[Eway Bill Out],"",0),"")</f>
        <v/>
      </c>
    </row>
    <row r="88" spans="1:22" ht="15.75" x14ac:dyDescent="0.25">
      <c r="E88" s="99"/>
      <c r="J88" s="211" t="str">
        <f>IF(B88&lt;&gt;"",_xlfn.XLOOKUP(B88,'2627PR_Loading'!$E$3:$E$501,'2627PR_Loading'!$B$3:$B$501,"",0)&amp;_xlfn.XLOOKUP(B88,'2627PR_Loading'!$K$3:$K$501,'2627PR_Loading'!$B$3:$B$501,"",0)&amp;_xlfn.XLOOKUP(B88,'2627PR_Loading'!$Q$3:$Q$501,'2627PR_Loading'!$B$3:$B$501,"",0),"")</f>
        <v/>
      </c>
      <c r="K88" s="211" t="str">
        <f>IF(B88&lt;&gt;"",_xlfn.XLOOKUP(B88,'2627PR_Loading'!$E$3:$E$501,'2627PR_Loading'!$C$3:$C$501,"",0)&amp;_xlfn.XLOOKUP(B88,'2627PR_Loading'!$K$3:$K$501,'2627PR_Loading'!$C$3:$C$501,"",0)&amp;_xlfn.XLOOKUP(B88,'2627PR_Loading'!$Q$3:$Q$501,'2627PR_Loading'!$C$3:$C$501,"",0),"")</f>
        <v/>
      </c>
      <c r="L88" s="459"/>
      <c r="M88" s="348" t="s">
        <v>126</v>
      </c>
      <c r="N88" s="349" t="s">
        <v>485</v>
      </c>
      <c r="O88" s="349" t="s">
        <v>97</v>
      </c>
      <c r="P88" s="248" t="str">
        <f>IF(B88&lt;&gt;"",_xlfn.XLOOKUP(B88,'2627PR_Loading'!$E$3:$E$501,'2627PR_Loading'!$J$3:$J$501,"",0)&amp;_xlfn.XLOOKUP(B88,'2627PR_Loading'!$K$3:$K$501,'2627PR_Loading'!$P$3:$P$501,"",0)&amp;_xlfn.XLOOKUP(B88,'2627PR_Loading'!$Q$3:$Q$501,'2627PR_Loading'!$V$3:$V$501,"",0),"")</f>
        <v/>
      </c>
      <c r="Q88" s="98" t="str">
        <f>IF(B88&lt;&gt;"",_xlfn.XLOOKUP(B88,TableDispatch[Uniq Id],TableDispatch[Delivery Date],"",0),"")</f>
        <v/>
      </c>
      <c r="R88" s="98" t="str">
        <f>IF(B88&lt;&gt;"",_xlfn.XLOOKUP(B88,TableDispatch[Uniq Id],TableDispatch[Our Ch No.],"",0),"")</f>
        <v/>
      </c>
      <c r="T88" s="26" t="str">
        <f>IF(B88&lt;&gt;"",_xlfn.XLOOKUP(B88,TableDispatch[Uniq Id],TableDispatch[Eway Bill Out],"",0),"")</f>
        <v/>
      </c>
    </row>
    <row r="89" spans="1:22" x14ac:dyDescent="0.25">
      <c r="A89" s="510" t="s">
        <v>813</v>
      </c>
      <c r="B89" s="4">
        <v>400701</v>
      </c>
      <c r="C89" s="4" t="s">
        <v>74</v>
      </c>
      <c r="D89" s="4" t="s">
        <v>841</v>
      </c>
      <c r="E89" s="99">
        <v>46214</v>
      </c>
      <c r="F89" s="4" t="s">
        <v>726</v>
      </c>
      <c r="G89" s="4" t="s">
        <v>595</v>
      </c>
      <c r="H89" s="4">
        <v>20</v>
      </c>
      <c r="I89" s="4" t="s">
        <v>453</v>
      </c>
      <c r="J89" s="211" t="str">
        <f>IF(B89&lt;&gt;"",_xlfn.XLOOKUP(B89,'2627PR_Loading'!$E$3:$E$501,'2627PR_Loading'!$B$3:$B$501,"",0)&amp;_xlfn.XLOOKUP(B89,'2627PR_Loading'!$K$3:$K$501,'2627PR_Loading'!$B$3:$B$501,"",0)&amp;_xlfn.XLOOKUP(B89,'2627PR_Loading'!$Q$3:$Q$501,'2627PR_Loading'!$B$3:$B$501,"",0),"")</f>
        <v>w/p</v>
      </c>
      <c r="K89" s="211" t="str">
        <f>IF(B89&lt;&gt;"",_xlfn.XLOOKUP(B89,'2627PR_Loading'!$E$3:$E$501,'2627PR_Loading'!$C$3:$C$501,"",0)&amp;_xlfn.XLOOKUP(B89,'2627PR_Loading'!$K$3:$K$501,'2627PR_Loading'!$C$3:$C$501,"",0)&amp;_xlfn.XLOOKUP(B89,'2627PR_Loading'!$Q$3:$Q$501,'2627PR_Loading'!$C$3:$C$501,"",0),"")</f>
        <v>w/p</v>
      </c>
      <c r="L89">
        <v>2452</v>
      </c>
      <c r="O89" s="4">
        <v>4617482</v>
      </c>
      <c r="P89" s="248" t="str">
        <f>IF(B89&lt;&gt;"",_xlfn.XLOOKUP(B89,'2627PR_Loading'!$E$3:$E$501,'2627PR_Loading'!$J$3:$J$501,"",0)&amp;_xlfn.XLOOKUP(B89,'2627PR_Loading'!$K$3:$K$501,'2627PR_Loading'!$P$3:$P$501,"",0)&amp;_xlfn.XLOOKUP(B89,'2627PR_Loading'!$Q$3:$Q$501,'2627PR_Loading'!$V$3:$V$501,"",0),"")</f>
        <v/>
      </c>
      <c r="Q89" s="98">
        <f>IF(B89&lt;&gt;"",_xlfn.XLOOKUP(B89,TableDispatch[Uniq Id],TableDispatch[Delivery Date],"",0),"")</f>
        <v>46240</v>
      </c>
      <c r="R89" s="98" t="str">
        <f>IF(B89&lt;&gt;"",_xlfn.XLOOKUP(B89,TableDispatch[Uniq Id],TableDispatch[Our Ch No.],"",0),"")</f>
        <v>DC/43</v>
      </c>
      <c r="T89" s="26" t="str">
        <f>IF(B89&lt;&gt;"",_xlfn.XLOOKUP(B89,TableDispatch[Uniq Id],TableDispatch[Eway Bill Out],"",0),"")</f>
        <v>6021 5808 9245</v>
      </c>
      <c r="U89" s="260">
        <v>70</v>
      </c>
      <c r="V89" s="263">
        <f>U89*L89</f>
        <v>171640</v>
      </c>
    </row>
    <row r="90" spans="1:22" x14ac:dyDescent="0.25">
      <c r="A90" s="510" t="s">
        <v>813</v>
      </c>
      <c r="B90" s="4">
        <v>400702</v>
      </c>
      <c r="C90" s="4" t="s">
        <v>74</v>
      </c>
      <c r="D90" s="4" t="s">
        <v>841</v>
      </c>
      <c r="E90" s="99">
        <v>46214</v>
      </c>
      <c r="F90" s="4" t="s">
        <v>726</v>
      </c>
      <c r="G90" s="4" t="s">
        <v>595</v>
      </c>
      <c r="H90" s="4">
        <v>11</v>
      </c>
      <c r="I90" s="4" t="s">
        <v>453</v>
      </c>
      <c r="J90" s="211" t="str">
        <f>IF(B90&lt;&gt;"",_xlfn.XLOOKUP(B90,'2627PR_Loading'!$E$3:$E$501,'2627PR_Loading'!$B$3:$B$501,"",0)&amp;_xlfn.XLOOKUP(B90,'2627PR_Loading'!$K$3:$K$501,'2627PR_Loading'!$B$3:$B$501,"",0)&amp;_xlfn.XLOOKUP(B90,'2627PR_Loading'!$Q$3:$Q$501,'2627PR_Loading'!$B$3:$B$501,"",0),"")</f>
        <v>w/p</v>
      </c>
      <c r="K90" s="211" t="str">
        <f>IF(B90&lt;&gt;"",_xlfn.XLOOKUP(B90,'2627PR_Loading'!$E$3:$E$501,'2627PR_Loading'!$C$3:$C$501,"",0)&amp;_xlfn.XLOOKUP(B90,'2627PR_Loading'!$K$3:$K$501,'2627PR_Loading'!$C$3:$C$501,"",0)&amp;_xlfn.XLOOKUP(B90,'2627PR_Loading'!$Q$3:$Q$501,'2627PR_Loading'!$C$3:$C$501,"",0),"")</f>
        <v>w/p</v>
      </c>
      <c r="L90">
        <v>2477</v>
      </c>
      <c r="O90" s="4">
        <v>4617430</v>
      </c>
      <c r="P90" s="248" t="str">
        <f>IF(B90&lt;&gt;"",_xlfn.XLOOKUP(B90,'2627PR_Loading'!$E$3:$E$501,'2627PR_Loading'!$J$3:$J$501,"",0)&amp;_xlfn.XLOOKUP(B90,'2627PR_Loading'!$K$3:$K$501,'2627PR_Loading'!$P$3:$P$501,"",0)&amp;_xlfn.XLOOKUP(B90,'2627PR_Loading'!$Q$3:$Q$501,'2627PR_Loading'!$V$3:$V$501,"",0),"")</f>
        <v/>
      </c>
      <c r="Q90" s="98">
        <f>IF(B90&lt;&gt;"",_xlfn.XLOOKUP(B90,TableDispatch[Uniq Id],TableDispatch[Delivery Date],"",0),"")</f>
        <v>46238</v>
      </c>
      <c r="R90" s="98" t="str">
        <f>IF(B90&lt;&gt;"",_xlfn.XLOOKUP(B90,TableDispatch[Uniq Id],TableDispatch[Our Ch No.],"",0),"")</f>
        <v>DC/42</v>
      </c>
      <c r="T90" s="26" t="str">
        <f>IF(B90&lt;&gt;"",_xlfn.XLOOKUP(B90,TableDispatch[Uniq Id],TableDispatch[Eway Bill Out],"",0),"")</f>
        <v>6721 5678 0549</v>
      </c>
      <c r="U90" s="260">
        <v>70</v>
      </c>
      <c r="V90" s="263">
        <f>U90*L90</f>
        <v>173390</v>
      </c>
    </row>
    <row r="91" spans="1:22" x14ac:dyDescent="0.25">
      <c r="A91" s="510" t="s">
        <v>813</v>
      </c>
      <c r="B91" s="4" t="s">
        <v>900</v>
      </c>
      <c r="C91" s="4" t="s">
        <v>74</v>
      </c>
      <c r="D91" s="4" t="s">
        <v>841</v>
      </c>
      <c r="E91" s="99">
        <v>46214</v>
      </c>
      <c r="F91" s="4" t="s">
        <v>726</v>
      </c>
      <c r="G91" s="4" t="s">
        <v>595</v>
      </c>
      <c r="H91" s="4">
        <v>11</v>
      </c>
      <c r="I91" s="4" t="s">
        <v>453</v>
      </c>
      <c r="J91" s="211" t="str">
        <f>IF(B91&lt;&gt;"",_xlfn.XLOOKUP(B91,'2627PR_Loading'!$E$3:$E$501,'2627PR_Loading'!$B$3:$B$501,"",0)&amp;_xlfn.XLOOKUP(B91,'2627PR_Loading'!$K$3:$K$501,'2627PR_Loading'!$B$3:$B$501,"",0)&amp;_xlfn.XLOOKUP(B91,'2627PR_Loading'!$Q$3:$Q$501,'2627PR_Loading'!$B$3:$B$501,"",0),"")</f>
        <v>51</v>
      </c>
      <c r="K91" s="211" t="str">
        <f>IF(B91&lt;&gt;"",_xlfn.XLOOKUP(B91,'2627PR_Loading'!$E$3:$E$501,'2627PR_Loading'!$C$3:$C$501,"",0)&amp;_xlfn.XLOOKUP(B91,'2627PR_Loading'!$K$3:$K$501,'2627PR_Loading'!$C$3:$C$501,"",0)&amp;_xlfn.XLOOKUP(B91,'2627PR_Loading'!$Q$3:$Q$501,'2627PR_Loading'!$C$3:$C$501,"",0),"")</f>
        <v>12</v>
      </c>
      <c r="L91">
        <v>2481</v>
      </c>
      <c r="O91" s="4">
        <v>4617430</v>
      </c>
      <c r="P91" s="248" t="str">
        <f>IF(B91&lt;&gt;"",_xlfn.XLOOKUP(B91,'2627PR_Loading'!$E$3:$E$501,'2627PR_Loading'!$J$3:$J$501,"",0)&amp;_xlfn.XLOOKUP(B91,'2627PR_Loading'!$K$3:$K$501,'2627PR_Loading'!$P$3:$P$501,"",0)&amp;_xlfn.XLOOKUP(B91,'2627PR_Loading'!$Q$3:$Q$501,'2627PR_Loading'!$V$3:$V$501,"",0),"")</f>
        <v>83</v>
      </c>
      <c r="Q91" s="98">
        <f>IF(B91&lt;&gt;"",_xlfn.XLOOKUP(B91,TableDispatch[Uniq Id],TableDispatch[Delivery Date],"",0),"")</f>
        <v>46243</v>
      </c>
      <c r="R91" s="98" t="str">
        <f>IF(B91&lt;&gt;"",_xlfn.XLOOKUP(B91,TableDispatch[Uniq Id],TableDispatch[Our Ch No.],"",0),"")</f>
        <v>DC/47</v>
      </c>
      <c r="T91" s="26" t="str">
        <f>IF(B91&lt;&gt;"",_xlfn.XLOOKUP(B91,TableDispatch[Uniq Id],TableDispatch[Eway Bill Out],"",0),"")</f>
        <v>6421 6003 9847</v>
      </c>
      <c r="U91" s="260">
        <v>70</v>
      </c>
      <c r="V91" s="263">
        <f>U91*L91</f>
        <v>173670</v>
      </c>
    </row>
    <row r="92" spans="1:22" x14ac:dyDescent="0.25">
      <c r="A92" s="510" t="s">
        <v>813</v>
      </c>
      <c r="B92" s="4">
        <v>400704</v>
      </c>
      <c r="C92" s="4" t="s">
        <v>74</v>
      </c>
      <c r="D92" s="4" t="s">
        <v>841</v>
      </c>
      <c r="E92" s="99">
        <v>46214</v>
      </c>
      <c r="F92" s="4" t="s">
        <v>726</v>
      </c>
      <c r="G92" s="4" t="s">
        <v>595</v>
      </c>
      <c r="H92" s="4">
        <v>11</v>
      </c>
      <c r="I92" s="4" t="s">
        <v>453</v>
      </c>
      <c r="J92" s="211" t="str">
        <f>IF(B92&lt;&gt;"",_xlfn.XLOOKUP(B92,'2627PR_Loading'!$E$3:$E$501,'2627PR_Loading'!$B$3:$B$501,"",0)&amp;_xlfn.XLOOKUP(B92,'2627PR_Loading'!$K$3:$K$501,'2627PR_Loading'!$B$3:$B$501,"",0)&amp;_xlfn.XLOOKUP(B92,'2627PR_Loading'!$Q$3:$Q$501,'2627PR_Loading'!$B$3:$B$501,"",0),"")</f>
        <v>53</v>
      </c>
      <c r="K92" s="211" t="str">
        <f>IF(B92&lt;&gt;"",_xlfn.XLOOKUP(B92,'2627PR_Loading'!$E$3:$E$501,'2627PR_Loading'!$C$3:$C$501,"",0)&amp;_xlfn.XLOOKUP(B92,'2627PR_Loading'!$K$3:$K$501,'2627PR_Loading'!$C$3:$C$501,"",0)&amp;_xlfn.XLOOKUP(B92,'2627PR_Loading'!$Q$3:$Q$501,'2627PR_Loading'!$C$3:$C$501,"",0),"")</f>
        <v>12</v>
      </c>
      <c r="L92">
        <v>2485</v>
      </c>
      <c r="O92" s="4">
        <v>4617482</v>
      </c>
      <c r="P92" s="248" t="str">
        <f>IF(B92&lt;&gt;"",_xlfn.XLOOKUP(B92,'2627PR_Loading'!$E$3:$E$501,'2627PR_Loading'!$J$3:$J$501,"",0)&amp;_xlfn.XLOOKUP(B92,'2627PR_Loading'!$K$3:$K$501,'2627PR_Loading'!$P$3:$P$501,"",0)&amp;_xlfn.XLOOKUP(B92,'2627PR_Loading'!$Q$3:$Q$501,'2627PR_Loading'!$V$3:$V$501,"",0),"")</f>
        <v>80</v>
      </c>
      <c r="Q92" s="98">
        <f>IF(B92&lt;&gt;"",_xlfn.XLOOKUP(B92,TableDispatch[Uniq Id],TableDispatch[Delivery Date],"",0),"")</f>
        <v>46240</v>
      </c>
      <c r="R92" s="98" t="str">
        <f>IF(B92&lt;&gt;"",_xlfn.XLOOKUP(B92,TableDispatch[Uniq Id],TableDispatch[Our Ch No.],"",0),"")</f>
        <v>DC/44</v>
      </c>
      <c r="T92" s="26" t="str">
        <f>IF(B92&lt;&gt;"",_xlfn.XLOOKUP(B92,TableDispatch[Uniq Id],TableDispatch[Eway Bill Out],"",0),"")</f>
        <v>6021 5809 1985</v>
      </c>
      <c r="U92" s="260">
        <v>70</v>
      </c>
      <c r="V92" s="263">
        <f>U92*L92</f>
        <v>173950</v>
      </c>
    </row>
    <row r="93" spans="1:22" x14ac:dyDescent="0.25">
      <c r="A93" s="510" t="s">
        <v>813</v>
      </c>
      <c r="B93" s="4">
        <v>400705</v>
      </c>
      <c r="C93" s="4" t="s">
        <v>74</v>
      </c>
      <c r="D93" s="4" t="s">
        <v>841</v>
      </c>
      <c r="E93" s="99">
        <v>46214</v>
      </c>
      <c r="F93" s="4" t="s">
        <v>726</v>
      </c>
      <c r="G93" s="4" t="s">
        <v>595</v>
      </c>
      <c r="H93" s="4">
        <v>11</v>
      </c>
      <c r="I93" s="4" t="s">
        <v>453</v>
      </c>
      <c r="J93" s="211" t="str">
        <f>IF(B93&lt;&gt;"",_xlfn.XLOOKUP(B93,'2627PR_Loading'!$E$3:$E$501,'2627PR_Loading'!$B$3:$B$501,"",0)&amp;_xlfn.XLOOKUP(B93,'2627PR_Loading'!$K$3:$K$501,'2627PR_Loading'!$B$3:$B$501,"",0)&amp;_xlfn.XLOOKUP(B93,'2627PR_Loading'!$Q$3:$Q$501,'2627PR_Loading'!$B$3:$B$501,"",0),"")</f>
        <v>w/p</v>
      </c>
      <c r="K93" s="211" t="str">
        <f>IF(B93&lt;&gt;"",_xlfn.XLOOKUP(B93,'2627PR_Loading'!$E$3:$E$501,'2627PR_Loading'!$C$3:$C$501,"",0)&amp;_xlfn.XLOOKUP(B93,'2627PR_Loading'!$K$3:$K$501,'2627PR_Loading'!$C$3:$C$501,"",0)&amp;_xlfn.XLOOKUP(B93,'2627PR_Loading'!$Q$3:$Q$501,'2627PR_Loading'!$C$3:$C$501,"",0),"")</f>
        <v>w/p</v>
      </c>
      <c r="L93">
        <v>2466</v>
      </c>
      <c r="O93" s="4">
        <v>4617482</v>
      </c>
      <c r="P93" s="248" t="str">
        <f>IF(B93&lt;&gt;"",_xlfn.XLOOKUP(B93,'2627PR_Loading'!$E$3:$E$501,'2627PR_Loading'!$J$3:$J$501,"",0)&amp;_xlfn.XLOOKUP(B93,'2627PR_Loading'!$K$3:$K$501,'2627PR_Loading'!$P$3:$P$501,"",0)&amp;_xlfn.XLOOKUP(B93,'2627PR_Loading'!$Q$3:$Q$501,'2627PR_Loading'!$V$3:$V$501,"",0),"")</f>
        <v/>
      </c>
      <c r="Q93" s="98">
        <f>IF(B93&lt;&gt;"",_xlfn.XLOOKUP(B93,TableDispatch[Uniq Id],TableDispatch[Delivery Date],"",0),"")</f>
        <v>46238</v>
      </c>
      <c r="R93" s="98" t="str">
        <f>IF(B93&lt;&gt;"",_xlfn.XLOOKUP(B93,TableDispatch[Uniq Id],TableDispatch[Our Ch No.],"",0),"")</f>
        <v>DC/42</v>
      </c>
      <c r="T93" s="26" t="str">
        <f>IF(B93&lt;&gt;"",_xlfn.XLOOKUP(B93,TableDispatch[Uniq Id],TableDispatch[Eway Bill Out],"",0),"")</f>
        <v>6721 5678 0549</v>
      </c>
      <c r="U93" s="260">
        <v>70</v>
      </c>
      <c r="V93" s="263">
        <f>U93*L93</f>
        <v>172620</v>
      </c>
    </row>
    <row r="94" spans="1:22" ht="15.75" x14ac:dyDescent="0.25">
      <c r="E94" s="99"/>
      <c r="J94" s="211" t="str">
        <f>IF(B94&lt;&gt;"",_xlfn.XLOOKUP(B94,'2627PR_Loading'!$E$3:$E$501,'2627PR_Loading'!$B$3:$B$501,"",0)&amp;_xlfn.XLOOKUP(B94,'2627PR_Loading'!$K$3:$K$501,'2627PR_Loading'!$B$3:$B$501,"",0)&amp;_xlfn.XLOOKUP(B94,'2627PR_Loading'!$Q$3:$Q$501,'2627PR_Loading'!$B$3:$B$501,"",0),"")</f>
        <v/>
      </c>
      <c r="K94" s="211" t="str">
        <f>IF(B94&lt;&gt;"",_xlfn.XLOOKUP(B94,'2627PR_Loading'!$E$3:$E$501,'2627PR_Loading'!$C$3:$C$501,"",0)&amp;_xlfn.XLOOKUP(B94,'2627PR_Loading'!$K$3:$K$501,'2627PR_Loading'!$C$3:$C$501,"",0)&amp;_xlfn.XLOOKUP(B94,'2627PR_Loading'!$Q$3:$Q$501,'2627PR_Loading'!$C$3:$C$501,"",0),"")</f>
        <v/>
      </c>
      <c r="L94" s="458">
        <f>SUM(L89:L93)</f>
        <v>12361</v>
      </c>
      <c r="M94" s="348">
        <f>SUM(M89:M93)</f>
        <v>0</v>
      </c>
      <c r="N94" s="349">
        <v>12361</v>
      </c>
      <c r="O94" s="349"/>
      <c r="P94" s="248" t="str">
        <f>IF(B94&lt;&gt;"",_xlfn.XLOOKUP(B94,'2627PR_Loading'!$E$3:$E$501,'2627PR_Loading'!$J$3:$J$501,"",0)&amp;_xlfn.XLOOKUP(B94,'2627PR_Loading'!$K$3:$K$501,'2627PR_Loading'!$P$3:$P$501,"",0)&amp;_xlfn.XLOOKUP(B94,'2627PR_Loading'!$Q$3:$Q$501,'2627PR_Loading'!$V$3:$V$501,"",0),"")</f>
        <v/>
      </c>
      <c r="Q94" s="98" t="str">
        <f>IF(B94&lt;&gt;"",_xlfn.XLOOKUP(B94,TableDispatch[Uniq Id],TableDispatch[Delivery Date],"",0),"")</f>
        <v/>
      </c>
      <c r="R94" s="98" t="str">
        <f>IF(B94&lt;&gt;"",_xlfn.XLOOKUP(B94,TableDispatch[Uniq Id],TableDispatch[Our Ch No.],"",0),"")</f>
        <v/>
      </c>
      <c r="T94" s="26" t="str">
        <f>IF(B94&lt;&gt;"",_xlfn.XLOOKUP(B94,TableDispatch[Uniq Id],TableDispatch[Eway Bill Out],"",0),"")</f>
        <v/>
      </c>
    </row>
    <row r="95" spans="1:22" ht="15.75" x14ac:dyDescent="0.25">
      <c r="E95" s="99"/>
      <c r="J95" s="211" t="str">
        <f>IF(B95&lt;&gt;"",_xlfn.XLOOKUP(B95,'2627PR_Loading'!$E$3:$E$501,'2627PR_Loading'!$B$3:$B$501,"",0)&amp;_xlfn.XLOOKUP(B95,'2627PR_Loading'!$K$3:$K$501,'2627PR_Loading'!$B$3:$B$501,"",0)&amp;_xlfn.XLOOKUP(B95,'2627PR_Loading'!$Q$3:$Q$501,'2627PR_Loading'!$B$3:$B$501,"",0),"")</f>
        <v/>
      </c>
      <c r="K95" s="211" t="str">
        <f>IF(B95&lt;&gt;"",_xlfn.XLOOKUP(B95,'2627PR_Loading'!$E$3:$E$501,'2627PR_Loading'!$C$3:$C$501,"",0)&amp;_xlfn.XLOOKUP(B95,'2627PR_Loading'!$K$3:$K$501,'2627PR_Loading'!$C$3:$C$501,"",0)&amp;_xlfn.XLOOKUP(B95,'2627PR_Loading'!$Q$3:$Q$501,'2627PR_Loading'!$C$3:$C$501,"",0),"")</f>
        <v/>
      </c>
      <c r="L95" s="459"/>
      <c r="M95" s="348" t="s">
        <v>126</v>
      </c>
      <c r="N95" s="349" t="s">
        <v>485</v>
      </c>
      <c r="O95" s="349" t="s">
        <v>97</v>
      </c>
      <c r="P95" s="248" t="str">
        <f>IF(B95&lt;&gt;"",_xlfn.XLOOKUP(B95,'2627PR_Loading'!$E$3:$E$501,'2627PR_Loading'!$J$3:$J$501,"",0)&amp;_xlfn.XLOOKUP(B95,'2627PR_Loading'!$K$3:$K$501,'2627PR_Loading'!$P$3:$P$501,"",0)&amp;_xlfn.XLOOKUP(B95,'2627PR_Loading'!$Q$3:$Q$501,'2627PR_Loading'!$V$3:$V$501,"",0),"")</f>
        <v/>
      </c>
      <c r="Q95" s="98" t="str">
        <f>IF(B95&lt;&gt;"",_xlfn.XLOOKUP(B95,TableDispatch[Uniq Id],TableDispatch[Delivery Date],"",0),"")</f>
        <v/>
      </c>
      <c r="R95" s="98" t="str">
        <f>IF(B95&lt;&gt;"",_xlfn.XLOOKUP(B95,TableDispatch[Uniq Id],TableDispatch[Our Ch No.],"",0),"")</f>
        <v/>
      </c>
      <c r="T95" s="26" t="str">
        <f>IF(B95&lt;&gt;"",_xlfn.XLOOKUP(B95,TableDispatch[Uniq Id],TableDispatch[Eway Bill Out],"",0),"")</f>
        <v/>
      </c>
    </row>
    <row r="96" spans="1:22" x14ac:dyDescent="0.25">
      <c r="A96" s="510" t="s">
        <v>813</v>
      </c>
      <c r="B96" s="4">
        <v>410703</v>
      </c>
      <c r="C96" s="4" t="s">
        <v>80</v>
      </c>
      <c r="D96" s="4">
        <v>938</v>
      </c>
      <c r="E96" s="99">
        <v>46220</v>
      </c>
      <c r="F96" s="4" t="s">
        <v>475</v>
      </c>
      <c r="G96" s="4" t="s">
        <v>476</v>
      </c>
      <c r="H96" s="4">
        <v>13</v>
      </c>
      <c r="I96" s="4" t="s">
        <v>837</v>
      </c>
      <c r="J96" s="211" t="str">
        <f>IF(B96&lt;&gt;"",_xlfn.XLOOKUP(B96,'2627PR_Loading'!$E$3:$E$501,'2627PR_Loading'!$B$3:$B$501,"",0)&amp;_xlfn.XLOOKUP(B96,'2627PR_Loading'!$K$3:$K$501,'2627PR_Loading'!$B$3:$B$501,"",0)&amp;_xlfn.XLOOKUP(B96,'2627PR_Loading'!$Q$3:$Q$501,'2627PR_Loading'!$B$3:$B$501,"",0),"")</f>
        <v>0</v>
      </c>
      <c r="K96" s="211" t="str">
        <f>IF(B96&lt;&gt;"",_xlfn.XLOOKUP(B96,'2627PR_Loading'!$E$3:$E$501,'2627PR_Loading'!$C$3:$C$501,"",0)&amp;_xlfn.XLOOKUP(B96,'2627PR_Loading'!$K$3:$K$501,'2627PR_Loading'!$C$3:$C$501,"",0)&amp;_xlfn.XLOOKUP(B96,'2627PR_Loading'!$Q$3:$Q$501,'2627PR_Loading'!$C$3:$C$501,"",0),"")</f>
        <v>0</v>
      </c>
      <c r="L96">
        <v>2005</v>
      </c>
      <c r="M96">
        <v>2002</v>
      </c>
      <c r="O96" s="4" t="s">
        <v>863</v>
      </c>
      <c r="P96" s="248" t="str">
        <f>IF(B96&lt;&gt;"",_xlfn.XLOOKUP(B96,'2627PR_Loading'!$E$3:$E$501,'2627PR_Loading'!$J$3:$J$501,"",0)&amp;_xlfn.XLOOKUP(B96,'2627PR_Loading'!$K$3:$K$501,'2627PR_Loading'!$P$3:$P$501,"",0)&amp;_xlfn.XLOOKUP(B96,'2627PR_Loading'!$Q$3:$Q$501,'2627PR_Loading'!$V$3:$V$501,"",0),"")</f>
        <v/>
      </c>
      <c r="Q96" s="98">
        <f>IF(B96&lt;&gt;"",_xlfn.XLOOKUP(B96,TableDispatch[Uniq Id],TableDispatch[Delivery Date],"",0),"")</f>
        <v>46227</v>
      </c>
      <c r="R96" s="98" t="str">
        <f>IF(B96&lt;&gt;"",_xlfn.XLOOKUP(B96,TableDispatch[Uniq Id],TableDispatch[Our Ch No.],"",0),"")</f>
        <v>DC/36</v>
      </c>
      <c r="T96" s="26" t="str">
        <f>IF(B96&lt;&gt;"",_xlfn.XLOOKUP(B96,TableDispatch[Uniq Id],TableDispatch[Eway Bill Out],"",0),"")</f>
        <v>6121 5044 8182</v>
      </c>
      <c r="U96" s="260">
        <v>71.099999999999994</v>
      </c>
      <c r="V96" s="263">
        <f>U96*L96</f>
        <v>142555.5</v>
      </c>
    </row>
    <row r="97" spans="1:22" ht="15.75" x14ac:dyDescent="0.25">
      <c r="E97" s="99"/>
      <c r="J97" s="211" t="str">
        <f>IF(B97&lt;&gt;"",_xlfn.XLOOKUP(B97,'2627PR_Loading'!$E$3:$E$501,'2627PR_Loading'!$B$3:$B$501,"",0)&amp;_xlfn.XLOOKUP(B97,'2627PR_Loading'!$K$3:$K$501,'2627PR_Loading'!$B$3:$B$501,"",0)&amp;_xlfn.XLOOKUP(B97,'2627PR_Loading'!$Q$3:$Q$501,'2627PR_Loading'!$B$3:$B$501,"",0),"")</f>
        <v/>
      </c>
      <c r="K97" s="211" t="str">
        <f>IF(B97&lt;&gt;"",_xlfn.XLOOKUP(B97,'2627PR_Loading'!$E$3:$E$501,'2627PR_Loading'!$C$3:$C$501,"",0)&amp;_xlfn.XLOOKUP(B97,'2627PR_Loading'!$K$3:$K$501,'2627PR_Loading'!$C$3:$C$501,"",0)&amp;_xlfn.XLOOKUP(B97,'2627PR_Loading'!$Q$3:$Q$501,'2627PR_Loading'!$C$3:$C$501,"",0),"")</f>
        <v/>
      </c>
      <c r="L97" s="458">
        <f>SUM(L96)</f>
        <v>2005</v>
      </c>
      <c r="M97" s="348">
        <f>SUM(M96)</f>
        <v>2002</v>
      </c>
      <c r="N97" s="349"/>
      <c r="O97" s="349">
        <v>2005</v>
      </c>
      <c r="P97" s="248" t="str">
        <f>IF(B97&lt;&gt;"",_xlfn.XLOOKUP(B97,'2627PR_Loading'!$E$3:$E$501,'2627PR_Loading'!$J$3:$J$501,"",0)&amp;_xlfn.XLOOKUP(B97,'2627PR_Loading'!$K$3:$K$501,'2627PR_Loading'!$P$3:$P$501,"",0)&amp;_xlfn.XLOOKUP(B97,'2627PR_Loading'!$Q$3:$Q$501,'2627PR_Loading'!$V$3:$V$501,"",0),"")</f>
        <v/>
      </c>
      <c r="Q97" s="98" t="str">
        <f>IF(B97&lt;&gt;"",_xlfn.XLOOKUP(B97,TableDispatch[Uniq Id],TableDispatch[Delivery Date],"",0),"")</f>
        <v/>
      </c>
      <c r="R97" s="98" t="str">
        <f>IF(B97&lt;&gt;"",_xlfn.XLOOKUP(B97,TableDispatch[Uniq Id],TableDispatch[Our Ch No.],"",0),"")</f>
        <v/>
      </c>
      <c r="T97" s="26" t="str">
        <f>IF(B97&lt;&gt;"",_xlfn.XLOOKUP(B97,TableDispatch[Uniq Id],TableDispatch[Eway Bill Out],"",0),"")</f>
        <v/>
      </c>
    </row>
    <row r="98" spans="1:22" ht="15.75" x14ac:dyDescent="0.25">
      <c r="E98" s="99"/>
      <c r="J98" s="211" t="str">
        <f>IF(B98&lt;&gt;"",_xlfn.XLOOKUP(B98,'2627PR_Loading'!$E$3:$E$501,'2627PR_Loading'!$B$3:$B$501,"",0)&amp;_xlfn.XLOOKUP(B98,'2627PR_Loading'!$K$3:$K$501,'2627PR_Loading'!$B$3:$B$501,"",0)&amp;_xlfn.XLOOKUP(B98,'2627PR_Loading'!$Q$3:$Q$501,'2627PR_Loading'!$B$3:$B$501,"",0),"")</f>
        <v/>
      </c>
      <c r="K98" s="211" t="str">
        <f>IF(B98&lt;&gt;"",_xlfn.XLOOKUP(B98,'2627PR_Loading'!$E$3:$E$501,'2627PR_Loading'!$C$3:$C$501,"",0)&amp;_xlfn.XLOOKUP(B98,'2627PR_Loading'!$K$3:$K$501,'2627PR_Loading'!$C$3:$C$501,"",0)&amp;_xlfn.XLOOKUP(B98,'2627PR_Loading'!$Q$3:$Q$501,'2627PR_Loading'!$C$3:$C$501,"",0),"")</f>
        <v/>
      </c>
      <c r="L98" s="459"/>
      <c r="M98" s="348" t="s">
        <v>126</v>
      </c>
      <c r="N98" s="349" t="s">
        <v>485</v>
      </c>
      <c r="O98" s="349" t="s">
        <v>486</v>
      </c>
      <c r="P98" s="248" t="str">
        <f>IF(B98&lt;&gt;"",_xlfn.XLOOKUP(B98,'2627PR_Loading'!$E$3:$E$501,'2627PR_Loading'!$J$3:$J$501,"",0)&amp;_xlfn.XLOOKUP(B98,'2627PR_Loading'!$K$3:$K$501,'2627PR_Loading'!$P$3:$P$501,"",0)&amp;_xlfn.XLOOKUP(B98,'2627PR_Loading'!$Q$3:$Q$501,'2627PR_Loading'!$V$3:$V$501,"",0),"")</f>
        <v/>
      </c>
      <c r="Q98" s="98" t="str">
        <f>IF(B98&lt;&gt;"",_xlfn.XLOOKUP(B98,TableDispatch[Uniq Id],TableDispatch[Delivery Date],"",0),"")</f>
        <v/>
      </c>
      <c r="R98" s="98" t="str">
        <f>IF(B98&lt;&gt;"",_xlfn.XLOOKUP(B98,TableDispatch[Uniq Id],TableDispatch[Our Ch No.],"",0),"")</f>
        <v/>
      </c>
      <c r="T98" s="26" t="str">
        <f>IF(B98&lt;&gt;"",_xlfn.XLOOKUP(B98,TableDispatch[Uniq Id],TableDispatch[Eway Bill Out],"",0),"")</f>
        <v/>
      </c>
    </row>
    <row r="99" spans="1:22" x14ac:dyDescent="0.25">
      <c r="A99" s="510" t="s">
        <v>813</v>
      </c>
      <c r="B99" s="4">
        <v>650701</v>
      </c>
      <c r="C99" s="4" t="s">
        <v>57</v>
      </c>
      <c r="D99" s="4">
        <v>4</v>
      </c>
      <c r="E99" s="99">
        <v>46234</v>
      </c>
      <c r="F99" s="4" t="s">
        <v>475</v>
      </c>
      <c r="G99" s="4" t="s">
        <v>476</v>
      </c>
      <c r="H99" s="4">
        <v>17.5</v>
      </c>
      <c r="I99" s="4" t="s">
        <v>453</v>
      </c>
      <c r="J99" s="211" t="str">
        <f>IF(B99&lt;&gt;"",_xlfn.XLOOKUP(B99,'2627PR_Loading'!$E$3:$E$501,'2627PR_Loading'!$B$3:$B$501,"",0)&amp;_xlfn.XLOOKUP(B99,'2627PR_Loading'!$K$3:$K$501,'2627PR_Loading'!$B$3:$B$501,"",0)&amp;_xlfn.XLOOKUP(B99,'2627PR_Loading'!$Q$3:$Q$501,'2627PR_Loading'!$B$3:$B$501,"",0),"")</f>
        <v>56</v>
      </c>
      <c r="K99" s="211" t="str">
        <f>IF(B99&lt;&gt;"",_xlfn.XLOOKUP(B99,'2627PR_Loading'!$E$3:$E$501,'2627PR_Loading'!$C$3:$C$501,"",0)&amp;_xlfn.XLOOKUP(B99,'2627PR_Loading'!$K$3:$K$501,'2627PR_Loading'!$C$3:$C$501,"",0)&amp;_xlfn.XLOOKUP(B99,'2627PR_Loading'!$Q$3:$Q$501,'2627PR_Loading'!$C$3:$C$501,"",0),"")</f>
        <v>12</v>
      </c>
      <c r="L99">
        <v>1965</v>
      </c>
      <c r="M99">
        <v>1962</v>
      </c>
      <c r="O99" s="4" t="s">
        <v>943</v>
      </c>
      <c r="P99" s="248" t="str">
        <f>IF(B99&lt;&gt;"",_xlfn.XLOOKUP(B99,'2627PR_Loading'!$E$3:$E$501,'2627PR_Loading'!$J$3:$J$501,"",0)&amp;_xlfn.XLOOKUP(B99,'2627PR_Loading'!$K$3:$K$501,'2627PR_Loading'!$P$3:$P$501,"",0)&amp;_xlfn.XLOOKUP(B99,'2627PR_Loading'!$Q$3:$Q$501,'2627PR_Loading'!$V$3:$V$501,"",0),"")</f>
        <v>81</v>
      </c>
      <c r="Q99" s="98">
        <f>IF(B99&lt;&gt;"",_xlfn.XLOOKUP(B99,TableDispatch[Uniq Id],TableDispatch[Delivery Date],"",0),"")</f>
        <v>46242</v>
      </c>
      <c r="R99" s="98" t="str">
        <f>IF(B99&lt;&gt;"",_xlfn.XLOOKUP(B99,TableDispatch[Uniq Id],TableDispatch[Our Ch No.],"",0),"")</f>
        <v>DC/45</v>
      </c>
      <c r="T99" s="26" t="str">
        <f>IF(B99&lt;&gt;"",_xlfn.XLOOKUP(B99,TableDispatch[Uniq Id],TableDispatch[Eway Bill Out],"",0),"")</f>
        <v>6921 5942 5263</v>
      </c>
      <c r="U99" s="150">
        <v>71.099999999999994</v>
      </c>
      <c r="V99" s="263">
        <f>U99*L99</f>
        <v>139711.5</v>
      </c>
    </row>
    <row r="100" spans="1:22" x14ac:dyDescent="0.25">
      <c r="A100" s="510" t="s">
        <v>813</v>
      </c>
      <c r="B100" s="4">
        <v>650702</v>
      </c>
      <c r="C100" s="4" t="s">
        <v>57</v>
      </c>
      <c r="D100" s="4">
        <v>4</v>
      </c>
      <c r="E100" s="99">
        <v>46234</v>
      </c>
      <c r="F100" s="4" t="s">
        <v>475</v>
      </c>
      <c r="G100" s="4" t="s">
        <v>476</v>
      </c>
      <c r="H100" s="4">
        <v>17.5</v>
      </c>
      <c r="I100" s="4" t="s">
        <v>453</v>
      </c>
      <c r="J100" s="211" t="str">
        <f>IF(B100&lt;&gt;"",_xlfn.XLOOKUP(B100,'2627PR_Loading'!$E$3:$E$501,'2627PR_Loading'!$B$3:$B$501,"",0)&amp;_xlfn.XLOOKUP(B100,'2627PR_Loading'!$K$3:$K$501,'2627PR_Loading'!$B$3:$B$501,"",0)&amp;_xlfn.XLOOKUP(B100,'2627PR_Loading'!$Q$3:$Q$501,'2627PR_Loading'!$B$3:$B$501,"",0),"")</f>
        <v>55</v>
      </c>
      <c r="K100" s="211" t="str">
        <f>IF(B100&lt;&gt;"",_xlfn.XLOOKUP(B100,'2627PR_Loading'!$E$3:$E$501,'2627PR_Loading'!$C$3:$C$501,"",0)&amp;_xlfn.XLOOKUP(B100,'2627PR_Loading'!$K$3:$K$501,'2627PR_Loading'!$C$3:$C$501,"",0)&amp;_xlfn.XLOOKUP(B100,'2627PR_Loading'!$Q$3:$Q$501,'2627PR_Loading'!$C$3:$C$501,"",0),"")</f>
        <v>12</v>
      </c>
      <c r="L100">
        <v>1950</v>
      </c>
      <c r="M100">
        <v>1942</v>
      </c>
      <c r="O100" s="4" t="s">
        <v>943</v>
      </c>
      <c r="P100" s="248" t="str">
        <f>IF(B100&lt;&gt;"",_xlfn.XLOOKUP(B100,'2627PR_Loading'!$E$3:$E$501,'2627PR_Loading'!$J$3:$J$501,"",0)&amp;_xlfn.XLOOKUP(B100,'2627PR_Loading'!$K$3:$K$501,'2627PR_Loading'!$P$3:$P$501,"",0)&amp;_xlfn.XLOOKUP(B100,'2627PR_Loading'!$Q$3:$Q$501,'2627PR_Loading'!$V$3:$V$501,"",0),"")</f>
        <v>81</v>
      </c>
      <c r="Q100" s="98">
        <f>IF(B100&lt;&gt;"",_xlfn.XLOOKUP(B100,TableDispatch[Uniq Id],TableDispatch[Delivery Date],"",0),"")</f>
        <v>46242</v>
      </c>
      <c r="R100" s="98" t="str">
        <f>IF(B100&lt;&gt;"",_xlfn.XLOOKUP(B100,TableDispatch[Uniq Id],TableDispatch[Our Ch No.],"",0),"")</f>
        <v>DC/45</v>
      </c>
      <c r="T100" s="26" t="str">
        <f>IF(B100&lt;&gt;"",_xlfn.XLOOKUP(B100,TableDispatch[Uniq Id],TableDispatch[Eway Bill Out],"",0),"")</f>
        <v>6921 5942 5263</v>
      </c>
      <c r="U100" s="150">
        <v>71.099999999999994</v>
      </c>
      <c r="V100" s="263">
        <f>U100*L100</f>
        <v>138645</v>
      </c>
    </row>
    <row r="101" spans="1:22" ht="15.75" x14ac:dyDescent="0.25">
      <c r="E101" s="99"/>
      <c r="J101" s="211" t="str">
        <f>IF(B101&lt;&gt;"",_xlfn.XLOOKUP(B101,'2627PR_Loading'!$E$3:$E$501,'2627PR_Loading'!$B$3:$B$501,"",0)&amp;_xlfn.XLOOKUP(B101,'2627PR_Loading'!$K$3:$K$501,'2627PR_Loading'!$B$3:$B$501,"",0)&amp;_xlfn.XLOOKUP(B101,'2627PR_Loading'!$Q$3:$Q$501,'2627PR_Loading'!$B$3:$B$501,"",0),"")</f>
        <v/>
      </c>
      <c r="K101" s="211" t="str">
        <f>IF(B101&lt;&gt;"",_xlfn.XLOOKUP(B101,'2627PR_Loading'!$E$3:$E$501,'2627PR_Loading'!$C$3:$C$501,"",0)&amp;_xlfn.XLOOKUP(B101,'2627PR_Loading'!$K$3:$K$501,'2627PR_Loading'!$C$3:$C$501,"",0)&amp;_xlfn.XLOOKUP(B101,'2627PR_Loading'!$Q$3:$Q$501,'2627PR_Loading'!$C$3:$C$501,"",0),"")</f>
        <v/>
      </c>
      <c r="L101" s="458">
        <f>SUM(L99:L100)</f>
        <v>3915</v>
      </c>
      <c r="M101" s="348">
        <f>SUM(M99:M100)</f>
        <v>3904</v>
      </c>
      <c r="N101" s="349">
        <v>3915</v>
      </c>
      <c r="O101" s="349">
        <v>3915</v>
      </c>
      <c r="P101" s="248" t="str">
        <f>IF(B101&lt;&gt;"",_xlfn.XLOOKUP(B101,'2627PR_Loading'!$E$3:$E$501,'2627PR_Loading'!$J$3:$J$501,"",0)&amp;_xlfn.XLOOKUP(B101,'2627PR_Loading'!$K$3:$K$501,'2627PR_Loading'!$P$3:$P$501,"",0)&amp;_xlfn.XLOOKUP(B101,'2627PR_Loading'!$Q$3:$Q$501,'2627PR_Loading'!$V$3:$V$501,"",0),"")</f>
        <v/>
      </c>
      <c r="Q101" s="98" t="str">
        <f>IF(B101&lt;&gt;"",_xlfn.XLOOKUP(B101,TableDispatch[Uniq Id],TableDispatch[Delivery Date],"",0),"")</f>
        <v/>
      </c>
      <c r="R101" s="98" t="str">
        <f>IF(B101&lt;&gt;"",_xlfn.XLOOKUP(B101,TableDispatch[Uniq Id],TableDispatch[Our Ch No.],"",0),"")</f>
        <v/>
      </c>
      <c r="T101" s="26" t="str">
        <f>IF(B101&lt;&gt;"",_xlfn.XLOOKUP(B101,TableDispatch[Uniq Id],TableDispatch[Eway Bill Out],"",0),"")</f>
        <v/>
      </c>
    </row>
    <row r="102" spans="1:22" ht="15.75" x14ac:dyDescent="0.25">
      <c r="E102" s="99"/>
      <c r="J102" s="211" t="str">
        <f>IF(B102&lt;&gt;"",_xlfn.XLOOKUP(B102,'2627PR_Loading'!$E$3:$E$501,'2627PR_Loading'!$B$3:$B$501,"",0)&amp;_xlfn.XLOOKUP(B102,'2627PR_Loading'!$K$3:$K$501,'2627PR_Loading'!$B$3:$B$501,"",0)&amp;_xlfn.XLOOKUP(B102,'2627PR_Loading'!$Q$3:$Q$501,'2627PR_Loading'!$B$3:$B$501,"",0),"")</f>
        <v/>
      </c>
      <c r="K102" s="211" t="str">
        <f>IF(B102&lt;&gt;"",_xlfn.XLOOKUP(B102,'2627PR_Loading'!$E$3:$E$501,'2627PR_Loading'!$C$3:$C$501,"",0)&amp;_xlfn.XLOOKUP(B102,'2627PR_Loading'!$K$3:$K$501,'2627PR_Loading'!$C$3:$C$501,"",0)&amp;_xlfn.XLOOKUP(B102,'2627PR_Loading'!$Q$3:$Q$501,'2627PR_Loading'!$C$3:$C$501,"",0),"")</f>
        <v/>
      </c>
      <c r="L102" s="459"/>
      <c r="M102" s="348" t="s">
        <v>126</v>
      </c>
      <c r="N102" s="349" t="s">
        <v>485</v>
      </c>
      <c r="O102" s="349" t="s">
        <v>486</v>
      </c>
      <c r="P102" s="248" t="str">
        <f>IF(B102&lt;&gt;"",_xlfn.XLOOKUP(B102,'2627PR_Loading'!$E$3:$E$501,'2627PR_Loading'!$J$3:$J$501,"",0)&amp;_xlfn.XLOOKUP(B102,'2627PR_Loading'!$K$3:$K$501,'2627PR_Loading'!$P$3:$P$501,"",0)&amp;_xlfn.XLOOKUP(B102,'2627PR_Loading'!$Q$3:$Q$501,'2627PR_Loading'!$V$3:$V$501,"",0),"")</f>
        <v/>
      </c>
      <c r="Q102" s="98" t="str">
        <f>IF(B102&lt;&gt;"",_xlfn.XLOOKUP(B102,TableDispatch[Uniq Id],TableDispatch[Delivery Date],"",0),"")</f>
        <v/>
      </c>
      <c r="R102" s="98" t="str">
        <f>IF(B102&lt;&gt;"",_xlfn.XLOOKUP(B102,TableDispatch[Uniq Id],TableDispatch[Our Ch No.],"",0),"")</f>
        <v/>
      </c>
      <c r="T102" s="26" t="str">
        <f>IF(B102&lt;&gt;"",_xlfn.XLOOKUP(B102,TableDispatch[Uniq Id],TableDispatch[Eway Bill Out],"",0),"")</f>
        <v/>
      </c>
    </row>
    <row r="103" spans="1:22" s="11" customFormat="1" x14ac:dyDescent="0.25">
      <c r="A103" s="10"/>
      <c r="B103" s="10"/>
      <c r="C103" s="10"/>
      <c r="D103" s="10"/>
      <c r="E103" s="460"/>
      <c r="F103" s="10"/>
      <c r="G103" s="10"/>
      <c r="H103" s="10"/>
      <c r="I103" s="10"/>
      <c r="J103" s="10" t="str">
        <f>IF(B103&lt;&gt;"",_xlfn.XLOOKUP(B103,'2627PR_Loading'!$E$3:$E$501,'2627PR_Loading'!$B$3:$B$501,"",0)&amp;_xlfn.XLOOKUP(B103,'2627PR_Loading'!$K$3:$K$501,'2627PR_Loading'!$B$3:$B$501,"",0)&amp;_xlfn.XLOOKUP(B103,'2627PR_Loading'!$Q$3:$Q$501,'2627PR_Loading'!$B$3:$B$501,"",0),"")</f>
        <v/>
      </c>
      <c r="K103" s="10" t="str">
        <f>IF(B103&lt;&gt;"",_xlfn.XLOOKUP(B103,'2627PR_Loading'!$E$3:$E$501,'2627PR_Loading'!$C$3:$C$501,"",0)&amp;_xlfn.XLOOKUP(B103,'2627PR_Loading'!$K$3:$K$501,'2627PR_Loading'!$C$3:$C$501,"",0)&amp;_xlfn.XLOOKUP(B103,'2627PR_Loading'!$Q$3:$Q$501,'2627PR_Loading'!$C$3:$C$501,"",0),"")</f>
        <v/>
      </c>
      <c r="L103" s="10"/>
      <c r="M103" s="10"/>
      <c r="P103" s="11" t="str">
        <f>IF(B103&lt;&gt;"",_xlfn.XLOOKUP(B103,'2627PR_Loading'!$E$3:$E$501,'2627PR_Loading'!$J$3:$J$501,"",0)&amp;_xlfn.XLOOKUP(B103,'2627PR_Loading'!$K$3:$K$501,'2627PR_Loading'!$P$3:$P$501,"",0)&amp;_xlfn.XLOOKUP(B103,'2627PR_Loading'!$Q$3:$Q$501,'2627PR_Loading'!$V$3:$V$501,"",0),"")</f>
        <v/>
      </c>
      <c r="Q103" s="11" t="str">
        <f>IF(B103&lt;&gt;"",_xlfn.XLOOKUP(B103,TableDispatch[Uniq Id],TableDispatch[Delivery Date],"",0),"")</f>
        <v/>
      </c>
      <c r="R103" s="11" t="str">
        <f>IF(B103&lt;&gt;"",_xlfn.XLOOKUP(B103,TableDispatch[Uniq Id],TableDispatch[Our Ch No.],"",0),"")</f>
        <v/>
      </c>
      <c r="T103" s="11" t="str">
        <f>IF(B103&lt;&gt;"",_xlfn.XLOOKUP(B103,TableDispatch[Uniq Id],TableDispatch[Eway Bill Out],"",0),"")</f>
        <v/>
      </c>
    </row>
    <row r="104" spans="1:22" x14ac:dyDescent="0.25">
      <c r="A104" s="13" t="s">
        <v>980</v>
      </c>
      <c r="B104" s="4">
        <v>410901</v>
      </c>
      <c r="C104" s="4" t="s">
        <v>80</v>
      </c>
      <c r="D104" s="4">
        <v>942</v>
      </c>
      <c r="E104" s="99">
        <v>46276</v>
      </c>
      <c r="F104" s="4" t="s">
        <v>475</v>
      </c>
      <c r="G104" s="4" t="s">
        <v>476</v>
      </c>
      <c r="H104" s="4">
        <v>14</v>
      </c>
      <c r="I104" s="4" t="s">
        <v>837</v>
      </c>
      <c r="J104" s="211" t="str">
        <f>IF(B104&lt;&gt;"",_xlfn.XLOOKUP(B104,'2627PR_Loading'!$E$3:$E$501,'2627PR_Loading'!$B$3:$B$501,"",0)&amp;_xlfn.XLOOKUP(B104,'2627PR_Loading'!$K$3:$K$501,'2627PR_Loading'!$B$3:$B$501,"",0)&amp;_xlfn.XLOOKUP(B104,'2627PR_Loading'!$Q$3:$Q$501,'2627PR_Loading'!$B$3:$B$501,"",0),"")</f>
        <v>57</v>
      </c>
      <c r="K104" s="211" t="str">
        <f>IF(B104&lt;&gt;"",_xlfn.XLOOKUP(B104,'2627PR_Loading'!$E$3:$E$501,'2627PR_Loading'!$C$3:$C$501,"",0)&amp;_xlfn.XLOOKUP(B104,'2627PR_Loading'!$K$3:$K$501,'2627PR_Loading'!$C$3:$C$501,"",0)&amp;_xlfn.XLOOKUP(B104,'2627PR_Loading'!$Q$3:$Q$501,'2627PR_Loading'!$C$3:$C$501,"",0),"")</f>
        <v>12</v>
      </c>
      <c r="L104">
        <v>1970</v>
      </c>
      <c r="M104">
        <v>1959</v>
      </c>
      <c r="O104" s="4" t="s">
        <v>981</v>
      </c>
      <c r="P104" s="248" t="str">
        <f>IF(B104&lt;&gt;"",_xlfn.XLOOKUP(B104,'2627PR_Loading'!$E$3:$E$501,'2627PR_Loading'!$J$3:$J$501,"",0)&amp;_xlfn.XLOOKUP(B104,'2627PR_Loading'!$K$3:$K$501,'2627PR_Loading'!$P$3:$P$501,"",0)&amp;_xlfn.XLOOKUP(B104,'2627PR_Loading'!$Q$3:$Q$501,'2627PR_Loading'!$V$3:$V$501,"",0),"")</f>
        <v>65</v>
      </c>
      <c r="Q104" s="98">
        <f>IF(B104&lt;&gt;"",_xlfn.XLOOKUP(B104,TableDispatch[Uniq Id],TableDispatch[Delivery Date],"",0),"")</f>
        <v>46284</v>
      </c>
      <c r="R104" s="98" t="str">
        <f>IF(B104&lt;&gt;"",_xlfn.XLOOKUP(B104,TableDispatch[Uniq Id],TableDispatch[Our Ch No.],"",0),"")</f>
        <v>DC/50</v>
      </c>
      <c r="T104" s="26" t="str">
        <f>IF(B104&lt;&gt;"",_xlfn.XLOOKUP(B104,TableDispatch[Uniq Id],TableDispatch[Eway Bill Out],"",0),"")</f>
        <v>6321 8461 9466</v>
      </c>
      <c r="U104" s="150">
        <v>75.599999999999994</v>
      </c>
      <c r="V104" s="263">
        <f>U104*L104</f>
        <v>148932</v>
      </c>
    </row>
    <row r="105" spans="1:22" ht="15.75" x14ac:dyDescent="0.25">
      <c r="E105" s="99"/>
      <c r="J105" s="211" t="str">
        <f>IF(B105&lt;&gt;"",_xlfn.XLOOKUP(B105,'2627PR_Loading'!$E$3:$E$501,'2627PR_Loading'!$B$3:$B$501,"",0)&amp;_xlfn.XLOOKUP(B105,'2627PR_Loading'!$K$3:$K$501,'2627PR_Loading'!$B$3:$B$501,"",0)&amp;_xlfn.XLOOKUP(B105,'2627PR_Loading'!$Q$3:$Q$501,'2627PR_Loading'!$B$3:$B$501,"",0),"")</f>
        <v/>
      </c>
      <c r="K105" s="211" t="str">
        <f>IF(B105&lt;&gt;"",_xlfn.XLOOKUP(B105,'2627PR_Loading'!$E$3:$E$501,'2627PR_Loading'!$C$3:$C$501,"",0)&amp;_xlfn.XLOOKUP(B105,'2627PR_Loading'!$K$3:$K$501,'2627PR_Loading'!$C$3:$C$501,"",0)&amp;_xlfn.XLOOKUP(B105,'2627PR_Loading'!$Q$3:$Q$501,'2627PR_Loading'!$C$3:$C$501,"",0),"")</f>
        <v/>
      </c>
      <c r="L105" s="458">
        <f>SUM(L104)</f>
        <v>1970</v>
      </c>
      <c r="M105" s="348">
        <f>SUM(M104)</f>
        <v>1959</v>
      </c>
      <c r="N105" s="349">
        <v>1970</v>
      </c>
      <c r="O105" s="349">
        <v>1970</v>
      </c>
      <c r="P105" s="248" t="str">
        <f>IF(B105&lt;&gt;"",_xlfn.XLOOKUP(B105,'2627PR_Loading'!$E$3:$E$501,'2627PR_Loading'!$J$3:$J$501,"",0)&amp;_xlfn.XLOOKUP(B105,'2627PR_Loading'!$K$3:$K$501,'2627PR_Loading'!$P$3:$P$501,"",0)&amp;_xlfn.XLOOKUP(B105,'2627PR_Loading'!$Q$3:$Q$501,'2627PR_Loading'!$V$3:$V$501,"",0),"")</f>
        <v/>
      </c>
      <c r="Q105" s="98" t="str">
        <f>IF(B105&lt;&gt;"",_xlfn.XLOOKUP(B105,TableDispatch[Uniq Id],TableDispatch[Delivery Date],"",0),"")</f>
        <v/>
      </c>
      <c r="R105" s="98" t="str">
        <f>IF(B105&lt;&gt;"",_xlfn.XLOOKUP(B105,TableDispatch[Uniq Id],TableDispatch[Our Ch No.],"",0),"")</f>
        <v/>
      </c>
      <c r="T105" s="26" t="str">
        <f>IF(B105&lt;&gt;"",_xlfn.XLOOKUP(B105,TableDispatch[Uniq Id],TableDispatch[Eway Bill Out],"",0),"")</f>
        <v/>
      </c>
    </row>
    <row r="106" spans="1:22" ht="15.75" x14ac:dyDescent="0.25">
      <c r="E106" s="99"/>
      <c r="J106" s="211" t="str">
        <f>IF(B106&lt;&gt;"",_xlfn.XLOOKUP(B106,'2627PR_Loading'!$E$3:$E$501,'2627PR_Loading'!$B$3:$B$501,"",0)&amp;_xlfn.XLOOKUP(B106,'2627PR_Loading'!$K$3:$K$501,'2627PR_Loading'!$B$3:$B$501,"",0)&amp;_xlfn.XLOOKUP(B106,'2627PR_Loading'!$Q$3:$Q$501,'2627PR_Loading'!$B$3:$B$501,"",0),"")</f>
        <v/>
      </c>
      <c r="K106" s="211" t="str">
        <f>IF(B106&lt;&gt;"",_xlfn.XLOOKUP(B106,'2627PR_Loading'!$E$3:$E$501,'2627PR_Loading'!$C$3:$C$501,"",0)&amp;_xlfn.XLOOKUP(B106,'2627PR_Loading'!$K$3:$K$501,'2627PR_Loading'!$C$3:$C$501,"",0)&amp;_xlfn.XLOOKUP(B106,'2627PR_Loading'!$Q$3:$Q$501,'2627PR_Loading'!$C$3:$C$501,"",0),"")</f>
        <v/>
      </c>
      <c r="L106" s="459"/>
      <c r="M106" s="348" t="s">
        <v>126</v>
      </c>
      <c r="N106" s="349" t="s">
        <v>485</v>
      </c>
      <c r="O106" s="349" t="s">
        <v>486</v>
      </c>
      <c r="P106" s="248" t="str">
        <f>IF(B106&lt;&gt;"",_xlfn.XLOOKUP(B106,'2627PR_Loading'!$E$3:$E$501,'2627PR_Loading'!$J$3:$J$501,"",0)&amp;_xlfn.XLOOKUP(B106,'2627PR_Loading'!$K$3:$K$501,'2627PR_Loading'!$P$3:$P$501,"",0)&amp;_xlfn.XLOOKUP(B106,'2627PR_Loading'!$Q$3:$Q$501,'2627PR_Loading'!$V$3:$V$501,"",0),"")</f>
        <v/>
      </c>
      <c r="Q106" s="98" t="str">
        <f>IF(B106&lt;&gt;"",_xlfn.XLOOKUP(B106,TableDispatch[Uniq Id],TableDispatch[Delivery Date],"",0),"")</f>
        <v/>
      </c>
      <c r="R106" s="98" t="str">
        <f>IF(B106&lt;&gt;"",_xlfn.XLOOKUP(B106,TableDispatch[Uniq Id],TableDispatch[Our Ch No.],"",0),"")</f>
        <v/>
      </c>
      <c r="T106" s="26" t="str">
        <f>IF(B106&lt;&gt;"",_xlfn.XLOOKUP(B106,TableDispatch[Uniq Id],TableDispatch[Eway Bill Out],"",0),"")</f>
        <v/>
      </c>
    </row>
    <row r="107" spans="1:22" x14ac:dyDescent="0.25">
      <c r="A107" s="13" t="s">
        <v>980</v>
      </c>
      <c r="B107" s="4">
        <v>410902</v>
      </c>
      <c r="C107" s="4" t="s">
        <v>80</v>
      </c>
      <c r="D107" s="4">
        <v>944</v>
      </c>
      <c r="E107" s="99">
        <v>46276</v>
      </c>
      <c r="F107" s="4" t="s">
        <v>156</v>
      </c>
      <c r="G107" s="4" t="s">
        <v>157</v>
      </c>
      <c r="H107" s="4">
        <v>10</v>
      </c>
      <c r="I107" s="4" t="s">
        <v>837</v>
      </c>
      <c r="J107" s="211" t="str">
        <f>IF(B107&lt;&gt;"",_xlfn.XLOOKUP(B107,'2627PR_Loading'!$E$3:$E$501,'2627PR_Loading'!$B$3:$B$501,"",0)&amp;_xlfn.XLOOKUP(B107,'2627PR_Loading'!$K$3:$K$501,'2627PR_Loading'!$B$3:$B$501,"",0)&amp;_xlfn.XLOOKUP(B107,'2627PR_Loading'!$Q$3:$Q$501,'2627PR_Loading'!$B$3:$B$501,"",0),"")</f>
        <v>61</v>
      </c>
      <c r="K107" s="211" t="str">
        <f>IF(B107&lt;&gt;"",_xlfn.XLOOKUP(B107,'2627PR_Loading'!$E$3:$E$501,'2627PR_Loading'!$C$3:$C$501,"",0)&amp;_xlfn.XLOOKUP(B107,'2627PR_Loading'!$K$3:$K$501,'2627PR_Loading'!$C$3:$C$501,"",0)&amp;_xlfn.XLOOKUP(B107,'2627PR_Loading'!$Q$3:$Q$501,'2627PR_Loading'!$C$3:$C$501,"",0),"")</f>
        <v>11</v>
      </c>
      <c r="L107">
        <v>1970</v>
      </c>
      <c r="O107" s="4" t="s">
        <v>984</v>
      </c>
      <c r="P107" s="248" t="str">
        <f>IF(B107&lt;&gt;"",_xlfn.XLOOKUP(B107,'2627PR_Loading'!$E$3:$E$501,'2627PR_Loading'!$J$3:$J$501,"",0)&amp;_xlfn.XLOOKUP(B107,'2627PR_Loading'!$K$3:$K$501,'2627PR_Loading'!$P$3:$P$501,"",0)&amp;_xlfn.XLOOKUP(B107,'2627PR_Loading'!$Q$3:$Q$501,'2627PR_Loading'!$V$3:$V$501,"",0),"")</f>
        <v>65</v>
      </c>
      <c r="Q107" s="98">
        <f>IF(B107&lt;&gt;"",_xlfn.XLOOKUP(B107,TableDispatch[Uniq Id],TableDispatch[Delivery Date],"",0),"")</f>
        <v>46294</v>
      </c>
      <c r="R107" s="98" t="str">
        <f>IF(B107&lt;&gt;"",_xlfn.XLOOKUP(B107,TableDispatch[Uniq Id],TableDispatch[Our Ch No.],"",0),"")</f>
        <v>DC/54</v>
      </c>
      <c r="T107" s="26" t="str">
        <f>IF(B107&lt;&gt;"",_xlfn.XLOOKUP(B107,TableDispatch[Uniq Id],TableDispatch[Eway Bill Out],"",0),"")</f>
        <v>6221 9097 9687</v>
      </c>
      <c r="U107" s="150">
        <v>75.5</v>
      </c>
      <c r="V107" s="263">
        <f>U107*L107</f>
        <v>148735</v>
      </c>
    </row>
    <row r="108" spans="1:22" ht="15.75" x14ac:dyDescent="0.25">
      <c r="E108" s="99"/>
      <c r="J108" s="211" t="str">
        <f>IF(B108&lt;&gt;"",_xlfn.XLOOKUP(B108,'2627PR_Loading'!$E$3:$E$501,'2627PR_Loading'!$B$3:$B$501,"",0)&amp;_xlfn.XLOOKUP(B108,'2627PR_Loading'!$K$3:$K$501,'2627PR_Loading'!$B$3:$B$501,"",0)&amp;_xlfn.XLOOKUP(B108,'2627PR_Loading'!$Q$3:$Q$501,'2627PR_Loading'!$B$3:$B$501,"",0),"")</f>
        <v/>
      </c>
      <c r="K108" s="211" t="str">
        <f>IF(B108&lt;&gt;"",_xlfn.XLOOKUP(B108,'2627PR_Loading'!$E$3:$E$501,'2627PR_Loading'!$C$3:$C$501,"",0)&amp;_xlfn.XLOOKUP(B108,'2627PR_Loading'!$K$3:$K$501,'2627PR_Loading'!$C$3:$C$501,"",0)&amp;_xlfn.XLOOKUP(B108,'2627PR_Loading'!$Q$3:$Q$501,'2627PR_Loading'!$C$3:$C$501,"",0),"")</f>
        <v/>
      </c>
      <c r="L108" s="458">
        <f>SUM(L107)</f>
        <v>1970</v>
      </c>
      <c r="M108" s="348"/>
      <c r="N108" s="349">
        <v>1970</v>
      </c>
      <c r="O108" s="349">
        <v>1970</v>
      </c>
      <c r="P108" s="248" t="str">
        <f>IF(B108&lt;&gt;"",_xlfn.XLOOKUP(B108,'2627PR_Loading'!$E$3:$E$501,'2627PR_Loading'!$J$3:$J$501,"",0)&amp;_xlfn.XLOOKUP(B108,'2627PR_Loading'!$K$3:$K$501,'2627PR_Loading'!$P$3:$P$501,"",0)&amp;_xlfn.XLOOKUP(B108,'2627PR_Loading'!$Q$3:$Q$501,'2627PR_Loading'!$V$3:$V$501,"",0),"")</f>
        <v/>
      </c>
      <c r="Q108" s="98" t="str">
        <f>IF(B108&lt;&gt;"",_xlfn.XLOOKUP(B108,TableDispatch[Uniq Id],TableDispatch[Delivery Date],"",0),"")</f>
        <v/>
      </c>
      <c r="R108" s="98" t="str">
        <f>IF(B108&lt;&gt;"",_xlfn.XLOOKUP(B108,TableDispatch[Uniq Id],TableDispatch[Our Ch No.],"",0),"")</f>
        <v/>
      </c>
      <c r="T108" s="26" t="str">
        <f>IF(B108&lt;&gt;"",_xlfn.XLOOKUP(B108,TableDispatch[Uniq Id],TableDispatch[Eway Bill Out],"",0),"")</f>
        <v/>
      </c>
      <c r="V108" s="263"/>
    </row>
    <row r="109" spans="1:22" ht="15.75" x14ac:dyDescent="0.25">
      <c r="E109" s="99"/>
      <c r="J109" s="211" t="str">
        <f>IF(B109&lt;&gt;"",_xlfn.XLOOKUP(B109,'2627PR_Loading'!$E$3:$E$501,'2627PR_Loading'!$B$3:$B$501,"",0)&amp;_xlfn.XLOOKUP(B109,'2627PR_Loading'!$K$3:$K$501,'2627PR_Loading'!$B$3:$B$501,"",0)&amp;_xlfn.XLOOKUP(B109,'2627PR_Loading'!$Q$3:$Q$501,'2627PR_Loading'!$B$3:$B$501,"",0),"")</f>
        <v/>
      </c>
      <c r="K109" s="211" t="str">
        <f>IF(B109&lt;&gt;"",_xlfn.XLOOKUP(B109,'2627PR_Loading'!$E$3:$E$501,'2627PR_Loading'!$C$3:$C$501,"",0)&amp;_xlfn.XLOOKUP(B109,'2627PR_Loading'!$K$3:$K$501,'2627PR_Loading'!$C$3:$C$501,"",0)&amp;_xlfn.XLOOKUP(B109,'2627PR_Loading'!$Q$3:$Q$501,'2627PR_Loading'!$C$3:$C$501,"",0),"")</f>
        <v/>
      </c>
      <c r="L109" s="459"/>
      <c r="M109" s="348" t="s">
        <v>126</v>
      </c>
      <c r="N109" s="349" t="s">
        <v>485</v>
      </c>
      <c r="O109" s="349" t="s">
        <v>983</v>
      </c>
      <c r="P109" s="248" t="str">
        <f>IF(B109&lt;&gt;"",_xlfn.XLOOKUP(B109,'2627PR_Loading'!$E$3:$E$501,'2627PR_Loading'!$J$3:$J$501,"",0)&amp;_xlfn.XLOOKUP(B109,'2627PR_Loading'!$K$3:$K$501,'2627PR_Loading'!$P$3:$P$501,"",0)&amp;_xlfn.XLOOKUP(B109,'2627PR_Loading'!$Q$3:$Q$501,'2627PR_Loading'!$V$3:$V$501,"",0),"")</f>
        <v/>
      </c>
      <c r="Q109" s="98" t="str">
        <f>IF(B109&lt;&gt;"",_xlfn.XLOOKUP(B109,TableDispatch[Uniq Id],TableDispatch[Delivery Date],"",0),"")</f>
        <v/>
      </c>
      <c r="R109" s="98" t="str">
        <f>IF(B109&lt;&gt;"",_xlfn.XLOOKUP(B109,TableDispatch[Uniq Id],TableDispatch[Our Ch No.],"",0),"")</f>
        <v/>
      </c>
      <c r="T109" s="26" t="str">
        <f>IF(B109&lt;&gt;"",_xlfn.XLOOKUP(B109,TableDispatch[Uniq Id],TableDispatch[Eway Bill Out],"",0),"")</f>
        <v/>
      </c>
    </row>
    <row r="110" spans="1:22" x14ac:dyDescent="0.25">
      <c r="A110" s="13" t="s">
        <v>980</v>
      </c>
      <c r="B110" s="4">
        <v>410903</v>
      </c>
      <c r="C110" s="4" t="s">
        <v>80</v>
      </c>
      <c r="D110" s="4">
        <v>943</v>
      </c>
      <c r="E110" s="99">
        <v>46276</v>
      </c>
      <c r="F110" s="4" t="s">
        <v>982</v>
      </c>
      <c r="G110" s="4" t="s">
        <v>840</v>
      </c>
      <c r="H110" s="4">
        <v>18.5</v>
      </c>
      <c r="I110" s="4" t="s">
        <v>837</v>
      </c>
      <c r="J110" s="211" t="str">
        <f>IF(B110&lt;&gt;"",_xlfn.XLOOKUP(B110,'2627PR_Loading'!$E$3:$E$501,'2627PR_Loading'!$B$3:$B$501,"",0)&amp;_xlfn.XLOOKUP(B110,'2627PR_Loading'!$K$3:$K$501,'2627PR_Loading'!$B$3:$B$501,"",0)&amp;_xlfn.XLOOKUP(B110,'2627PR_Loading'!$Q$3:$Q$501,'2627PR_Loading'!$B$3:$B$501,"",0),"")</f>
        <v>60</v>
      </c>
      <c r="K110" s="211" t="str">
        <f>IF(B110&lt;&gt;"",_xlfn.XLOOKUP(B110,'2627PR_Loading'!$E$3:$E$501,'2627PR_Loading'!$C$3:$C$501,"",0)&amp;_xlfn.XLOOKUP(B110,'2627PR_Loading'!$K$3:$K$501,'2627PR_Loading'!$C$3:$C$501,"",0)&amp;_xlfn.XLOOKUP(B110,'2627PR_Loading'!$Q$3:$Q$501,'2627PR_Loading'!$C$3:$C$501,"",0),"")</f>
        <v>12</v>
      </c>
      <c r="L110">
        <v>2040</v>
      </c>
      <c r="O110" s="4" t="s">
        <v>985</v>
      </c>
      <c r="P110" s="248" t="str">
        <f>IF(B110&lt;&gt;"",_xlfn.XLOOKUP(B110,'2627PR_Loading'!$E$3:$E$501,'2627PR_Loading'!$J$3:$J$501,"",0)&amp;_xlfn.XLOOKUP(B110,'2627PR_Loading'!$K$3:$K$501,'2627PR_Loading'!$P$3:$P$501,"",0)&amp;_xlfn.XLOOKUP(B110,'2627PR_Loading'!$Q$3:$Q$501,'2627PR_Loading'!$V$3:$V$501,"",0),"")</f>
        <v>65</v>
      </c>
      <c r="Q110" s="98">
        <f>IF(B110&lt;&gt;"",_xlfn.XLOOKUP(B110,TableDispatch[Uniq Id],TableDispatch[Delivery Date],"",0),"")</f>
        <v>46289</v>
      </c>
      <c r="R110" s="98" t="str">
        <f>IF(B110&lt;&gt;"",_xlfn.XLOOKUP(B110,TableDispatch[Uniq Id],TableDispatch[Our Ch No.],"",0),"")</f>
        <v>DC/53</v>
      </c>
      <c r="T110" s="26" t="str">
        <f>IF(B110&lt;&gt;"",_xlfn.XLOOKUP(B110,TableDispatch[Uniq Id],TableDispatch[Eway Bill Out],"",0),"")</f>
        <v>6321 8787 5630</v>
      </c>
      <c r="U110" s="150">
        <v>68.5</v>
      </c>
      <c r="V110" s="263">
        <f>U110*L110</f>
        <v>139740</v>
      </c>
    </row>
    <row r="111" spans="1:22" ht="15.75" x14ac:dyDescent="0.25">
      <c r="E111" s="99"/>
      <c r="J111" s="211" t="str">
        <f>IF(B111&lt;&gt;"",_xlfn.XLOOKUP(B111,'2627PR_Loading'!$E$3:$E$501,'2627PR_Loading'!$B$3:$B$501,"",0)&amp;_xlfn.XLOOKUP(B111,'2627PR_Loading'!$K$3:$K$501,'2627PR_Loading'!$B$3:$B$501,"",0)&amp;_xlfn.XLOOKUP(B111,'2627PR_Loading'!$Q$3:$Q$501,'2627PR_Loading'!$B$3:$B$501,"",0),"")</f>
        <v/>
      </c>
      <c r="K111" s="211" t="str">
        <f>IF(B111&lt;&gt;"",_xlfn.XLOOKUP(B111,'2627PR_Loading'!$E$3:$E$501,'2627PR_Loading'!$C$3:$C$501,"",0)&amp;_xlfn.XLOOKUP(B111,'2627PR_Loading'!$K$3:$K$501,'2627PR_Loading'!$C$3:$C$501,"",0)&amp;_xlfn.XLOOKUP(B111,'2627PR_Loading'!$Q$3:$Q$501,'2627PR_Loading'!$C$3:$C$501,"",0),"")</f>
        <v/>
      </c>
      <c r="L111" s="458">
        <f>SUM(L110)</f>
        <v>2040</v>
      </c>
      <c r="M111" s="348"/>
      <c r="N111" s="349">
        <v>2040</v>
      </c>
      <c r="O111" s="349">
        <v>2040</v>
      </c>
      <c r="P111" s="248" t="str">
        <f>IF(B111&lt;&gt;"",_xlfn.XLOOKUP(B111,'2627PR_Loading'!$E$3:$E$501,'2627PR_Loading'!$J$3:$J$501,"",0)&amp;_xlfn.XLOOKUP(B111,'2627PR_Loading'!$K$3:$K$501,'2627PR_Loading'!$P$3:$P$501,"",0)&amp;_xlfn.XLOOKUP(B111,'2627PR_Loading'!$Q$3:$Q$501,'2627PR_Loading'!$V$3:$V$501,"",0),"")</f>
        <v/>
      </c>
      <c r="Q111" s="98" t="str">
        <f>IF(B111&lt;&gt;"",_xlfn.XLOOKUP(B111,TableDispatch[Uniq Id],TableDispatch[Delivery Date],"",0),"")</f>
        <v/>
      </c>
      <c r="R111" s="98" t="str">
        <f>IF(B111&lt;&gt;"",_xlfn.XLOOKUP(B111,TableDispatch[Uniq Id],TableDispatch[Our Ch No.],"",0),"")</f>
        <v/>
      </c>
      <c r="T111" s="26" t="str">
        <f>IF(B111&lt;&gt;"",_xlfn.XLOOKUP(B111,TableDispatch[Uniq Id],TableDispatch[Eway Bill Out],"",0),"")</f>
        <v/>
      </c>
    </row>
    <row r="112" spans="1:22" ht="15.75" x14ac:dyDescent="0.25">
      <c r="E112" s="99"/>
      <c r="J112" s="211" t="str">
        <f>IF(B112&lt;&gt;"",_xlfn.XLOOKUP(B112,'2627PR_Loading'!$E$3:$E$501,'2627PR_Loading'!$B$3:$B$501,"",0)&amp;_xlfn.XLOOKUP(B112,'2627PR_Loading'!$K$3:$K$501,'2627PR_Loading'!$B$3:$B$501,"",0)&amp;_xlfn.XLOOKUP(B112,'2627PR_Loading'!$Q$3:$Q$501,'2627PR_Loading'!$B$3:$B$501,"",0),"")</f>
        <v/>
      </c>
      <c r="K112" s="211" t="str">
        <f>IF(B112&lt;&gt;"",_xlfn.XLOOKUP(B112,'2627PR_Loading'!$E$3:$E$501,'2627PR_Loading'!$C$3:$C$501,"",0)&amp;_xlfn.XLOOKUP(B112,'2627PR_Loading'!$K$3:$K$501,'2627PR_Loading'!$C$3:$C$501,"",0)&amp;_xlfn.XLOOKUP(B112,'2627PR_Loading'!$Q$3:$Q$501,'2627PR_Loading'!$C$3:$C$501,"",0),"")</f>
        <v/>
      </c>
      <c r="L112" s="459"/>
      <c r="M112" s="348" t="s">
        <v>126</v>
      </c>
      <c r="N112" s="349" t="s">
        <v>485</v>
      </c>
      <c r="O112" s="349" t="s">
        <v>983</v>
      </c>
      <c r="P112" s="248" t="str">
        <f>IF(B112&lt;&gt;"",_xlfn.XLOOKUP(B112,'2627PR_Loading'!$E$3:$E$501,'2627PR_Loading'!$J$3:$J$501,"",0)&amp;_xlfn.XLOOKUP(B112,'2627PR_Loading'!$K$3:$K$501,'2627PR_Loading'!$P$3:$P$501,"",0)&amp;_xlfn.XLOOKUP(B112,'2627PR_Loading'!$Q$3:$Q$501,'2627PR_Loading'!$V$3:$V$501,"",0),"")</f>
        <v/>
      </c>
      <c r="Q112" s="98" t="str">
        <f>IF(B112&lt;&gt;"",_xlfn.XLOOKUP(B112,TableDispatch[Uniq Id],TableDispatch[Delivery Date],"",0),"")</f>
        <v/>
      </c>
      <c r="R112" s="98" t="str">
        <f>IF(B112&lt;&gt;"",_xlfn.XLOOKUP(B112,TableDispatch[Uniq Id],TableDispatch[Our Ch No.],"",0),"")</f>
        <v/>
      </c>
      <c r="T112" s="26" t="str">
        <f>IF(B112&lt;&gt;"",_xlfn.XLOOKUP(B112,TableDispatch[Uniq Id],TableDispatch[Eway Bill Out],"",0),"")</f>
        <v/>
      </c>
    </row>
    <row r="113" spans="1:22" x14ac:dyDescent="0.25">
      <c r="A113" s="13" t="s">
        <v>980</v>
      </c>
      <c r="B113" s="4">
        <v>410904</v>
      </c>
      <c r="C113" s="4" t="s">
        <v>80</v>
      </c>
      <c r="D113" s="4">
        <v>945</v>
      </c>
      <c r="E113" s="99">
        <v>46278</v>
      </c>
      <c r="F113" s="4" t="s">
        <v>156</v>
      </c>
      <c r="G113" s="4" t="s">
        <v>157</v>
      </c>
      <c r="H113" s="4">
        <v>12</v>
      </c>
      <c r="I113" s="4" t="s">
        <v>837</v>
      </c>
      <c r="J113" s="211" t="str">
        <f>IF(B113&lt;&gt;"",_xlfn.XLOOKUP(B113,'2627PR_Loading'!$E$3:$E$501,'2627PR_Loading'!$B$3:$B$501,"",0)&amp;_xlfn.XLOOKUP(B113,'2627PR_Loading'!$K$3:$K$501,'2627PR_Loading'!$B$3:$B$501,"",0)&amp;_xlfn.XLOOKUP(B113,'2627PR_Loading'!$Q$3:$Q$501,'2627PR_Loading'!$B$3:$B$501,"",0),"")</f>
        <v>58</v>
      </c>
      <c r="K113" s="211" t="str">
        <f>IF(B113&lt;&gt;"",_xlfn.XLOOKUP(B113,'2627PR_Loading'!$E$3:$E$501,'2627PR_Loading'!$C$3:$C$501,"",0)&amp;_xlfn.XLOOKUP(B113,'2627PR_Loading'!$K$3:$K$501,'2627PR_Loading'!$C$3:$C$501,"",0)&amp;_xlfn.XLOOKUP(B113,'2627PR_Loading'!$Q$3:$Q$501,'2627PR_Loading'!$C$3:$C$501,"",0),"")</f>
        <v>12</v>
      </c>
      <c r="L113">
        <v>1980</v>
      </c>
      <c r="M113">
        <v>1970</v>
      </c>
      <c r="O113" s="4" t="s">
        <v>984</v>
      </c>
      <c r="P113" s="248" t="str">
        <f>IF(B113&lt;&gt;"",_xlfn.XLOOKUP(B113,'2627PR_Loading'!$E$3:$E$501,'2627PR_Loading'!$J$3:$J$501,"",0)&amp;_xlfn.XLOOKUP(B113,'2627PR_Loading'!$K$3:$K$501,'2627PR_Loading'!$P$3:$P$501,"",0)&amp;_xlfn.XLOOKUP(B113,'2627PR_Loading'!$Q$3:$Q$501,'2627PR_Loading'!$V$3:$V$501,"",0),"")</f>
        <v>67</v>
      </c>
      <c r="Q113" s="98">
        <f>IF(B113&lt;&gt;"",_xlfn.XLOOKUP(B113,TableDispatch[Uniq Id],TableDispatch[Delivery Date],"",0),"")</f>
        <v>46286</v>
      </c>
      <c r="R113" s="98" t="str">
        <f>IF(B113&lt;&gt;"",_xlfn.XLOOKUP(B113,TableDispatch[Uniq Id],TableDispatch[Our Ch No.],"",0),"")</f>
        <v>DC/51</v>
      </c>
      <c r="T113" s="26" t="str">
        <f>IF(B113&lt;&gt;"",_xlfn.XLOOKUP(B113,TableDispatch[Uniq Id],TableDispatch[Eway Bill Out],"",0),"")</f>
        <v>6221 8563 7899</v>
      </c>
      <c r="U113" s="150">
        <v>75.5</v>
      </c>
      <c r="V113" s="263">
        <f>U113*L113</f>
        <v>149490</v>
      </c>
    </row>
    <row r="114" spans="1:22" ht="15.75" x14ac:dyDescent="0.25">
      <c r="E114" s="99"/>
      <c r="J114" s="211" t="str">
        <f>IF(B114&lt;&gt;"",_xlfn.XLOOKUP(B114,'2627PR_Loading'!$E$3:$E$501,'2627PR_Loading'!$B$3:$B$501,"",0)&amp;_xlfn.XLOOKUP(B114,'2627PR_Loading'!$K$3:$K$501,'2627PR_Loading'!$B$3:$B$501,"",0)&amp;_xlfn.XLOOKUP(B114,'2627PR_Loading'!$Q$3:$Q$501,'2627PR_Loading'!$B$3:$B$501,"",0),"")</f>
        <v/>
      </c>
      <c r="K114" s="211" t="str">
        <f>IF(B114&lt;&gt;"",_xlfn.XLOOKUP(B114,'2627PR_Loading'!$E$3:$E$501,'2627PR_Loading'!$C$3:$C$501,"",0)&amp;_xlfn.XLOOKUP(B114,'2627PR_Loading'!$K$3:$K$501,'2627PR_Loading'!$C$3:$C$501,"",0)&amp;_xlfn.XLOOKUP(B114,'2627PR_Loading'!$Q$3:$Q$501,'2627PR_Loading'!$C$3:$C$501,"",0),"")</f>
        <v/>
      </c>
      <c r="L114" s="458">
        <f>SUM(L113)</f>
        <v>1980</v>
      </c>
      <c r="M114" s="348">
        <f>SUM(M113)</f>
        <v>1970</v>
      </c>
      <c r="N114" s="349">
        <v>1980</v>
      </c>
      <c r="O114" s="349"/>
      <c r="P114" s="248" t="str">
        <f>IF(B114&lt;&gt;"",_xlfn.XLOOKUP(B114,'2627PR_Loading'!$E$3:$E$501,'2627PR_Loading'!$J$3:$J$501,"",0)&amp;_xlfn.XLOOKUP(B114,'2627PR_Loading'!$K$3:$K$501,'2627PR_Loading'!$P$3:$P$501,"",0)&amp;_xlfn.XLOOKUP(B114,'2627PR_Loading'!$Q$3:$Q$501,'2627PR_Loading'!$V$3:$V$501,"",0),"")</f>
        <v/>
      </c>
      <c r="Q114" s="98" t="str">
        <f>IF(B114&lt;&gt;"",_xlfn.XLOOKUP(B114,TableDispatch[Uniq Id],TableDispatch[Delivery Date],"",0),"")</f>
        <v/>
      </c>
      <c r="R114" s="98" t="str">
        <f>IF(B114&lt;&gt;"",_xlfn.XLOOKUP(B114,TableDispatch[Uniq Id],TableDispatch[Our Ch No.],"",0),"")</f>
        <v/>
      </c>
      <c r="T114" s="26" t="str">
        <f>IF(B114&lt;&gt;"",_xlfn.XLOOKUP(B114,TableDispatch[Uniq Id],TableDispatch[Eway Bill Out],"",0),"")</f>
        <v/>
      </c>
    </row>
    <row r="115" spans="1:22" ht="15.75" x14ac:dyDescent="0.25">
      <c r="E115" s="99"/>
      <c r="J115" s="211" t="str">
        <f>IF(B115&lt;&gt;"",_xlfn.XLOOKUP(B115,'2627PR_Loading'!$E$3:$E$501,'2627PR_Loading'!$B$3:$B$501,"",0)&amp;_xlfn.XLOOKUP(B115,'2627PR_Loading'!$K$3:$K$501,'2627PR_Loading'!$B$3:$B$501,"",0)&amp;_xlfn.XLOOKUP(B115,'2627PR_Loading'!$Q$3:$Q$501,'2627PR_Loading'!$B$3:$B$501,"",0),"")</f>
        <v/>
      </c>
      <c r="K115" s="211" t="str">
        <f>IF(B115&lt;&gt;"",_xlfn.XLOOKUP(B115,'2627PR_Loading'!$E$3:$E$501,'2627PR_Loading'!$C$3:$C$501,"",0)&amp;_xlfn.XLOOKUP(B115,'2627PR_Loading'!$K$3:$K$501,'2627PR_Loading'!$C$3:$C$501,"",0)&amp;_xlfn.XLOOKUP(B115,'2627PR_Loading'!$Q$3:$Q$501,'2627PR_Loading'!$C$3:$C$501,"",0),"")</f>
        <v/>
      </c>
      <c r="L115" s="459"/>
      <c r="M115" s="348" t="s">
        <v>126</v>
      </c>
      <c r="N115" s="349" t="s">
        <v>485</v>
      </c>
      <c r="O115" s="349" t="s">
        <v>983</v>
      </c>
      <c r="P115" s="248" t="str">
        <f>IF(B115&lt;&gt;"",_xlfn.XLOOKUP(B115,'2627PR_Loading'!$E$3:$E$501,'2627PR_Loading'!$J$3:$J$501,"",0)&amp;_xlfn.XLOOKUP(B115,'2627PR_Loading'!$K$3:$K$501,'2627PR_Loading'!$P$3:$P$501,"",0)&amp;_xlfn.XLOOKUP(B115,'2627PR_Loading'!$Q$3:$Q$501,'2627PR_Loading'!$V$3:$V$501,"",0),"")</f>
        <v/>
      </c>
      <c r="Q115" s="98" t="str">
        <f>IF(B115&lt;&gt;"",_xlfn.XLOOKUP(B115,TableDispatch[Uniq Id],TableDispatch[Delivery Date],"",0),"")</f>
        <v/>
      </c>
      <c r="R115" s="98" t="str">
        <f>IF(B115&lt;&gt;"",_xlfn.XLOOKUP(B115,TableDispatch[Uniq Id],TableDispatch[Our Ch No.],"",0),"")</f>
        <v/>
      </c>
      <c r="T115" s="26" t="str">
        <f>IF(B115&lt;&gt;"",_xlfn.XLOOKUP(B115,TableDispatch[Uniq Id],TableDispatch[Eway Bill Out],"",0),"")</f>
        <v/>
      </c>
    </row>
    <row r="116" spans="1:22" x14ac:dyDescent="0.25">
      <c r="E116" s="99"/>
      <c r="J116" s="211" t="str">
        <f>IF(B116&lt;&gt;"",_xlfn.XLOOKUP(B116,'2627PR_Loading'!$E$3:$E$501,'2627PR_Loading'!$B$3:$B$501,"",0)&amp;_xlfn.XLOOKUP(B116,'2627PR_Loading'!$K$3:$K$501,'2627PR_Loading'!$B$3:$B$501,"",0)&amp;_xlfn.XLOOKUP(B116,'2627PR_Loading'!$Q$3:$Q$501,'2627PR_Loading'!$B$3:$B$501,"",0),"")</f>
        <v/>
      </c>
      <c r="K116" s="211" t="str">
        <f>IF(B116&lt;&gt;"",_xlfn.XLOOKUP(B116,'2627PR_Loading'!$E$3:$E$501,'2627PR_Loading'!$C$3:$C$501,"",0)&amp;_xlfn.XLOOKUP(B116,'2627PR_Loading'!$K$3:$K$501,'2627PR_Loading'!$C$3:$C$501,"",0)&amp;_xlfn.XLOOKUP(B116,'2627PR_Loading'!$Q$3:$Q$501,'2627PR_Loading'!$C$3:$C$501,"",0),"")</f>
        <v/>
      </c>
      <c r="P116" s="248" t="str">
        <f>IF(B116&lt;&gt;"",_xlfn.XLOOKUP(B116,'2627PR_Loading'!$E$3:$E$501,'2627PR_Loading'!$J$3:$J$501,"",0)&amp;_xlfn.XLOOKUP(B116,'2627PR_Loading'!$K$3:$K$501,'2627PR_Loading'!$P$3:$P$501,"",0)&amp;_xlfn.XLOOKUP(B116,'2627PR_Loading'!$Q$3:$Q$501,'2627PR_Loading'!$V$3:$V$501,"",0),"")</f>
        <v/>
      </c>
      <c r="Q116" s="98" t="str">
        <f>IF(B116&lt;&gt;"",_xlfn.XLOOKUP(B116,TableDispatch[Uniq Id],TableDispatch[Delivery Date],"",0),"")</f>
        <v/>
      </c>
      <c r="R116" s="98" t="str">
        <f>IF(B116&lt;&gt;"",_xlfn.XLOOKUP(B116,TableDispatch[Uniq Id],TableDispatch[Our Ch No.],"",0),"")</f>
        <v/>
      </c>
      <c r="T116" s="26" t="str">
        <f>IF(B116&lt;&gt;"",_xlfn.XLOOKUP(B116,TableDispatch[Uniq Id],TableDispatch[Eway Bill Out],"",0),"")</f>
        <v/>
      </c>
    </row>
    <row r="117" spans="1:22" x14ac:dyDescent="0.25">
      <c r="E117" s="99"/>
      <c r="J117" s="211" t="str">
        <f>IF(B117&lt;&gt;"",_xlfn.XLOOKUP(B117,'2627PR_Loading'!$E$3:$E$501,'2627PR_Loading'!$B$3:$B$501,"",0)&amp;_xlfn.XLOOKUP(B117,'2627PR_Loading'!$K$3:$K$501,'2627PR_Loading'!$B$3:$B$501,"",0)&amp;_xlfn.XLOOKUP(B117,'2627PR_Loading'!$Q$3:$Q$501,'2627PR_Loading'!$B$3:$B$501,"",0),"")</f>
        <v/>
      </c>
      <c r="K117" s="211" t="str">
        <f>IF(B117&lt;&gt;"",_xlfn.XLOOKUP(B117,'2627PR_Loading'!$E$3:$E$501,'2627PR_Loading'!$C$3:$C$501,"",0)&amp;_xlfn.XLOOKUP(B117,'2627PR_Loading'!$K$3:$K$501,'2627PR_Loading'!$C$3:$C$501,"",0)&amp;_xlfn.XLOOKUP(B117,'2627PR_Loading'!$Q$3:$Q$501,'2627PR_Loading'!$C$3:$C$501,"",0),"")</f>
        <v/>
      </c>
      <c r="P117" s="248" t="str">
        <f>IF(B117&lt;&gt;"",_xlfn.XLOOKUP(B117,'2627PR_Loading'!$E$3:$E$501,'2627PR_Loading'!$J$3:$J$501,"",0)&amp;_xlfn.XLOOKUP(B117,'2627PR_Loading'!$K$3:$K$501,'2627PR_Loading'!$P$3:$P$501,"",0)&amp;_xlfn.XLOOKUP(B117,'2627PR_Loading'!$Q$3:$Q$501,'2627PR_Loading'!$V$3:$V$501,"",0),"")</f>
        <v/>
      </c>
      <c r="Q117" s="98" t="str">
        <f>IF(B117&lt;&gt;"",_xlfn.XLOOKUP(B117,TableDispatch[Uniq Id],TableDispatch[Delivery Date],"",0),"")</f>
        <v/>
      </c>
      <c r="R117" s="98" t="str">
        <f>IF(B117&lt;&gt;"",_xlfn.XLOOKUP(B117,TableDispatch[Uniq Id],TableDispatch[Our Ch No.],"",0),"")</f>
        <v/>
      </c>
      <c r="T117" s="26" t="str">
        <f>IF(B117&lt;&gt;"",_xlfn.XLOOKUP(B117,TableDispatch[Uniq Id],TableDispatch[Eway Bill Out],"",0),"")</f>
        <v/>
      </c>
    </row>
    <row r="118" spans="1:22" x14ac:dyDescent="0.25">
      <c r="E118" s="99"/>
      <c r="J118" s="211" t="str">
        <f>IF(B118&lt;&gt;"",_xlfn.XLOOKUP(B118,'2627PR_Loading'!$E$3:$E$501,'2627PR_Loading'!$B$3:$B$501,"",0)&amp;_xlfn.XLOOKUP(B118,'2627PR_Loading'!$K$3:$K$501,'2627PR_Loading'!$B$3:$B$501,"",0)&amp;_xlfn.XLOOKUP(B118,'2627PR_Loading'!$Q$3:$Q$501,'2627PR_Loading'!$B$3:$B$501,"",0),"")</f>
        <v/>
      </c>
      <c r="K118" s="211" t="str">
        <f>IF(B118&lt;&gt;"",_xlfn.XLOOKUP(B118,'2627PR_Loading'!$E$3:$E$501,'2627PR_Loading'!$C$3:$C$501,"",0)&amp;_xlfn.XLOOKUP(B118,'2627PR_Loading'!$K$3:$K$501,'2627PR_Loading'!$C$3:$C$501,"",0)&amp;_xlfn.XLOOKUP(B118,'2627PR_Loading'!$Q$3:$Q$501,'2627PR_Loading'!$C$3:$C$501,"",0),"")</f>
        <v/>
      </c>
      <c r="P118" s="248" t="str">
        <f>IF(B118&lt;&gt;"",_xlfn.XLOOKUP(B118,'2627PR_Loading'!$E$3:$E$501,'2627PR_Loading'!$J$3:$J$501,"",0)&amp;_xlfn.XLOOKUP(B118,'2627PR_Loading'!$K$3:$K$501,'2627PR_Loading'!$P$3:$P$501,"",0)&amp;_xlfn.XLOOKUP(B118,'2627PR_Loading'!$Q$3:$Q$501,'2627PR_Loading'!$V$3:$V$501,"",0),"")</f>
        <v/>
      </c>
      <c r="Q118" s="98" t="str">
        <f>IF(B118&lt;&gt;"",_xlfn.XLOOKUP(B118,TableDispatch[Uniq Id],TableDispatch[Delivery Date],"",0),"")</f>
        <v/>
      </c>
      <c r="R118" s="98" t="str">
        <f>IF(B118&lt;&gt;"",_xlfn.XLOOKUP(B118,TableDispatch[Uniq Id],TableDispatch[Our Ch No.],"",0),"")</f>
        <v/>
      </c>
      <c r="T118" s="26" t="str">
        <f>IF(B118&lt;&gt;"",_xlfn.XLOOKUP(B118,TableDispatch[Uniq Id],TableDispatch[Eway Bill Out],"",0),"")</f>
        <v/>
      </c>
    </row>
    <row r="119" spans="1:22" x14ac:dyDescent="0.25">
      <c r="E119" s="99"/>
      <c r="J119" s="211" t="str">
        <f>IF(B119&lt;&gt;"",_xlfn.XLOOKUP(B119,'2627PR_Loading'!$E$3:$E$501,'2627PR_Loading'!$B$3:$B$501,"",0)&amp;_xlfn.XLOOKUP(B119,'2627PR_Loading'!$K$3:$K$501,'2627PR_Loading'!$B$3:$B$501,"",0)&amp;_xlfn.XLOOKUP(B119,'2627PR_Loading'!$Q$3:$Q$501,'2627PR_Loading'!$B$3:$B$501,"",0),"")</f>
        <v/>
      </c>
      <c r="K119" s="211" t="str">
        <f>IF(B119&lt;&gt;"",_xlfn.XLOOKUP(B119,'2627PR_Loading'!$E$3:$E$501,'2627PR_Loading'!$C$3:$C$501,"",0)&amp;_xlfn.XLOOKUP(B119,'2627PR_Loading'!$K$3:$K$501,'2627PR_Loading'!$C$3:$C$501,"",0)&amp;_xlfn.XLOOKUP(B119,'2627PR_Loading'!$Q$3:$Q$501,'2627PR_Loading'!$C$3:$C$501,"",0),"")</f>
        <v/>
      </c>
      <c r="P119" s="248" t="str">
        <f>IF(B119&lt;&gt;"",_xlfn.XLOOKUP(B119,'2627PR_Loading'!$E$3:$E$501,'2627PR_Loading'!$J$3:$J$501,"",0)&amp;_xlfn.XLOOKUP(B119,'2627PR_Loading'!$K$3:$K$501,'2627PR_Loading'!$P$3:$P$501,"",0)&amp;_xlfn.XLOOKUP(B119,'2627PR_Loading'!$Q$3:$Q$501,'2627PR_Loading'!$V$3:$V$501,"",0),"")</f>
        <v/>
      </c>
      <c r="Q119" s="98" t="str">
        <f>IF(B119&lt;&gt;"",_xlfn.XLOOKUP(B119,TableDispatch[Uniq Id],TableDispatch[Delivery Date],"",0),"")</f>
        <v/>
      </c>
      <c r="R119" s="98" t="str">
        <f>IF(B119&lt;&gt;"",_xlfn.XLOOKUP(B119,TableDispatch[Uniq Id],TableDispatch[Our Ch No.],"",0),"")</f>
        <v/>
      </c>
      <c r="T119" s="26" t="str">
        <f>IF(B119&lt;&gt;"",_xlfn.XLOOKUP(B119,TableDispatch[Uniq Id],TableDispatch[Eway Bill Out],"",0),"")</f>
        <v/>
      </c>
    </row>
    <row r="120" spans="1:22" x14ac:dyDescent="0.25">
      <c r="E120" s="99"/>
      <c r="J120" s="211" t="str">
        <f>IF(B120&lt;&gt;"",_xlfn.XLOOKUP(B120,'2627PR_Loading'!$E$3:$E$501,'2627PR_Loading'!$B$3:$B$501,"",0)&amp;_xlfn.XLOOKUP(B120,'2627PR_Loading'!$K$3:$K$501,'2627PR_Loading'!$B$3:$B$501,"",0)&amp;_xlfn.XLOOKUP(B120,'2627PR_Loading'!$Q$3:$Q$501,'2627PR_Loading'!$B$3:$B$501,"",0),"")</f>
        <v/>
      </c>
      <c r="K120" s="211" t="str">
        <f>IF(B120&lt;&gt;"",_xlfn.XLOOKUP(B120,'2627PR_Loading'!$E$3:$E$501,'2627PR_Loading'!$C$3:$C$501,"",0)&amp;_xlfn.XLOOKUP(B120,'2627PR_Loading'!$K$3:$K$501,'2627PR_Loading'!$C$3:$C$501,"",0)&amp;_xlfn.XLOOKUP(B120,'2627PR_Loading'!$Q$3:$Q$501,'2627PR_Loading'!$C$3:$C$501,"",0),"")</f>
        <v/>
      </c>
      <c r="P120" s="248" t="str">
        <f>IF(B120&lt;&gt;"",_xlfn.XLOOKUP(B120,'2627PR_Loading'!$E$3:$E$501,'2627PR_Loading'!$J$3:$J$501,"",0)&amp;_xlfn.XLOOKUP(B120,'2627PR_Loading'!$K$3:$K$501,'2627PR_Loading'!$P$3:$P$501,"",0)&amp;_xlfn.XLOOKUP(B120,'2627PR_Loading'!$Q$3:$Q$501,'2627PR_Loading'!$V$3:$V$501,"",0),"")</f>
        <v/>
      </c>
      <c r="Q120" s="98" t="str">
        <f>IF(B120&lt;&gt;"",_xlfn.XLOOKUP(B120,TableDispatch[Uniq Id],TableDispatch[Delivery Date],"",0),"")</f>
        <v/>
      </c>
      <c r="R120" s="98" t="str">
        <f>IF(B120&lt;&gt;"",_xlfn.XLOOKUP(B120,TableDispatch[Uniq Id],TableDispatch[Our Ch No.],"",0),"")</f>
        <v/>
      </c>
      <c r="T120" s="26" t="str">
        <f>IF(B120&lt;&gt;"",_xlfn.XLOOKUP(B120,TableDispatch[Uniq Id],TableDispatch[Eway Bill Out],"",0),"")</f>
        <v/>
      </c>
    </row>
    <row r="121" spans="1:22" x14ac:dyDescent="0.25">
      <c r="E121" s="99"/>
      <c r="J121" s="211" t="str">
        <f>IF(B121&lt;&gt;"",_xlfn.XLOOKUP(B121,'2627PR_Loading'!$E$3:$E$501,'2627PR_Loading'!$B$3:$B$501,"",0)&amp;_xlfn.XLOOKUP(B121,'2627PR_Loading'!$K$3:$K$501,'2627PR_Loading'!$B$3:$B$501,"",0)&amp;_xlfn.XLOOKUP(B121,'2627PR_Loading'!$Q$3:$Q$501,'2627PR_Loading'!$B$3:$B$501,"",0),"")</f>
        <v/>
      </c>
      <c r="K121" s="211" t="str">
        <f>IF(B121&lt;&gt;"",_xlfn.XLOOKUP(B121,'2627PR_Loading'!$E$3:$E$501,'2627PR_Loading'!$C$3:$C$501,"",0)&amp;_xlfn.XLOOKUP(B121,'2627PR_Loading'!$K$3:$K$501,'2627PR_Loading'!$C$3:$C$501,"",0)&amp;_xlfn.XLOOKUP(B121,'2627PR_Loading'!$Q$3:$Q$501,'2627PR_Loading'!$C$3:$C$501,"",0),"")</f>
        <v/>
      </c>
      <c r="P121" s="248" t="str">
        <f>IF(B121&lt;&gt;"",_xlfn.XLOOKUP(B121,'2627PR_Loading'!$E$3:$E$501,'2627PR_Loading'!$J$3:$J$501,"",0)&amp;_xlfn.XLOOKUP(B121,'2627PR_Loading'!$K$3:$K$501,'2627PR_Loading'!$P$3:$P$501,"",0)&amp;_xlfn.XLOOKUP(B121,'2627PR_Loading'!$Q$3:$Q$501,'2627PR_Loading'!$V$3:$V$501,"",0),"")</f>
        <v/>
      </c>
      <c r="Q121" s="98" t="str">
        <f>IF(B121&lt;&gt;"",_xlfn.XLOOKUP(B121,TableDispatch[Uniq Id],TableDispatch[Delivery Date],"",0),"")</f>
        <v/>
      </c>
      <c r="R121" s="98" t="str">
        <f>IF(B121&lt;&gt;"",_xlfn.XLOOKUP(B121,TableDispatch[Uniq Id],TableDispatch[Our Ch No.],"",0),"")</f>
        <v/>
      </c>
      <c r="T121" s="26" t="str">
        <f>IF(B121&lt;&gt;"",_xlfn.XLOOKUP(B121,TableDispatch[Uniq Id],TableDispatch[Eway Bill Out],"",0),"")</f>
        <v/>
      </c>
    </row>
    <row r="122" spans="1:22" x14ac:dyDescent="0.25">
      <c r="E122" s="99"/>
      <c r="J122" s="211" t="str">
        <f>IF(B122&lt;&gt;"",_xlfn.XLOOKUP(B122,'2627PR_Loading'!$E$3:$E$501,'2627PR_Loading'!$B$3:$B$501,"",0)&amp;_xlfn.XLOOKUP(B122,'2627PR_Loading'!$K$3:$K$501,'2627PR_Loading'!$B$3:$B$501,"",0)&amp;_xlfn.XLOOKUP(B122,'2627PR_Loading'!$Q$3:$Q$501,'2627PR_Loading'!$B$3:$B$501,"",0),"")</f>
        <v/>
      </c>
      <c r="K122" s="211" t="str">
        <f>IF(B122&lt;&gt;"",_xlfn.XLOOKUP(B122,'2627PR_Loading'!$E$3:$E$501,'2627PR_Loading'!$C$3:$C$501,"",0)&amp;_xlfn.XLOOKUP(B122,'2627PR_Loading'!$K$3:$K$501,'2627PR_Loading'!$C$3:$C$501,"",0)&amp;_xlfn.XLOOKUP(B122,'2627PR_Loading'!$Q$3:$Q$501,'2627PR_Loading'!$C$3:$C$501,"",0),"")</f>
        <v/>
      </c>
      <c r="P122" s="248" t="str">
        <f>IF(B122&lt;&gt;"",_xlfn.XLOOKUP(B122,'2627PR_Loading'!$E$3:$E$501,'2627PR_Loading'!$J$3:$J$501,"",0)&amp;_xlfn.XLOOKUP(B122,'2627PR_Loading'!$K$3:$K$501,'2627PR_Loading'!$P$3:$P$501,"",0)&amp;_xlfn.XLOOKUP(B122,'2627PR_Loading'!$Q$3:$Q$501,'2627PR_Loading'!$V$3:$V$501,"",0),"")</f>
        <v/>
      </c>
      <c r="Q122" s="98" t="str">
        <f>IF(B122&lt;&gt;"",_xlfn.XLOOKUP(B122,TableDispatch[Uniq Id],TableDispatch[Delivery Date],"",0),"")</f>
        <v/>
      </c>
      <c r="R122" s="98" t="str">
        <f>IF(B122&lt;&gt;"",_xlfn.XLOOKUP(B122,TableDispatch[Uniq Id],TableDispatch[Our Ch No.],"",0),"")</f>
        <v/>
      </c>
      <c r="T122" s="26" t="str">
        <f>IF(B122&lt;&gt;"",_xlfn.XLOOKUP(B122,TableDispatch[Uniq Id],TableDispatch[Eway Bill Out],"",0),"")</f>
        <v/>
      </c>
    </row>
    <row r="123" spans="1:22" x14ac:dyDescent="0.25">
      <c r="E123" s="99"/>
      <c r="J123" s="211" t="str">
        <f>IF(B123&lt;&gt;"",_xlfn.XLOOKUP(B123,'2627PR_Loading'!$E$3:$E$501,'2627PR_Loading'!$B$3:$B$501,"",0)&amp;_xlfn.XLOOKUP(B123,'2627PR_Loading'!$K$3:$K$501,'2627PR_Loading'!$B$3:$B$501,"",0)&amp;_xlfn.XLOOKUP(B123,'2627PR_Loading'!$Q$3:$Q$501,'2627PR_Loading'!$B$3:$B$501,"",0),"")</f>
        <v/>
      </c>
      <c r="K123" s="211" t="str">
        <f>IF(B123&lt;&gt;"",_xlfn.XLOOKUP(B123,'2627PR_Loading'!$E$3:$E$501,'2627PR_Loading'!$C$3:$C$501,"",0)&amp;_xlfn.XLOOKUP(B123,'2627PR_Loading'!$K$3:$K$501,'2627PR_Loading'!$C$3:$C$501,"",0)&amp;_xlfn.XLOOKUP(B123,'2627PR_Loading'!$Q$3:$Q$501,'2627PR_Loading'!$C$3:$C$501,"",0),"")</f>
        <v/>
      </c>
      <c r="P123" s="248" t="str">
        <f>IF(B123&lt;&gt;"",_xlfn.XLOOKUP(B123,'2627PR_Loading'!$E$3:$E$501,'2627PR_Loading'!$J$3:$J$501,"",0)&amp;_xlfn.XLOOKUP(B123,'2627PR_Loading'!$K$3:$K$501,'2627PR_Loading'!$P$3:$P$501,"",0)&amp;_xlfn.XLOOKUP(B123,'2627PR_Loading'!$Q$3:$Q$501,'2627PR_Loading'!$V$3:$V$501,"",0),"")</f>
        <v/>
      </c>
      <c r="Q123" s="98" t="str">
        <f>IF(B123&lt;&gt;"",_xlfn.XLOOKUP(B123,TableDispatch[Uniq Id],TableDispatch[Delivery Date],"",0),"")</f>
        <v/>
      </c>
      <c r="R123" s="98" t="str">
        <f>IF(B123&lt;&gt;"",_xlfn.XLOOKUP(B123,TableDispatch[Uniq Id],TableDispatch[Our Ch No.],"",0),"")</f>
        <v/>
      </c>
      <c r="T123" s="26" t="str">
        <f>IF(B123&lt;&gt;"",_xlfn.XLOOKUP(B123,TableDispatch[Uniq Id],TableDispatch[Eway Bill Out],"",0),"")</f>
        <v/>
      </c>
    </row>
    <row r="124" spans="1:22" x14ac:dyDescent="0.25">
      <c r="E124" s="99"/>
      <c r="J124" s="211" t="str">
        <f>IF(B124&lt;&gt;"",_xlfn.XLOOKUP(B124,'2627PR_Loading'!$E$3:$E$501,'2627PR_Loading'!$B$3:$B$501,"",0)&amp;_xlfn.XLOOKUP(B124,'2627PR_Loading'!$K$3:$K$501,'2627PR_Loading'!$B$3:$B$501,"",0)&amp;_xlfn.XLOOKUP(B124,'2627PR_Loading'!$Q$3:$Q$501,'2627PR_Loading'!$B$3:$B$501,"",0),"")</f>
        <v/>
      </c>
      <c r="K124" s="211" t="str">
        <f>IF(B124&lt;&gt;"",_xlfn.XLOOKUP(B124,'2627PR_Loading'!$E$3:$E$501,'2627PR_Loading'!$C$3:$C$501,"",0)&amp;_xlfn.XLOOKUP(B124,'2627PR_Loading'!$K$3:$K$501,'2627PR_Loading'!$C$3:$C$501,"",0)&amp;_xlfn.XLOOKUP(B124,'2627PR_Loading'!$Q$3:$Q$501,'2627PR_Loading'!$C$3:$C$501,"",0),"")</f>
        <v/>
      </c>
      <c r="P124" s="248" t="str">
        <f>IF(B124&lt;&gt;"",_xlfn.XLOOKUP(B124,'2627PR_Loading'!$E$3:$E$501,'2627PR_Loading'!$J$3:$J$501,"",0)&amp;_xlfn.XLOOKUP(B124,'2627PR_Loading'!$K$3:$K$501,'2627PR_Loading'!$P$3:$P$501,"",0)&amp;_xlfn.XLOOKUP(B124,'2627PR_Loading'!$Q$3:$Q$501,'2627PR_Loading'!$V$3:$V$501,"",0),"")</f>
        <v/>
      </c>
      <c r="Q124" s="98" t="str">
        <f>IF(B124&lt;&gt;"",_xlfn.XLOOKUP(B124,TableDispatch[Uniq Id],TableDispatch[Delivery Date],"",0),"")</f>
        <v/>
      </c>
      <c r="R124" s="98" t="str">
        <f>IF(B124&lt;&gt;"",_xlfn.XLOOKUP(B124,TableDispatch[Uniq Id],TableDispatch[Our Ch No.],"",0),"")</f>
        <v/>
      </c>
      <c r="T124" s="26" t="str">
        <f>IF(B124&lt;&gt;"",_xlfn.XLOOKUP(B124,TableDispatch[Uniq Id],TableDispatch[Eway Bill Out],"",0),"")</f>
        <v/>
      </c>
    </row>
    <row r="125" spans="1:22" x14ac:dyDescent="0.25">
      <c r="E125" s="99"/>
      <c r="J125" s="211" t="str">
        <f>IF(B125&lt;&gt;"",_xlfn.XLOOKUP(B125,'2627PR_Loading'!$E$3:$E$501,'2627PR_Loading'!$B$3:$B$501,"",0)&amp;_xlfn.XLOOKUP(B125,'2627PR_Loading'!$K$3:$K$501,'2627PR_Loading'!$B$3:$B$501,"",0)&amp;_xlfn.XLOOKUP(B125,'2627PR_Loading'!$Q$3:$Q$501,'2627PR_Loading'!$B$3:$B$501,"",0),"")</f>
        <v/>
      </c>
      <c r="K125" s="211" t="str">
        <f>IF(B125&lt;&gt;"",_xlfn.XLOOKUP(B125,'2627PR_Loading'!$E$3:$E$501,'2627PR_Loading'!$C$3:$C$501,"",0)&amp;_xlfn.XLOOKUP(B125,'2627PR_Loading'!$K$3:$K$501,'2627PR_Loading'!$C$3:$C$501,"",0)&amp;_xlfn.XLOOKUP(B125,'2627PR_Loading'!$Q$3:$Q$501,'2627PR_Loading'!$C$3:$C$501,"",0),"")</f>
        <v/>
      </c>
      <c r="P125" s="248" t="str">
        <f>IF(B125&lt;&gt;"",_xlfn.XLOOKUP(B125,'2627PR_Loading'!$E$3:$E$501,'2627PR_Loading'!$J$3:$J$501,"",0)&amp;_xlfn.XLOOKUP(B125,'2627PR_Loading'!$K$3:$K$501,'2627PR_Loading'!$P$3:$P$501,"",0)&amp;_xlfn.XLOOKUP(B125,'2627PR_Loading'!$Q$3:$Q$501,'2627PR_Loading'!$V$3:$V$501,"",0),"")</f>
        <v/>
      </c>
      <c r="Q125" s="98" t="str">
        <f>IF(B125&lt;&gt;"",_xlfn.XLOOKUP(B125,TableDispatch[Uniq Id],TableDispatch[Delivery Date],"",0),"")</f>
        <v/>
      </c>
      <c r="R125" s="98" t="str">
        <f>IF(B125&lt;&gt;"",_xlfn.XLOOKUP(B125,TableDispatch[Uniq Id],TableDispatch[Our Ch No.],"",0),"")</f>
        <v/>
      </c>
      <c r="T125" s="26" t="str">
        <f>IF(B125&lt;&gt;"",_xlfn.XLOOKUP(B125,TableDispatch[Uniq Id],TableDispatch[Eway Bill Out],"",0),"")</f>
        <v/>
      </c>
    </row>
    <row r="126" spans="1:22" x14ac:dyDescent="0.25">
      <c r="E126" s="99"/>
      <c r="J126" s="211" t="str">
        <f>IF(B126&lt;&gt;"",_xlfn.XLOOKUP(B126,'2627PR_Loading'!$E$3:$E$501,'2627PR_Loading'!$B$3:$B$501,"",0)&amp;_xlfn.XLOOKUP(B126,'2627PR_Loading'!$K$3:$K$501,'2627PR_Loading'!$B$3:$B$501,"",0)&amp;_xlfn.XLOOKUP(B126,'2627PR_Loading'!$Q$3:$Q$501,'2627PR_Loading'!$B$3:$B$501,"",0),"")</f>
        <v/>
      </c>
      <c r="K126" s="211" t="str">
        <f>IF(B126&lt;&gt;"",_xlfn.XLOOKUP(B126,'2627PR_Loading'!$E$3:$E$501,'2627PR_Loading'!$C$3:$C$501,"",0)&amp;_xlfn.XLOOKUP(B126,'2627PR_Loading'!$K$3:$K$501,'2627PR_Loading'!$C$3:$C$501,"",0)&amp;_xlfn.XLOOKUP(B126,'2627PR_Loading'!$Q$3:$Q$501,'2627PR_Loading'!$C$3:$C$501,"",0),"")</f>
        <v/>
      </c>
      <c r="P126" s="248" t="str">
        <f>IF(B126&lt;&gt;"",_xlfn.XLOOKUP(B126,'2627PR_Loading'!$E$3:$E$501,'2627PR_Loading'!$J$3:$J$501,"",0)&amp;_xlfn.XLOOKUP(B126,'2627PR_Loading'!$K$3:$K$501,'2627PR_Loading'!$P$3:$P$501,"",0)&amp;_xlfn.XLOOKUP(B126,'2627PR_Loading'!$Q$3:$Q$501,'2627PR_Loading'!$V$3:$V$501,"",0),"")</f>
        <v/>
      </c>
      <c r="Q126" s="98" t="str">
        <f>IF(B126&lt;&gt;"",_xlfn.XLOOKUP(B126,TableDispatch[Uniq Id],TableDispatch[Delivery Date],"",0),"")</f>
        <v/>
      </c>
      <c r="R126" s="98" t="str">
        <f>IF(B126&lt;&gt;"",_xlfn.XLOOKUP(B126,TableDispatch[Uniq Id],TableDispatch[Our Ch No.],"",0),"")</f>
        <v/>
      </c>
      <c r="T126" s="26" t="str">
        <f>IF(B126&lt;&gt;"",_xlfn.XLOOKUP(B126,TableDispatch[Uniq Id],TableDispatch[Eway Bill Out],"",0),"")</f>
        <v/>
      </c>
    </row>
    <row r="127" spans="1:22" x14ac:dyDescent="0.25">
      <c r="E127" s="99"/>
      <c r="J127" s="211" t="str">
        <f>IF(B127&lt;&gt;"",_xlfn.XLOOKUP(B127,'2627PR_Loading'!$E$3:$E$501,'2627PR_Loading'!$B$3:$B$501,"",0)&amp;_xlfn.XLOOKUP(B127,'2627PR_Loading'!$K$3:$K$501,'2627PR_Loading'!$B$3:$B$501,"",0)&amp;_xlfn.XLOOKUP(B127,'2627PR_Loading'!$Q$3:$Q$501,'2627PR_Loading'!$B$3:$B$501,"",0),"")</f>
        <v/>
      </c>
      <c r="K127" s="211" t="str">
        <f>IF(B127&lt;&gt;"",_xlfn.XLOOKUP(B127,'2627PR_Loading'!$E$3:$E$501,'2627PR_Loading'!$C$3:$C$501,"",0)&amp;_xlfn.XLOOKUP(B127,'2627PR_Loading'!$K$3:$K$501,'2627PR_Loading'!$C$3:$C$501,"",0)&amp;_xlfn.XLOOKUP(B127,'2627PR_Loading'!$Q$3:$Q$501,'2627PR_Loading'!$C$3:$C$501,"",0),"")</f>
        <v/>
      </c>
      <c r="P127" s="248" t="str">
        <f>IF(B127&lt;&gt;"",_xlfn.XLOOKUP(B127,'2627PR_Loading'!$E$3:$E$501,'2627PR_Loading'!$J$3:$J$501,"",0)&amp;_xlfn.XLOOKUP(B127,'2627PR_Loading'!$K$3:$K$501,'2627PR_Loading'!$P$3:$P$501,"",0)&amp;_xlfn.XLOOKUP(B127,'2627PR_Loading'!$Q$3:$Q$501,'2627PR_Loading'!$V$3:$V$501,"",0),"")</f>
        <v/>
      </c>
      <c r="Q127" s="98" t="str">
        <f>IF(B127&lt;&gt;"",_xlfn.XLOOKUP(B127,TableDispatch[Uniq Id],TableDispatch[Delivery Date],"",0),"")</f>
        <v/>
      </c>
      <c r="R127" s="98" t="str">
        <f>IF(B127&lt;&gt;"",_xlfn.XLOOKUP(B127,TableDispatch[Uniq Id],TableDispatch[Our Ch No.],"",0),"")</f>
        <v/>
      </c>
      <c r="T127" s="26" t="str">
        <f>IF(B127&lt;&gt;"",_xlfn.XLOOKUP(B127,TableDispatch[Uniq Id],TableDispatch[Eway Bill Out],"",0),"")</f>
        <v/>
      </c>
    </row>
    <row r="128" spans="1:22" x14ac:dyDescent="0.25">
      <c r="E128" s="99"/>
      <c r="J128" s="211" t="str">
        <f>IF(B128&lt;&gt;"",_xlfn.XLOOKUP(B128,'2627PR_Loading'!$E$3:$E$501,'2627PR_Loading'!$B$3:$B$501,"",0)&amp;_xlfn.XLOOKUP(B128,'2627PR_Loading'!$K$3:$K$501,'2627PR_Loading'!$B$3:$B$501,"",0)&amp;_xlfn.XLOOKUP(B128,'2627PR_Loading'!$Q$3:$Q$501,'2627PR_Loading'!$B$3:$B$501,"",0),"")</f>
        <v/>
      </c>
      <c r="K128" s="211" t="str">
        <f>IF(B128&lt;&gt;"",_xlfn.XLOOKUP(B128,'2627PR_Loading'!$E$3:$E$501,'2627PR_Loading'!$C$3:$C$501,"",0)&amp;_xlfn.XLOOKUP(B128,'2627PR_Loading'!$K$3:$K$501,'2627PR_Loading'!$C$3:$C$501,"",0)&amp;_xlfn.XLOOKUP(B128,'2627PR_Loading'!$Q$3:$Q$501,'2627PR_Loading'!$C$3:$C$501,"",0),"")</f>
        <v/>
      </c>
      <c r="P128" s="248" t="str">
        <f>IF(B128&lt;&gt;"",_xlfn.XLOOKUP(B128,'2627PR_Loading'!$E$3:$E$501,'2627PR_Loading'!$J$3:$J$501,"",0)&amp;_xlfn.XLOOKUP(B128,'2627PR_Loading'!$K$3:$K$501,'2627PR_Loading'!$P$3:$P$501,"",0)&amp;_xlfn.XLOOKUP(B128,'2627PR_Loading'!$Q$3:$Q$501,'2627PR_Loading'!$V$3:$V$501,"",0),"")</f>
        <v/>
      </c>
      <c r="Q128" s="98" t="str">
        <f>IF(B128&lt;&gt;"",_xlfn.XLOOKUP(B128,TableDispatch[Uniq Id],TableDispatch[Delivery Date],"",0),"")</f>
        <v/>
      </c>
      <c r="R128" s="98" t="str">
        <f>IF(B128&lt;&gt;"",_xlfn.XLOOKUP(B128,TableDispatch[Uniq Id],TableDispatch[Our Ch No.],"",0),"")</f>
        <v/>
      </c>
      <c r="T128" s="26" t="str">
        <f>IF(B128&lt;&gt;"",_xlfn.XLOOKUP(B128,TableDispatch[Uniq Id],TableDispatch[Eway Bill Out],"",0),"")</f>
        <v/>
      </c>
    </row>
    <row r="129" spans="5:20" x14ac:dyDescent="0.25">
      <c r="E129" s="99"/>
      <c r="J129" s="211" t="str">
        <f>IF(B129&lt;&gt;"",_xlfn.XLOOKUP(B129,'2627PR_Loading'!$E$3:$E$501,'2627PR_Loading'!$B$3:$B$501,"",0)&amp;_xlfn.XLOOKUP(B129,'2627PR_Loading'!$K$3:$K$501,'2627PR_Loading'!$B$3:$B$501,"",0)&amp;_xlfn.XLOOKUP(B129,'2627PR_Loading'!$Q$3:$Q$501,'2627PR_Loading'!$B$3:$B$501,"",0),"")</f>
        <v/>
      </c>
      <c r="K129" s="211" t="str">
        <f>IF(B129&lt;&gt;"",_xlfn.XLOOKUP(B129,'2627PR_Loading'!$E$3:$E$501,'2627PR_Loading'!$C$3:$C$501,"",0)&amp;_xlfn.XLOOKUP(B129,'2627PR_Loading'!$K$3:$K$501,'2627PR_Loading'!$C$3:$C$501,"",0)&amp;_xlfn.XLOOKUP(B129,'2627PR_Loading'!$Q$3:$Q$501,'2627PR_Loading'!$C$3:$C$501,"",0),"")</f>
        <v/>
      </c>
      <c r="P129" s="248" t="str">
        <f>IF(B129&lt;&gt;"",_xlfn.XLOOKUP(B129,'2627PR_Loading'!$E$3:$E$501,'2627PR_Loading'!$J$3:$J$501,"",0)&amp;_xlfn.XLOOKUP(B129,'2627PR_Loading'!$K$3:$K$501,'2627PR_Loading'!$P$3:$P$501,"",0)&amp;_xlfn.XLOOKUP(B129,'2627PR_Loading'!$Q$3:$Q$501,'2627PR_Loading'!$V$3:$V$501,"",0),"")</f>
        <v/>
      </c>
      <c r="Q129" s="98" t="str">
        <f>IF(B129&lt;&gt;"",_xlfn.XLOOKUP(B129,TableDispatch[Uniq Id],TableDispatch[Delivery Date],"",0),"")</f>
        <v/>
      </c>
      <c r="R129" s="98" t="str">
        <f>IF(B129&lt;&gt;"",_xlfn.XLOOKUP(B129,TableDispatch[Uniq Id],TableDispatch[Our Ch No.],"",0),"")</f>
        <v/>
      </c>
      <c r="T129" s="26" t="str">
        <f>IF(B129&lt;&gt;"",_xlfn.XLOOKUP(B129,TableDispatch[Uniq Id],TableDispatch[Eway Bill Out],"",0),"")</f>
        <v/>
      </c>
    </row>
    <row r="130" spans="5:20" x14ac:dyDescent="0.25">
      <c r="E130" s="99"/>
      <c r="J130" s="211" t="str">
        <f>IF(B130&lt;&gt;"",_xlfn.XLOOKUP(B130,'2627PR_Loading'!$E$3:$E$501,'2627PR_Loading'!$B$3:$B$501,"",0)&amp;_xlfn.XLOOKUP(B130,'2627PR_Loading'!$K$3:$K$501,'2627PR_Loading'!$B$3:$B$501,"",0)&amp;_xlfn.XLOOKUP(B130,'2627PR_Loading'!$Q$3:$Q$501,'2627PR_Loading'!$B$3:$B$501,"",0),"")</f>
        <v/>
      </c>
      <c r="K130" s="211" t="str">
        <f>IF(B130&lt;&gt;"",_xlfn.XLOOKUP(B130,'2627PR_Loading'!$E$3:$E$501,'2627PR_Loading'!$C$3:$C$501,"",0)&amp;_xlfn.XLOOKUP(B130,'2627PR_Loading'!$K$3:$K$501,'2627PR_Loading'!$C$3:$C$501,"",0)&amp;_xlfn.XLOOKUP(B130,'2627PR_Loading'!$Q$3:$Q$501,'2627PR_Loading'!$C$3:$C$501,"",0),"")</f>
        <v/>
      </c>
      <c r="P130" s="248" t="str">
        <f>IF(B130&lt;&gt;"",_xlfn.XLOOKUP(B130,'2627PR_Loading'!$E$3:$E$501,'2627PR_Loading'!$J$3:$J$501,"",0)&amp;_xlfn.XLOOKUP(B130,'2627PR_Loading'!$K$3:$K$501,'2627PR_Loading'!$P$3:$P$501,"",0)&amp;_xlfn.XLOOKUP(B130,'2627PR_Loading'!$Q$3:$Q$501,'2627PR_Loading'!$V$3:$V$501,"",0),"")</f>
        <v/>
      </c>
      <c r="Q130" s="98" t="str">
        <f>IF(B130&lt;&gt;"",_xlfn.XLOOKUP(B130,TableDispatch[Uniq Id],TableDispatch[Delivery Date],"",0),"")</f>
        <v/>
      </c>
      <c r="R130" s="98" t="str">
        <f>IF(B130&lt;&gt;"",_xlfn.XLOOKUP(B130,TableDispatch[Uniq Id],TableDispatch[Our Ch No.],"",0),"")</f>
        <v/>
      </c>
      <c r="T130" s="26" t="str">
        <f>IF(B130&lt;&gt;"",_xlfn.XLOOKUP(B130,TableDispatch[Uniq Id],TableDispatch[Eway Bill Out],"",0),"")</f>
        <v/>
      </c>
    </row>
    <row r="131" spans="5:20" x14ac:dyDescent="0.25">
      <c r="E131" s="99"/>
      <c r="J131" s="211" t="str">
        <f>IF(B131&lt;&gt;"",_xlfn.XLOOKUP(B131,'2627PR_Loading'!$E$3:$E$501,'2627PR_Loading'!$B$3:$B$501,"",0)&amp;_xlfn.XLOOKUP(B131,'2627PR_Loading'!$K$3:$K$501,'2627PR_Loading'!$B$3:$B$501,"",0)&amp;_xlfn.XLOOKUP(B131,'2627PR_Loading'!$Q$3:$Q$501,'2627PR_Loading'!$B$3:$B$501,"",0),"")</f>
        <v/>
      </c>
      <c r="K131" s="211" t="str">
        <f>IF(B131&lt;&gt;"",_xlfn.XLOOKUP(B131,'2627PR_Loading'!$E$3:$E$501,'2627PR_Loading'!$C$3:$C$501,"",0)&amp;_xlfn.XLOOKUP(B131,'2627PR_Loading'!$K$3:$K$501,'2627PR_Loading'!$C$3:$C$501,"",0)&amp;_xlfn.XLOOKUP(B131,'2627PR_Loading'!$Q$3:$Q$501,'2627PR_Loading'!$C$3:$C$501,"",0),"")</f>
        <v/>
      </c>
      <c r="P131" s="248" t="str">
        <f>IF(B131&lt;&gt;"",_xlfn.XLOOKUP(B131,'2627PR_Loading'!$E$3:$E$501,'2627PR_Loading'!$J$3:$J$501,"",0)&amp;_xlfn.XLOOKUP(B131,'2627PR_Loading'!$K$3:$K$501,'2627PR_Loading'!$P$3:$P$501,"",0)&amp;_xlfn.XLOOKUP(B131,'2627PR_Loading'!$Q$3:$Q$501,'2627PR_Loading'!$V$3:$V$501,"",0),"")</f>
        <v/>
      </c>
      <c r="Q131" s="98" t="str">
        <f>IF(B131&lt;&gt;"",_xlfn.XLOOKUP(B131,TableDispatch[Uniq Id],TableDispatch[Delivery Date],"",0),"")</f>
        <v/>
      </c>
      <c r="R131" s="98" t="str">
        <f>IF(B131&lt;&gt;"",_xlfn.XLOOKUP(B131,TableDispatch[Uniq Id],TableDispatch[Our Ch No.],"",0),"")</f>
        <v/>
      </c>
      <c r="T131" s="26" t="str">
        <f>IF(B131&lt;&gt;"",_xlfn.XLOOKUP(B131,TableDispatch[Uniq Id],TableDispatch[Eway Bill Out],"",0),"")</f>
        <v/>
      </c>
    </row>
    <row r="132" spans="5:20" x14ac:dyDescent="0.25">
      <c r="E132" s="99"/>
      <c r="J132" s="211" t="str">
        <f>IF(B132&lt;&gt;"",_xlfn.XLOOKUP(B132,'2627PR_Loading'!$E$3:$E$501,'2627PR_Loading'!$B$3:$B$501,"",0)&amp;_xlfn.XLOOKUP(B132,'2627PR_Loading'!$K$3:$K$501,'2627PR_Loading'!$B$3:$B$501,"",0)&amp;_xlfn.XLOOKUP(B132,'2627PR_Loading'!$Q$3:$Q$501,'2627PR_Loading'!$B$3:$B$501,"",0),"")</f>
        <v/>
      </c>
      <c r="K132" s="211" t="str">
        <f>IF(B132&lt;&gt;"",_xlfn.XLOOKUP(B132,'2627PR_Loading'!$E$3:$E$501,'2627PR_Loading'!$C$3:$C$501,"",0)&amp;_xlfn.XLOOKUP(B132,'2627PR_Loading'!$K$3:$K$501,'2627PR_Loading'!$C$3:$C$501,"",0)&amp;_xlfn.XLOOKUP(B132,'2627PR_Loading'!$Q$3:$Q$501,'2627PR_Loading'!$C$3:$C$501,"",0),"")</f>
        <v/>
      </c>
      <c r="P132" s="248" t="str">
        <f>IF(B132&lt;&gt;"",_xlfn.XLOOKUP(B132,'2627PR_Loading'!$E$3:$E$501,'2627PR_Loading'!$J$3:$J$501,"",0)&amp;_xlfn.XLOOKUP(B132,'2627PR_Loading'!$K$3:$K$501,'2627PR_Loading'!$P$3:$P$501,"",0)&amp;_xlfn.XLOOKUP(B132,'2627PR_Loading'!$Q$3:$Q$501,'2627PR_Loading'!$V$3:$V$501,"",0),"")</f>
        <v/>
      </c>
      <c r="Q132" s="98" t="str">
        <f>IF(B132&lt;&gt;"",_xlfn.XLOOKUP(B132,TableDispatch[Uniq Id],TableDispatch[Delivery Date],"",0),"")</f>
        <v/>
      </c>
      <c r="R132" s="98" t="str">
        <f>IF(B132&lt;&gt;"",_xlfn.XLOOKUP(B132,TableDispatch[Uniq Id],TableDispatch[Our Ch No.],"",0),"")</f>
        <v/>
      </c>
      <c r="T132" s="26" t="str">
        <f>IF(B132&lt;&gt;"",_xlfn.XLOOKUP(B132,TableDispatch[Uniq Id],TableDispatch[Eway Bill Out],"",0),"")</f>
        <v/>
      </c>
    </row>
    <row r="133" spans="5:20" x14ac:dyDescent="0.25">
      <c r="E133" s="99"/>
      <c r="J133" s="211" t="str">
        <f>IF(B133&lt;&gt;"",_xlfn.XLOOKUP(B133,'2627PR_Loading'!$E$3:$E$501,'2627PR_Loading'!$B$3:$B$501,"",0)&amp;_xlfn.XLOOKUP(B133,'2627PR_Loading'!$K$3:$K$501,'2627PR_Loading'!$B$3:$B$501,"",0)&amp;_xlfn.XLOOKUP(B133,'2627PR_Loading'!$Q$3:$Q$501,'2627PR_Loading'!$B$3:$B$501,"",0),"")</f>
        <v/>
      </c>
      <c r="K133" s="211" t="str">
        <f>IF(B133&lt;&gt;"",_xlfn.XLOOKUP(B133,'2627PR_Loading'!$E$3:$E$501,'2627PR_Loading'!$C$3:$C$501,"",0)&amp;_xlfn.XLOOKUP(B133,'2627PR_Loading'!$K$3:$K$501,'2627PR_Loading'!$C$3:$C$501,"",0)&amp;_xlfn.XLOOKUP(B133,'2627PR_Loading'!$Q$3:$Q$501,'2627PR_Loading'!$C$3:$C$501,"",0),"")</f>
        <v/>
      </c>
      <c r="P133" s="248" t="str">
        <f>IF(B133&lt;&gt;"",_xlfn.XLOOKUP(B133,'2627PR_Loading'!$E$3:$E$501,'2627PR_Loading'!$J$3:$J$501,"",0)&amp;_xlfn.XLOOKUP(B133,'2627PR_Loading'!$K$3:$K$501,'2627PR_Loading'!$P$3:$P$501,"",0)&amp;_xlfn.XLOOKUP(B133,'2627PR_Loading'!$Q$3:$Q$501,'2627PR_Loading'!$V$3:$V$501,"",0),"")</f>
        <v/>
      </c>
      <c r="Q133" s="98" t="str">
        <f>IF(B133&lt;&gt;"",_xlfn.XLOOKUP(B133,TableDispatch[Uniq Id],TableDispatch[Delivery Date],"",0),"")</f>
        <v/>
      </c>
      <c r="R133" s="98" t="str">
        <f>IF(B133&lt;&gt;"",_xlfn.XLOOKUP(B133,TableDispatch[Uniq Id],TableDispatch[Our Ch No.],"",0),"")</f>
        <v/>
      </c>
      <c r="T133" s="26" t="str">
        <f>IF(B133&lt;&gt;"",_xlfn.XLOOKUP(B133,TableDispatch[Uniq Id],TableDispatch[Eway Bill Out],"",0),"")</f>
        <v/>
      </c>
    </row>
    <row r="134" spans="5:20" x14ac:dyDescent="0.25">
      <c r="E134" s="99"/>
      <c r="J134" s="211" t="str">
        <f>IF(B134&lt;&gt;"",_xlfn.XLOOKUP(B134,'2627PR_Loading'!$E$3:$E$501,'2627PR_Loading'!$B$3:$B$501,"",0)&amp;_xlfn.XLOOKUP(B134,'2627PR_Loading'!$K$3:$K$501,'2627PR_Loading'!$B$3:$B$501,"",0)&amp;_xlfn.XLOOKUP(B134,'2627PR_Loading'!$Q$3:$Q$501,'2627PR_Loading'!$B$3:$B$501,"",0),"")</f>
        <v/>
      </c>
      <c r="K134" s="211" t="str">
        <f>IF(B134&lt;&gt;"",_xlfn.XLOOKUP(B134,'2627PR_Loading'!$E$3:$E$501,'2627PR_Loading'!$C$3:$C$501,"",0)&amp;_xlfn.XLOOKUP(B134,'2627PR_Loading'!$K$3:$K$501,'2627PR_Loading'!$C$3:$C$501,"",0)&amp;_xlfn.XLOOKUP(B134,'2627PR_Loading'!$Q$3:$Q$501,'2627PR_Loading'!$C$3:$C$501,"",0),"")</f>
        <v/>
      </c>
      <c r="P134" s="248" t="str">
        <f>IF(B134&lt;&gt;"",_xlfn.XLOOKUP(B134,'2627PR_Loading'!$E$3:$E$501,'2627PR_Loading'!$J$3:$J$501,"",0)&amp;_xlfn.XLOOKUP(B134,'2627PR_Loading'!$K$3:$K$501,'2627PR_Loading'!$P$3:$P$501,"",0)&amp;_xlfn.XLOOKUP(B134,'2627PR_Loading'!$Q$3:$Q$501,'2627PR_Loading'!$V$3:$V$501,"",0),"")</f>
        <v/>
      </c>
      <c r="Q134" s="98" t="str">
        <f>IF(B134&lt;&gt;"",_xlfn.XLOOKUP(B134,TableDispatch[Uniq Id],TableDispatch[Delivery Date],"",0),"")</f>
        <v/>
      </c>
      <c r="R134" s="98" t="str">
        <f>IF(B134&lt;&gt;"",_xlfn.XLOOKUP(B134,TableDispatch[Uniq Id],TableDispatch[Our Ch No.],"",0),"")</f>
        <v/>
      </c>
      <c r="T134" s="26" t="str">
        <f>IF(B134&lt;&gt;"",_xlfn.XLOOKUP(B134,TableDispatch[Uniq Id],TableDispatch[Eway Bill Out],"",0),"")</f>
        <v/>
      </c>
    </row>
    <row r="135" spans="5:20" x14ac:dyDescent="0.25">
      <c r="E135" s="99"/>
      <c r="J135" s="211" t="str">
        <f>IF(B135&lt;&gt;"",_xlfn.XLOOKUP(B135,'2627PR_Loading'!$E$3:$E$501,'2627PR_Loading'!$B$3:$B$501,"",0)&amp;_xlfn.XLOOKUP(B135,'2627PR_Loading'!$K$3:$K$501,'2627PR_Loading'!$B$3:$B$501,"",0)&amp;_xlfn.XLOOKUP(B135,'2627PR_Loading'!$Q$3:$Q$501,'2627PR_Loading'!$B$3:$B$501,"",0),"")</f>
        <v/>
      </c>
      <c r="K135" s="211" t="str">
        <f>IF(B135&lt;&gt;"",_xlfn.XLOOKUP(B135,'2627PR_Loading'!$E$3:$E$501,'2627PR_Loading'!$C$3:$C$501,"",0)&amp;_xlfn.XLOOKUP(B135,'2627PR_Loading'!$K$3:$K$501,'2627PR_Loading'!$C$3:$C$501,"",0)&amp;_xlfn.XLOOKUP(B135,'2627PR_Loading'!$Q$3:$Q$501,'2627PR_Loading'!$C$3:$C$501,"",0),"")</f>
        <v/>
      </c>
      <c r="P135" s="248" t="str">
        <f>IF(B135&lt;&gt;"",_xlfn.XLOOKUP(B135,'2627PR_Loading'!$E$3:$E$501,'2627PR_Loading'!$J$3:$J$501,"",0)&amp;_xlfn.XLOOKUP(B135,'2627PR_Loading'!$K$3:$K$501,'2627PR_Loading'!$P$3:$P$501,"",0)&amp;_xlfn.XLOOKUP(B135,'2627PR_Loading'!$Q$3:$Q$501,'2627PR_Loading'!$V$3:$V$501,"",0),"")</f>
        <v/>
      </c>
      <c r="Q135" s="98" t="str">
        <f>IF(B135&lt;&gt;"",_xlfn.XLOOKUP(B135,TableDispatch[Uniq Id],TableDispatch[Delivery Date],"",0),"")</f>
        <v/>
      </c>
      <c r="R135" s="98" t="str">
        <f>IF(B135&lt;&gt;"",_xlfn.XLOOKUP(B135,TableDispatch[Uniq Id],TableDispatch[Our Ch No.],"",0),"")</f>
        <v/>
      </c>
      <c r="T135" s="26" t="str">
        <f>IF(B135&lt;&gt;"",_xlfn.XLOOKUP(B135,TableDispatch[Uniq Id],TableDispatch[Eway Bill Out],"",0),"")</f>
        <v/>
      </c>
    </row>
    <row r="136" spans="5:20" x14ac:dyDescent="0.25">
      <c r="E136" s="99"/>
      <c r="J136" s="211" t="str">
        <f>IF(B136&lt;&gt;"",_xlfn.XLOOKUP(B136,'2627PR_Loading'!$E$3:$E$501,'2627PR_Loading'!$B$3:$B$501,"",0)&amp;_xlfn.XLOOKUP(B136,'2627PR_Loading'!$K$3:$K$501,'2627PR_Loading'!$B$3:$B$501,"",0)&amp;_xlfn.XLOOKUP(B136,'2627PR_Loading'!$Q$3:$Q$501,'2627PR_Loading'!$B$3:$B$501,"",0),"")</f>
        <v/>
      </c>
      <c r="K136" s="211" t="str">
        <f>IF(B136&lt;&gt;"",_xlfn.XLOOKUP(B136,'2627PR_Loading'!$E$3:$E$501,'2627PR_Loading'!$C$3:$C$501,"",0)&amp;_xlfn.XLOOKUP(B136,'2627PR_Loading'!$K$3:$K$501,'2627PR_Loading'!$C$3:$C$501,"",0)&amp;_xlfn.XLOOKUP(B136,'2627PR_Loading'!$Q$3:$Q$501,'2627PR_Loading'!$C$3:$C$501,"",0),"")</f>
        <v/>
      </c>
      <c r="P136" s="248" t="str">
        <f>IF(B136&lt;&gt;"",_xlfn.XLOOKUP(B136,'2627PR_Loading'!$E$3:$E$501,'2627PR_Loading'!$J$3:$J$501,"",0)&amp;_xlfn.XLOOKUP(B136,'2627PR_Loading'!$K$3:$K$501,'2627PR_Loading'!$P$3:$P$501,"",0)&amp;_xlfn.XLOOKUP(B136,'2627PR_Loading'!$Q$3:$Q$501,'2627PR_Loading'!$V$3:$V$501,"",0),"")</f>
        <v/>
      </c>
      <c r="Q136" s="98" t="str">
        <f>IF(B136&lt;&gt;"",_xlfn.XLOOKUP(B136,TableDispatch[Uniq Id],TableDispatch[Delivery Date],"",0),"")</f>
        <v/>
      </c>
      <c r="R136" s="98" t="str">
        <f>IF(B136&lt;&gt;"",_xlfn.XLOOKUP(B136,TableDispatch[Uniq Id],TableDispatch[Our Ch No.],"",0),"")</f>
        <v/>
      </c>
      <c r="T136" s="26" t="str">
        <f>IF(B136&lt;&gt;"",_xlfn.XLOOKUP(B136,TableDispatch[Uniq Id],TableDispatch[Eway Bill Out],"",0),"")</f>
        <v/>
      </c>
    </row>
    <row r="137" spans="5:20" x14ac:dyDescent="0.25">
      <c r="E137" s="99"/>
      <c r="J137" s="211" t="str">
        <f>IF(B137&lt;&gt;"",_xlfn.XLOOKUP(B137,'2627PR_Loading'!$E$3:$E$501,'2627PR_Loading'!$B$3:$B$501,"",0)&amp;_xlfn.XLOOKUP(B137,'2627PR_Loading'!$K$3:$K$501,'2627PR_Loading'!$B$3:$B$501,"",0)&amp;_xlfn.XLOOKUP(B137,'2627PR_Loading'!$Q$3:$Q$501,'2627PR_Loading'!$B$3:$B$501,"",0),"")</f>
        <v/>
      </c>
      <c r="K137" s="211" t="str">
        <f>IF(B137&lt;&gt;"",_xlfn.XLOOKUP(B137,'2627PR_Loading'!$E$3:$E$501,'2627PR_Loading'!$C$3:$C$501,"",0)&amp;_xlfn.XLOOKUP(B137,'2627PR_Loading'!$K$3:$K$501,'2627PR_Loading'!$C$3:$C$501,"",0)&amp;_xlfn.XLOOKUP(B137,'2627PR_Loading'!$Q$3:$Q$501,'2627PR_Loading'!$C$3:$C$501,"",0),"")</f>
        <v/>
      </c>
      <c r="P137" s="248" t="str">
        <f>IF(B137&lt;&gt;"",_xlfn.XLOOKUP(B137,'2627PR_Loading'!$E$3:$E$501,'2627PR_Loading'!$J$3:$J$501,"",0)&amp;_xlfn.XLOOKUP(B137,'2627PR_Loading'!$K$3:$K$501,'2627PR_Loading'!$P$3:$P$501,"",0)&amp;_xlfn.XLOOKUP(B137,'2627PR_Loading'!$Q$3:$Q$501,'2627PR_Loading'!$V$3:$V$501,"",0),"")</f>
        <v/>
      </c>
      <c r="Q137" s="98" t="str">
        <f>IF(B137&lt;&gt;"",_xlfn.XLOOKUP(B137,TableDispatch[Uniq Id],TableDispatch[Delivery Date],"",0),"")</f>
        <v/>
      </c>
      <c r="R137" s="98" t="str">
        <f>IF(B137&lt;&gt;"",_xlfn.XLOOKUP(B137,TableDispatch[Uniq Id],TableDispatch[Our Ch No.],"",0),"")</f>
        <v/>
      </c>
      <c r="T137" s="26" t="str">
        <f>IF(B137&lt;&gt;"",_xlfn.XLOOKUP(B137,TableDispatch[Uniq Id],TableDispatch[Eway Bill Out],"",0),"")</f>
        <v/>
      </c>
    </row>
    <row r="138" spans="5:20" x14ac:dyDescent="0.25">
      <c r="E138" s="99"/>
      <c r="J138" s="211" t="str">
        <f>IF(B138&lt;&gt;"",_xlfn.XLOOKUP(B138,'2627PR_Loading'!$E$3:$E$501,'2627PR_Loading'!$B$3:$B$501,"",0)&amp;_xlfn.XLOOKUP(B138,'2627PR_Loading'!$K$3:$K$501,'2627PR_Loading'!$B$3:$B$501,"",0)&amp;_xlfn.XLOOKUP(B138,'2627PR_Loading'!$Q$3:$Q$501,'2627PR_Loading'!$B$3:$B$501,"",0),"")</f>
        <v/>
      </c>
      <c r="K138" s="211" t="str">
        <f>IF(B138&lt;&gt;"",_xlfn.XLOOKUP(B138,'2627PR_Loading'!$E$3:$E$501,'2627PR_Loading'!$C$3:$C$501,"",0)&amp;_xlfn.XLOOKUP(B138,'2627PR_Loading'!$K$3:$K$501,'2627PR_Loading'!$C$3:$C$501,"",0)&amp;_xlfn.XLOOKUP(B138,'2627PR_Loading'!$Q$3:$Q$501,'2627PR_Loading'!$C$3:$C$501,"",0),"")</f>
        <v/>
      </c>
      <c r="P138" s="248" t="str">
        <f>IF(B138&lt;&gt;"",_xlfn.XLOOKUP(B138,'2627PR_Loading'!$E$3:$E$501,'2627PR_Loading'!$J$3:$J$501,"",0)&amp;_xlfn.XLOOKUP(B138,'2627PR_Loading'!$K$3:$K$501,'2627PR_Loading'!$P$3:$P$501,"",0)&amp;_xlfn.XLOOKUP(B138,'2627PR_Loading'!$Q$3:$Q$501,'2627PR_Loading'!$V$3:$V$501,"",0),"")</f>
        <v/>
      </c>
      <c r="Q138" s="98" t="str">
        <f>IF(B138&lt;&gt;"",_xlfn.XLOOKUP(B138,TableDispatch[Uniq Id],TableDispatch[Delivery Date],"",0),"")</f>
        <v/>
      </c>
      <c r="R138" s="98" t="str">
        <f>IF(B138&lt;&gt;"",_xlfn.XLOOKUP(B138,TableDispatch[Uniq Id],TableDispatch[Our Ch No.],"",0),"")</f>
        <v/>
      </c>
      <c r="T138" s="26" t="str">
        <f>IF(B138&lt;&gt;"",_xlfn.XLOOKUP(B138,TableDispatch[Uniq Id],TableDispatch[Eway Bill Out],"",0),"")</f>
        <v/>
      </c>
    </row>
    <row r="139" spans="5:20" x14ac:dyDescent="0.25">
      <c r="E139" s="99"/>
      <c r="J139" s="211" t="str">
        <f>IF(B139&lt;&gt;"",_xlfn.XLOOKUP(B139,'2627PR_Loading'!$E$3:$E$501,'2627PR_Loading'!$B$3:$B$501,"",0)&amp;_xlfn.XLOOKUP(B139,'2627PR_Loading'!$K$3:$K$501,'2627PR_Loading'!$B$3:$B$501,"",0)&amp;_xlfn.XLOOKUP(B139,'2627PR_Loading'!$Q$3:$Q$501,'2627PR_Loading'!$B$3:$B$501,"",0),"")</f>
        <v/>
      </c>
      <c r="K139" s="211" t="str">
        <f>IF(B139&lt;&gt;"",_xlfn.XLOOKUP(B139,'2627PR_Loading'!$E$3:$E$501,'2627PR_Loading'!$C$3:$C$501,"",0)&amp;_xlfn.XLOOKUP(B139,'2627PR_Loading'!$K$3:$K$501,'2627PR_Loading'!$C$3:$C$501,"",0)&amp;_xlfn.XLOOKUP(B139,'2627PR_Loading'!$Q$3:$Q$501,'2627PR_Loading'!$C$3:$C$501,"",0),"")</f>
        <v/>
      </c>
      <c r="P139" s="248" t="str">
        <f>IF(B139&lt;&gt;"",_xlfn.XLOOKUP(B139,'2627PR_Loading'!$E$3:$E$501,'2627PR_Loading'!$J$3:$J$501,"",0)&amp;_xlfn.XLOOKUP(B139,'2627PR_Loading'!$K$3:$K$501,'2627PR_Loading'!$P$3:$P$501,"",0)&amp;_xlfn.XLOOKUP(B139,'2627PR_Loading'!$Q$3:$Q$501,'2627PR_Loading'!$V$3:$V$501,"",0),"")</f>
        <v/>
      </c>
      <c r="Q139" s="98" t="str">
        <f>IF(B139&lt;&gt;"",_xlfn.XLOOKUP(B139,TableDispatch[Uniq Id],TableDispatch[Delivery Date],"",0),"")</f>
        <v/>
      </c>
      <c r="R139" s="98" t="str">
        <f>IF(B139&lt;&gt;"",_xlfn.XLOOKUP(B139,TableDispatch[Uniq Id],TableDispatch[Our Ch No.],"",0),"")</f>
        <v/>
      </c>
      <c r="T139" s="26" t="str">
        <f>IF(B139&lt;&gt;"",_xlfn.XLOOKUP(B139,TableDispatch[Uniq Id],TableDispatch[Eway Bill Out],"",0),"")</f>
        <v/>
      </c>
    </row>
    <row r="140" spans="5:20" x14ac:dyDescent="0.25">
      <c r="E140" s="99"/>
      <c r="J140" s="211" t="str">
        <f>IF(B140&lt;&gt;"",_xlfn.XLOOKUP(B140,'2627PR_Loading'!$E$3:$E$501,'2627PR_Loading'!$B$3:$B$501,"",0)&amp;_xlfn.XLOOKUP(B140,'2627PR_Loading'!$K$3:$K$501,'2627PR_Loading'!$B$3:$B$501,"",0)&amp;_xlfn.XLOOKUP(B140,'2627PR_Loading'!$Q$3:$Q$501,'2627PR_Loading'!$B$3:$B$501,"",0),"")</f>
        <v/>
      </c>
      <c r="K140" s="211" t="str">
        <f>IF(B140&lt;&gt;"",_xlfn.XLOOKUP(B140,'2627PR_Loading'!$E$3:$E$501,'2627PR_Loading'!$C$3:$C$501,"",0)&amp;_xlfn.XLOOKUP(B140,'2627PR_Loading'!$K$3:$K$501,'2627PR_Loading'!$C$3:$C$501,"",0)&amp;_xlfn.XLOOKUP(B140,'2627PR_Loading'!$Q$3:$Q$501,'2627PR_Loading'!$C$3:$C$501,"",0),"")</f>
        <v/>
      </c>
      <c r="P140" s="248" t="str">
        <f>IF(B140&lt;&gt;"",_xlfn.XLOOKUP(B140,'2627PR_Loading'!$E$3:$E$501,'2627PR_Loading'!$J$3:$J$501,"",0)&amp;_xlfn.XLOOKUP(B140,'2627PR_Loading'!$K$3:$K$501,'2627PR_Loading'!$P$3:$P$501,"",0)&amp;_xlfn.XLOOKUP(B140,'2627PR_Loading'!$Q$3:$Q$501,'2627PR_Loading'!$V$3:$V$501,"",0),"")</f>
        <v/>
      </c>
      <c r="Q140" s="98" t="str">
        <f>IF(B140&lt;&gt;"",_xlfn.XLOOKUP(B140,TableDispatch[Uniq Id],TableDispatch[Delivery Date],"",0),"")</f>
        <v/>
      </c>
      <c r="R140" s="98" t="str">
        <f>IF(B140&lt;&gt;"",_xlfn.XLOOKUP(B140,TableDispatch[Uniq Id],TableDispatch[Our Ch No.],"",0),"")</f>
        <v/>
      </c>
      <c r="T140" s="26" t="str">
        <f>IF(B140&lt;&gt;"",_xlfn.XLOOKUP(B140,TableDispatch[Uniq Id],TableDispatch[Eway Bill Out],"",0),"")</f>
        <v/>
      </c>
    </row>
    <row r="141" spans="5:20" x14ac:dyDescent="0.25">
      <c r="E141" s="99"/>
      <c r="J141" s="211" t="str">
        <f>IF(B141&lt;&gt;"",_xlfn.XLOOKUP(B141,'2627PR_Loading'!$E$3:$E$501,'2627PR_Loading'!$B$3:$B$501,"",0)&amp;_xlfn.XLOOKUP(B141,'2627PR_Loading'!$K$3:$K$501,'2627PR_Loading'!$B$3:$B$501,"",0)&amp;_xlfn.XLOOKUP(B141,'2627PR_Loading'!$Q$3:$Q$501,'2627PR_Loading'!$B$3:$B$501,"",0),"")</f>
        <v/>
      </c>
      <c r="K141" s="211" t="str">
        <f>IF(B141&lt;&gt;"",_xlfn.XLOOKUP(B141,'2627PR_Loading'!$E$3:$E$501,'2627PR_Loading'!$C$3:$C$501,"",0)&amp;_xlfn.XLOOKUP(B141,'2627PR_Loading'!$K$3:$K$501,'2627PR_Loading'!$C$3:$C$501,"",0)&amp;_xlfn.XLOOKUP(B141,'2627PR_Loading'!$Q$3:$Q$501,'2627PR_Loading'!$C$3:$C$501,"",0),"")</f>
        <v/>
      </c>
      <c r="P141" s="248" t="str">
        <f>IF(B141&lt;&gt;"",_xlfn.XLOOKUP(B141,'2627PR_Loading'!$E$3:$E$501,'2627PR_Loading'!$J$3:$J$501,"",0)&amp;_xlfn.XLOOKUP(B141,'2627PR_Loading'!$K$3:$K$501,'2627PR_Loading'!$P$3:$P$501,"",0)&amp;_xlfn.XLOOKUP(B141,'2627PR_Loading'!$Q$3:$Q$501,'2627PR_Loading'!$V$3:$V$501,"",0),"")</f>
        <v/>
      </c>
      <c r="Q141" s="98" t="str">
        <f>IF(B141&lt;&gt;"",_xlfn.XLOOKUP(B141,TableDispatch[Uniq Id],TableDispatch[Delivery Date],"",0),"")</f>
        <v/>
      </c>
      <c r="R141" s="98" t="str">
        <f>IF(B141&lt;&gt;"",_xlfn.XLOOKUP(B141,TableDispatch[Uniq Id],TableDispatch[Our Ch No.],"",0),"")</f>
        <v/>
      </c>
      <c r="T141" s="26" t="str">
        <f>IF(B141&lt;&gt;"",_xlfn.XLOOKUP(B141,TableDispatch[Uniq Id],TableDispatch[Eway Bill Out],"",0),"")</f>
        <v/>
      </c>
    </row>
    <row r="142" spans="5:20" x14ac:dyDescent="0.25">
      <c r="E142" s="99"/>
      <c r="J142" s="211" t="str">
        <f>IF(B142&lt;&gt;"",_xlfn.XLOOKUP(B142,'2627PR_Loading'!$E$3:$E$501,'2627PR_Loading'!$B$3:$B$501,"",0)&amp;_xlfn.XLOOKUP(B142,'2627PR_Loading'!$K$3:$K$501,'2627PR_Loading'!$B$3:$B$501,"",0)&amp;_xlfn.XLOOKUP(B142,'2627PR_Loading'!$Q$3:$Q$501,'2627PR_Loading'!$B$3:$B$501,"",0),"")</f>
        <v/>
      </c>
      <c r="K142" s="211" t="str">
        <f>IF(B142&lt;&gt;"",_xlfn.XLOOKUP(B142,'2627PR_Loading'!$E$3:$E$501,'2627PR_Loading'!$C$3:$C$501,"",0)&amp;_xlfn.XLOOKUP(B142,'2627PR_Loading'!$K$3:$K$501,'2627PR_Loading'!$C$3:$C$501,"",0)&amp;_xlfn.XLOOKUP(B142,'2627PR_Loading'!$Q$3:$Q$501,'2627PR_Loading'!$C$3:$C$501,"",0),"")</f>
        <v/>
      </c>
      <c r="P142" s="248" t="str">
        <f>IF(B142&lt;&gt;"",_xlfn.XLOOKUP(B142,'2627PR_Loading'!$E$3:$E$501,'2627PR_Loading'!$J$3:$J$501,"",0)&amp;_xlfn.XLOOKUP(B142,'2627PR_Loading'!$K$3:$K$501,'2627PR_Loading'!$P$3:$P$501,"",0)&amp;_xlfn.XLOOKUP(B142,'2627PR_Loading'!$Q$3:$Q$501,'2627PR_Loading'!$V$3:$V$501,"",0),"")</f>
        <v/>
      </c>
      <c r="Q142" s="98" t="str">
        <f>IF(B142&lt;&gt;"",_xlfn.XLOOKUP(B142,TableDispatch[Uniq Id],TableDispatch[Delivery Date],"",0),"")</f>
        <v/>
      </c>
      <c r="R142" s="98" t="str">
        <f>IF(B142&lt;&gt;"",_xlfn.XLOOKUP(B142,TableDispatch[Uniq Id],TableDispatch[Our Ch No.],"",0),"")</f>
        <v/>
      </c>
      <c r="T142" s="26" t="str">
        <f>IF(B142&lt;&gt;"",_xlfn.XLOOKUP(B142,TableDispatch[Uniq Id],TableDispatch[Eway Bill Out],"",0),"")</f>
        <v/>
      </c>
    </row>
    <row r="143" spans="5:20" x14ac:dyDescent="0.25">
      <c r="E143" s="99"/>
      <c r="J143" s="211" t="str">
        <f>IF(B143&lt;&gt;"",_xlfn.XLOOKUP(B143,'2627PR_Loading'!$E$3:$E$501,'2627PR_Loading'!$B$3:$B$501,"",0)&amp;_xlfn.XLOOKUP(B143,'2627PR_Loading'!$K$3:$K$501,'2627PR_Loading'!$B$3:$B$501,"",0)&amp;_xlfn.XLOOKUP(B143,'2627PR_Loading'!$Q$3:$Q$501,'2627PR_Loading'!$B$3:$B$501,"",0),"")</f>
        <v/>
      </c>
      <c r="K143" s="211" t="str">
        <f>IF(B143&lt;&gt;"",_xlfn.XLOOKUP(B143,'2627PR_Loading'!$E$3:$E$501,'2627PR_Loading'!$C$3:$C$501,"",0)&amp;_xlfn.XLOOKUP(B143,'2627PR_Loading'!$K$3:$K$501,'2627PR_Loading'!$C$3:$C$501,"",0)&amp;_xlfn.XLOOKUP(B143,'2627PR_Loading'!$Q$3:$Q$501,'2627PR_Loading'!$C$3:$C$501,"",0),"")</f>
        <v/>
      </c>
      <c r="P143" s="248" t="str">
        <f>IF(B143&lt;&gt;"",_xlfn.XLOOKUP(B143,'2627PR_Loading'!$E$3:$E$501,'2627PR_Loading'!$J$3:$J$501,"",0)&amp;_xlfn.XLOOKUP(B143,'2627PR_Loading'!$K$3:$K$501,'2627PR_Loading'!$P$3:$P$501,"",0)&amp;_xlfn.XLOOKUP(B143,'2627PR_Loading'!$Q$3:$Q$501,'2627PR_Loading'!$V$3:$V$501,"",0),"")</f>
        <v/>
      </c>
      <c r="Q143" s="98" t="str">
        <f>IF(B143&lt;&gt;"",_xlfn.XLOOKUP(B143,TableDispatch[Uniq Id],TableDispatch[Delivery Date],"",0),"")</f>
        <v/>
      </c>
      <c r="R143" s="98" t="str">
        <f>IF(B143&lt;&gt;"",_xlfn.XLOOKUP(B143,TableDispatch[Uniq Id],TableDispatch[Our Ch No.],"",0),"")</f>
        <v/>
      </c>
      <c r="T143" s="26" t="str">
        <f>IF(B143&lt;&gt;"",_xlfn.XLOOKUP(B143,TableDispatch[Uniq Id],TableDispatch[Eway Bill Out],"",0),"")</f>
        <v/>
      </c>
    </row>
    <row r="144" spans="5:20" x14ac:dyDescent="0.25">
      <c r="E144" s="99"/>
      <c r="J144" s="211" t="str">
        <f>IF(B144&lt;&gt;"",_xlfn.XLOOKUP(B144,'2627PR_Loading'!$E$3:$E$501,'2627PR_Loading'!$B$3:$B$501,"",0)&amp;_xlfn.XLOOKUP(B144,'2627PR_Loading'!$K$3:$K$501,'2627PR_Loading'!$B$3:$B$501,"",0)&amp;_xlfn.XLOOKUP(B144,'2627PR_Loading'!$Q$3:$Q$501,'2627PR_Loading'!$B$3:$B$501,"",0),"")</f>
        <v/>
      </c>
      <c r="K144" s="211" t="str">
        <f>IF(B144&lt;&gt;"",_xlfn.XLOOKUP(B144,'2627PR_Loading'!$E$3:$E$501,'2627PR_Loading'!$C$3:$C$501,"",0)&amp;_xlfn.XLOOKUP(B144,'2627PR_Loading'!$K$3:$K$501,'2627PR_Loading'!$C$3:$C$501,"",0)&amp;_xlfn.XLOOKUP(B144,'2627PR_Loading'!$Q$3:$Q$501,'2627PR_Loading'!$C$3:$C$501,"",0),"")</f>
        <v/>
      </c>
      <c r="P144" s="248" t="str">
        <f>IF(B144&lt;&gt;"",_xlfn.XLOOKUP(B144,'2627PR_Loading'!$E$3:$E$501,'2627PR_Loading'!$J$3:$J$501,"",0)&amp;_xlfn.XLOOKUP(B144,'2627PR_Loading'!$K$3:$K$501,'2627PR_Loading'!$P$3:$P$501,"",0)&amp;_xlfn.XLOOKUP(B144,'2627PR_Loading'!$Q$3:$Q$501,'2627PR_Loading'!$V$3:$V$501,"",0),"")</f>
        <v/>
      </c>
      <c r="Q144" s="98" t="str">
        <f>IF(B144&lt;&gt;"",_xlfn.XLOOKUP(B144,TableDispatch[Uniq Id],TableDispatch[Delivery Date],"",0),"")</f>
        <v/>
      </c>
      <c r="R144" s="98" t="str">
        <f>IF(B144&lt;&gt;"",_xlfn.XLOOKUP(B144,TableDispatch[Uniq Id],TableDispatch[Our Ch No.],"",0),"")</f>
        <v/>
      </c>
      <c r="T144" s="26" t="str">
        <f>IF(B144&lt;&gt;"",_xlfn.XLOOKUP(B144,TableDispatch[Uniq Id],TableDispatch[Eway Bill Out],"",0),"")</f>
        <v/>
      </c>
    </row>
    <row r="145" spans="5:20" x14ac:dyDescent="0.25">
      <c r="E145" s="99"/>
      <c r="J145" s="211" t="str">
        <f>IF(B145&lt;&gt;"",_xlfn.XLOOKUP(B145,'2627PR_Loading'!$E$3:$E$501,'2627PR_Loading'!$B$3:$B$501,"",0)&amp;_xlfn.XLOOKUP(B145,'2627PR_Loading'!$K$3:$K$501,'2627PR_Loading'!$B$3:$B$501,"",0)&amp;_xlfn.XLOOKUP(B145,'2627PR_Loading'!$Q$3:$Q$501,'2627PR_Loading'!$B$3:$B$501,"",0),"")</f>
        <v/>
      </c>
      <c r="K145" s="211" t="str">
        <f>IF(B145&lt;&gt;"",_xlfn.XLOOKUP(B145,'2627PR_Loading'!$E$3:$E$501,'2627PR_Loading'!$C$3:$C$501,"",0)&amp;_xlfn.XLOOKUP(B145,'2627PR_Loading'!$K$3:$K$501,'2627PR_Loading'!$C$3:$C$501,"",0)&amp;_xlfn.XLOOKUP(B145,'2627PR_Loading'!$Q$3:$Q$501,'2627PR_Loading'!$C$3:$C$501,"",0),"")</f>
        <v/>
      </c>
      <c r="P145" s="248" t="str">
        <f>IF(B145&lt;&gt;"",_xlfn.XLOOKUP(B145,'2627PR_Loading'!$E$3:$E$501,'2627PR_Loading'!$J$3:$J$501,"",0)&amp;_xlfn.XLOOKUP(B145,'2627PR_Loading'!$K$3:$K$501,'2627PR_Loading'!$P$3:$P$501,"",0)&amp;_xlfn.XLOOKUP(B145,'2627PR_Loading'!$Q$3:$Q$501,'2627PR_Loading'!$V$3:$V$501,"",0),"")</f>
        <v/>
      </c>
      <c r="Q145" s="98" t="str">
        <f>IF(B145&lt;&gt;"",_xlfn.XLOOKUP(B145,TableDispatch[Uniq Id],TableDispatch[Delivery Date],"",0),"")</f>
        <v/>
      </c>
      <c r="R145" s="98" t="str">
        <f>IF(B145&lt;&gt;"",_xlfn.XLOOKUP(B145,TableDispatch[Uniq Id],TableDispatch[Our Ch No.],"",0),"")</f>
        <v/>
      </c>
      <c r="T145" s="26" t="str">
        <f>IF(B145&lt;&gt;"",_xlfn.XLOOKUP(B145,TableDispatch[Uniq Id],TableDispatch[Eway Bill Out],"",0),"")</f>
        <v/>
      </c>
    </row>
    <row r="146" spans="5:20" x14ac:dyDescent="0.25">
      <c r="E146" s="99"/>
      <c r="J146" s="211" t="str">
        <f>IF(B146&lt;&gt;"",_xlfn.XLOOKUP(B146,'2627PR_Loading'!$E$3:$E$501,'2627PR_Loading'!$B$3:$B$501,"",0)&amp;_xlfn.XLOOKUP(B146,'2627PR_Loading'!$K$3:$K$501,'2627PR_Loading'!$B$3:$B$501,"",0)&amp;_xlfn.XLOOKUP(B146,'2627PR_Loading'!$Q$3:$Q$501,'2627PR_Loading'!$B$3:$B$501,"",0),"")</f>
        <v/>
      </c>
      <c r="K146" s="211" t="str">
        <f>IF(B146&lt;&gt;"",_xlfn.XLOOKUP(B146,'2627PR_Loading'!$E$3:$E$501,'2627PR_Loading'!$C$3:$C$501,"",0)&amp;_xlfn.XLOOKUP(B146,'2627PR_Loading'!$K$3:$K$501,'2627PR_Loading'!$C$3:$C$501,"",0)&amp;_xlfn.XLOOKUP(B146,'2627PR_Loading'!$Q$3:$Q$501,'2627PR_Loading'!$C$3:$C$501,"",0),"")</f>
        <v/>
      </c>
      <c r="P146" s="248" t="str">
        <f>IF(B146&lt;&gt;"",_xlfn.XLOOKUP(B146,'2627PR_Loading'!$E$3:$E$501,'2627PR_Loading'!$J$3:$J$501,"",0)&amp;_xlfn.XLOOKUP(B146,'2627PR_Loading'!$K$3:$K$501,'2627PR_Loading'!$P$3:$P$501,"",0)&amp;_xlfn.XLOOKUP(B146,'2627PR_Loading'!$Q$3:$Q$501,'2627PR_Loading'!$V$3:$V$501,"",0),"")</f>
        <v/>
      </c>
      <c r="Q146" s="98" t="str">
        <f>IF(B146&lt;&gt;"",_xlfn.XLOOKUP(B146,TableDispatch[Uniq Id],TableDispatch[Delivery Date],"",0),"")</f>
        <v/>
      </c>
      <c r="R146" s="98" t="str">
        <f>IF(B146&lt;&gt;"",_xlfn.XLOOKUP(B146,TableDispatch[Uniq Id],TableDispatch[Our Ch No.],"",0),"")</f>
        <v/>
      </c>
      <c r="T146" s="26" t="str">
        <f>IF(B146&lt;&gt;"",_xlfn.XLOOKUP(B146,TableDispatch[Uniq Id],TableDispatch[Eway Bill Out],"",0),"")</f>
        <v/>
      </c>
    </row>
    <row r="147" spans="5:20" x14ac:dyDescent="0.25">
      <c r="E147" s="99"/>
      <c r="J147" s="211" t="str">
        <f>IF(B147&lt;&gt;"",_xlfn.XLOOKUP(B147,'2627PR_Loading'!$E$3:$E$501,'2627PR_Loading'!$B$3:$B$501,"",0)&amp;_xlfn.XLOOKUP(B147,'2627PR_Loading'!$K$3:$K$501,'2627PR_Loading'!$B$3:$B$501,"",0)&amp;_xlfn.XLOOKUP(B147,'2627PR_Loading'!$Q$3:$Q$501,'2627PR_Loading'!$B$3:$B$501,"",0),"")</f>
        <v/>
      </c>
      <c r="K147" s="211" t="str">
        <f>IF(B147&lt;&gt;"",_xlfn.XLOOKUP(B147,'2627PR_Loading'!$E$3:$E$501,'2627PR_Loading'!$C$3:$C$501,"",0)&amp;_xlfn.XLOOKUP(B147,'2627PR_Loading'!$K$3:$K$501,'2627PR_Loading'!$C$3:$C$501,"",0)&amp;_xlfn.XLOOKUP(B147,'2627PR_Loading'!$Q$3:$Q$501,'2627PR_Loading'!$C$3:$C$501,"",0),"")</f>
        <v/>
      </c>
      <c r="P147" s="248" t="str">
        <f>IF(B147&lt;&gt;"",_xlfn.XLOOKUP(B147,'2627PR_Loading'!$E$3:$E$501,'2627PR_Loading'!$J$3:$J$501,"",0)&amp;_xlfn.XLOOKUP(B147,'2627PR_Loading'!$K$3:$K$501,'2627PR_Loading'!$P$3:$P$501,"",0)&amp;_xlfn.XLOOKUP(B147,'2627PR_Loading'!$Q$3:$Q$501,'2627PR_Loading'!$V$3:$V$501,"",0),"")</f>
        <v/>
      </c>
      <c r="Q147" s="98" t="str">
        <f>IF(B147&lt;&gt;"",_xlfn.XLOOKUP(B147,TableDispatch[Uniq Id],TableDispatch[Delivery Date],"",0),"")</f>
        <v/>
      </c>
      <c r="R147" s="98" t="str">
        <f>IF(B147&lt;&gt;"",_xlfn.XLOOKUP(B147,TableDispatch[Uniq Id],TableDispatch[Our Ch No.],"",0),"")</f>
        <v/>
      </c>
      <c r="T147" s="26" t="str">
        <f>IF(B147&lt;&gt;"",_xlfn.XLOOKUP(B147,TableDispatch[Uniq Id],TableDispatch[Eway Bill Out],"",0),"")</f>
        <v/>
      </c>
    </row>
    <row r="148" spans="5:20" x14ac:dyDescent="0.25">
      <c r="E148" s="99"/>
      <c r="J148" s="211" t="str">
        <f>IF(B148&lt;&gt;"",_xlfn.XLOOKUP(B148,'2627PR_Loading'!$E$3:$E$501,'2627PR_Loading'!$B$3:$B$501,"",0)&amp;_xlfn.XLOOKUP(B148,'2627PR_Loading'!$K$3:$K$501,'2627PR_Loading'!$B$3:$B$501,"",0)&amp;_xlfn.XLOOKUP(B148,'2627PR_Loading'!$Q$3:$Q$501,'2627PR_Loading'!$B$3:$B$501,"",0),"")</f>
        <v/>
      </c>
      <c r="K148" s="211" t="str">
        <f>IF(B148&lt;&gt;"",_xlfn.XLOOKUP(B148,'2627PR_Loading'!$E$3:$E$501,'2627PR_Loading'!$C$3:$C$501,"",0)&amp;_xlfn.XLOOKUP(B148,'2627PR_Loading'!$K$3:$K$501,'2627PR_Loading'!$C$3:$C$501,"",0)&amp;_xlfn.XLOOKUP(B148,'2627PR_Loading'!$Q$3:$Q$501,'2627PR_Loading'!$C$3:$C$501,"",0),"")</f>
        <v/>
      </c>
      <c r="P148" s="248" t="str">
        <f>IF(B148&lt;&gt;"",_xlfn.XLOOKUP(B148,'2627PR_Loading'!$E$3:$E$501,'2627PR_Loading'!$J$3:$J$501,"",0)&amp;_xlfn.XLOOKUP(B148,'2627PR_Loading'!$K$3:$K$501,'2627PR_Loading'!$P$3:$P$501,"",0)&amp;_xlfn.XLOOKUP(B148,'2627PR_Loading'!$Q$3:$Q$501,'2627PR_Loading'!$V$3:$V$501,"",0),"")</f>
        <v/>
      </c>
      <c r="Q148" s="98" t="str">
        <f>IF(B148&lt;&gt;"",_xlfn.XLOOKUP(B148,TableDispatch[Uniq Id],TableDispatch[Delivery Date],"",0),"")</f>
        <v/>
      </c>
      <c r="R148" s="98" t="str">
        <f>IF(B148&lt;&gt;"",_xlfn.XLOOKUP(B148,TableDispatch[Uniq Id],TableDispatch[Our Ch No.],"",0),"")</f>
        <v/>
      </c>
      <c r="T148" s="26" t="str">
        <f>IF(B148&lt;&gt;"",_xlfn.XLOOKUP(B148,TableDispatch[Uniq Id],TableDispatch[Eway Bill Out],"",0),"")</f>
        <v/>
      </c>
    </row>
    <row r="149" spans="5:20" x14ac:dyDescent="0.25">
      <c r="E149" s="99"/>
      <c r="J149" s="211" t="str">
        <f>IF(B149&lt;&gt;"",_xlfn.XLOOKUP(B149,'2627PR_Loading'!$E$3:$E$501,'2627PR_Loading'!$B$3:$B$501,"",0)&amp;_xlfn.XLOOKUP(B149,'2627PR_Loading'!$K$3:$K$501,'2627PR_Loading'!$B$3:$B$501,"",0)&amp;_xlfn.XLOOKUP(B149,'2627PR_Loading'!$Q$3:$Q$501,'2627PR_Loading'!$B$3:$B$501,"",0),"")</f>
        <v/>
      </c>
      <c r="K149" s="211" t="str">
        <f>IF(B149&lt;&gt;"",_xlfn.XLOOKUP(B149,'2627PR_Loading'!$E$3:$E$501,'2627PR_Loading'!$C$3:$C$501,"",0)&amp;_xlfn.XLOOKUP(B149,'2627PR_Loading'!$K$3:$K$501,'2627PR_Loading'!$C$3:$C$501,"",0)&amp;_xlfn.XLOOKUP(B149,'2627PR_Loading'!$Q$3:$Q$501,'2627PR_Loading'!$C$3:$C$501,"",0),"")</f>
        <v/>
      </c>
      <c r="P149" s="248" t="str">
        <f>IF(B149&lt;&gt;"",_xlfn.XLOOKUP(B149,'2627PR_Loading'!$E$3:$E$501,'2627PR_Loading'!$J$3:$J$501,"",0)&amp;_xlfn.XLOOKUP(B149,'2627PR_Loading'!$K$3:$K$501,'2627PR_Loading'!$P$3:$P$501,"",0)&amp;_xlfn.XLOOKUP(B149,'2627PR_Loading'!$Q$3:$Q$501,'2627PR_Loading'!$V$3:$V$501,"",0),"")</f>
        <v/>
      </c>
      <c r="Q149" s="98" t="str">
        <f>IF(B149&lt;&gt;"",_xlfn.XLOOKUP(B149,TableDispatch[Uniq Id],TableDispatch[Delivery Date],"",0),"")</f>
        <v/>
      </c>
      <c r="R149" s="98" t="str">
        <f>IF(B149&lt;&gt;"",_xlfn.XLOOKUP(B149,TableDispatch[Uniq Id],TableDispatch[Our Ch No.],"",0),"")</f>
        <v/>
      </c>
      <c r="T149" s="26" t="str">
        <f>IF(B149&lt;&gt;"",_xlfn.XLOOKUP(B149,TableDispatch[Uniq Id],TableDispatch[Eway Bill Out],"",0),"")</f>
        <v/>
      </c>
    </row>
    <row r="150" spans="5:20" x14ac:dyDescent="0.25">
      <c r="E150" s="99"/>
      <c r="J150" s="211" t="str">
        <f>IF(B150&lt;&gt;"",_xlfn.XLOOKUP(B150,'2627PR_Loading'!$E$3:$E$501,'2627PR_Loading'!$B$3:$B$501,"",0)&amp;_xlfn.XLOOKUP(B150,'2627PR_Loading'!$K$3:$K$501,'2627PR_Loading'!$B$3:$B$501,"",0)&amp;_xlfn.XLOOKUP(B150,'2627PR_Loading'!$Q$3:$Q$501,'2627PR_Loading'!$B$3:$B$501,"",0),"")</f>
        <v/>
      </c>
      <c r="K150" s="211" t="str">
        <f>IF(B150&lt;&gt;"",_xlfn.XLOOKUP(B150,'2627PR_Loading'!$E$3:$E$501,'2627PR_Loading'!$C$3:$C$501,"",0)&amp;_xlfn.XLOOKUP(B150,'2627PR_Loading'!$K$3:$K$501,'2627PR_Loading'!$C$3:$C$501,"",0)&amp;_xlfn.XLOOKUP(B150,'2627PR_Loading'!$Q$3:$Q$501,'2627PR_Loading'!$C$3:$C$501,"",0),"")</f>
        <v/>
      </c>
      <c r="P150" s="248" t="str">
        <f>IF(B150&lt;&gt;"",_xlfn.XLOOKUP(B150,'2627PR_Loading'!$E$3:$E$501,'2627PR_Loading'!$J$3:$J$501,"",0)&amp;_xlfn.XLOOKUP(B150,'2627PR_Loading'!$K$3:$K$501,'2627PR_Loading'!$P$3:$P$501,"",0)&amp;_xlfn.XLOOKUP(B150,'2627PR_Loading'!$Q$3:$Q$501,'2627PR_Loading'!$V$3:$V$501,"",0),"")</f>
        <v/>
      </c>
      <c r="Q150" s="98" t="str">
        <f>IF(B150&lt;&gt;"",_xlfn.XLOOKUP(B150,TableDispatch[Uniq Id],TableDispatch[Delivery Date],"",0),"")</f>
        <v/>
      </c>
      <c r="R150" s="98" t="str">
        <f>IF(B150&lt;&gt;"",_xlfn.XLOOKUP(B150,TableDispatch[Uniq Id],TableDispatch[Our Ch No.],"",0),"")</f>
        <v/>
      </c>
      <c r="T150" s="26" t="str">
        <f>IF(B150&lt;&gt;"",_xlfn.XLOOKUP(B150,TableDispatch[Uniq Id],TableDispatch[Eway Bill Out],"",0),"")</f>
        <v/>
      </c>
    </row>
    <row r="151" spans="5:20" x14ac:dyDescent="0.25">
      <c r="E151" s="99"/>
      <c r="J151" s="211" t="str">
        <f>IF(B151&lt;&gt;"",_xlfn.XLOOKUP(B151,'2627PR_Loading'!$E$3:$E$501,'2627PR_Loading'!$B$3:$B$501,"",0)&amp;_xlfn.XLOOKUP(B151,'2627PR_Loading'!$K$3:$K$501,'2627PR_Loading'!$B$3:$B$501,"",0)&amp;_xlfn.XLOOKUP(B151,'2627PR_Loading'!$Q$3:$Q$501,'2627PR_Loading'!$B$3:$B$501,"",0),"")</f>
        <v/>
      </c>
      <c r="K151" s="211" t="str">
        <f>IF(B151&lt;&gt;"",_xlfn.XLOOKUP(B151,'2627PR_Loading'!$E$3:$E$501,'2627PR_Loading'!$C$3:$C$501,"",0)&amp;_xlfn.XLOOKUP(B151,'2627PR_Loading'!$K$3:$K$501,'2627PR_Loading'!$C$3:$C$501,"",0)&amp;_xlfn.XLOOKUP(B151,'2627PR_Loading'!$Q$3:$Q$501,'2627PR_Loading'!$C$3:$C$501,"",0),"")</f>
        <v/>
      </c>
      <c r="P151" s="248" t="str">
        <f>IF(B151&lt;&gt;"",_xlfn.XLOOKUP(B151,'2627PR_Loading'!$E$3:$E$501,'2627PR_Loading'!$J$3:$J$501,"",0)&amp;_xlfn.XLOOKUP(B151,'2627PR_Loading'!$K$3:$K$501,'2627PR_Loading'!$P$3:$P$501,"",0)&amp;_xlfn.XLOOKUP(B151,'2627PR_Loading'!$Q$3:$Q$501,'2627PR_Loading'!$V$3:$V$501,"",0),"")</f>
        <v/>
      </c>
      <c r="Q151" s="98" t="str">
        <f>IF(B151&lt;&gt;"",_xlfn.XLOOKUP(B151,TableDispatch[Uniq Id],TableDispatch[Delivery Date],"",0),"")</f>
        <v/>
      </c>
      <c r="R151" s="98" t="str">
        <f>IF(B151&lt;&gt;"",_xlfn.XLOOKUP(B151,TableDispatch[Uniq Id],TableDispatch[Our Ch No.],"",0),"")</f>
        <v/>
      </c>
      <c r="T151" s="26" t="str">
        <f>IF(B151&lt;&gt;"",_xlfn.XLOOKUP(B151,TableDispatch[Uniq Id],TableDispatch[Eway Bill Out],"",0),"")</f>
        <v/>
      </c>
    </row>
    <row r="152" spans="5:20" x14ac:dyDescent="0.25">
      <c r="E152" s="99"/>
      <c r="J152" s="211" t="str">
        <f>IF(B152&lt;&gt;"",_xlfn.XLOOKUP(B152,'2627PR_Loading'!$E$3:$E$501,'2627PR_Loading'!$B$3:$B$501,"",0)&amp;_xlfn.XLOOKUP(B152,'2627PR_Loading'!$K$3:$K$501,'2627PR_Loading'!$B$3:$B$501,"",0)&amp;_xlfn.XLOOKUP(B152,'2627PR_Loading'!$Q$3:$Q$501,'2627PR_Loading'!$B$3:$B$501,"",0),"")</f>
        <v/>
      </c>
      <c r="K152" s="211" t="str">
        <f>IF(B152&lt;&gt;"",_xlfn.XLOOKUP(B152,'2627PR_Loading'!$E$3:$E$501,'2627PR_Loading'!$C$3:$C$501,"",0)&amp;_xlfn.XLOOKUP(B152,'2627PR_Loading'!$K$3:$K$501,'2627PR_Loading'!$C$3:$C$501,"",0)&amp;_xlfn.XLOOKUP(B152,'2627PR_Loading'!$Q$3:$Q$501,'2627PR_Loading'!$C$3:$C$501,"",0),"")</f>
        <v/>
      </c>
      <c r="P152" s="248" t="str">
        <f>IF(B152&lt;&gt;"",_xlfn.XLOOKUP(B152,'2627PR_Loading'!$E$3:$E$501,'2627PR_Loading'!$J$3:$J$501,"",0)&amp;_xlfn.XLOOKUP(B152,'2627PR_Loading'!$K$3:$K$501,'2627PR_Loading'!$P$3:$P$501,"",0)&amp;_xlfn.XLOOKUP(B152,'2627PR_Loading'!$Q$3:$Q$501,'2627PR_Loading'!$V$3:$V$501,"",0),"")</f>
        <v/>
      </c>
      <c r="Q152" s="98" t="str">
        <f>IF(B152&lt;&gt;"",_xlfn.XLOOKUP(B152,TableDispatch[Uniq Id],TableDispatch[Delivery Date],"",0),"")</f>
        <v/>
      </c>
      <c r="R152" s="98" t="str">
        <f>IF(B152&lt;&gt;"",_xlfn.XLOOKUP(B152,TableDispatch[Uniq Id],TableDispatch[Our Ch No.],"",0),"")</f>
        <v/>
      </c>
      <c r="T152" s="26" t="str">
        <f>IF(B152&lt;&gt;"",_xlfn.XLOOKUP(B152,TableDispatch[Uniq Id],TableDispatch[Eway Bill Out],"",0),"")</f>
        <v/>
      </c>
    </row>
    <row r="153" spans="5:20" x14ac:dyDescent="0.25">
      <c r="E153" s="99"/>
      <c r="J153" s="211" t="str">
        <f>IF(B153&lt;&gt;"",_xlfn.XLOOKUP(B153,'2627PR_Loading'!$E$3:$E$501,'2627PR_Loading'!$B$3:$B$501,"",0)&amp;_xlfn.XLOOKUP(B153,'2627PR_Loading'!$K$3:$K$501,'2627PR_Loading'!$B$3:$B$501,"",0)&amp;_xlfn.XLOOKUP(B153,'2627PR_Loading'!$Q$3:$Q$501,'2627PR_Loading'!$B$3:$B$501,"",0),"")</f>
        <v/>
      </c>
      <c r="K153" s="211" t="str">
        <f>IF(B153&lt;&gt;"",_xlfn.XLOOKUP(B153,'2627PR_Loading'!$E$3:$E$501,'2627PR_Loading'!$C$3:$C$501,"",0)&amp;_xlfn.XLOOKUP(B153,'2627PR_Loading'!$K$3:$K$501,'2627PR_Loading'!$C$3:$C$501,"",0)&amp;_xlfn.XLOOKUP(B153,'2627PR_Loading'!$Q$3:$Q$501,'2627PR_Loading'!$C$3:$C$501,"",0),"")</f>
        <v/>
      </c>
      <c r="P153" s="248" t="str">
        <f>IF(B153&lt;&gt;"",_xlfn.XLOOKUP(B153,'2627PR_Loading'!$E$3:$E$501,'2627PR_Loading'!$J$3:$J$501,"",0)&amp;_xlfn.XLOOKUP(B153,'2627PR_Loading'!$K$3:$K$501,'2627PR_Loading'!$P$3:$P$501,"",0)&amp;_xlfn.XLOOKUP(B153,'2627PR_Loading'!$Q$3:$Q$501,'2627PR_Loading'!$V$3:$V$501,"",0),"")</f>
        <v/>
      </c>
      <c r="Q153" s="98" t="str">
        <f>IF(B153&lt;&gt;"",_xlfn.XLOOKUP(B153,TableDispatch[Uniq Id],TableDispatch[Delivery Date],"",0),"")</f>
        <v/>
      </c>
      <c r="R153" s="98" t="str">
        <f>IF(B153&lt;&gt;"",_xlfn.XLOOKUP(B153,TableDispatch[Uniq Id],TableDispatch[Our Ch No.],"",0),"")</f>
        <v/>
      </c>
      <c r="T153" s="26" t="str">
        <f>IF(B153&lt;&gt;"",_xlfn.XLOOKUP(B153,TableDispatch[Uniq Id],TableDispatch[Eway Bill Out],"",0),"")</f>
        <v/>
      </c>
    </row>
    <row r="154" spans="5:20" x14ac:dyDescent="0.25">
      <c r="E154" s="99"/>
      <c r="J154" s="211" t="str">
        <f>IF(B154&lt;&gt;"",_xlfn.XLOOKUP(B154,'2627PR_Loading'!$E$3:$E$501,'2627PR_Loading'!$B$3:$B$501,"",0)&amp;_xlfn.XLOOKUP(B154,'2627PR_Loading'!$K$3:$K$501,'2627PR_Loading'!$B$3:$B$501,"",0)&amp;_xlfn.XLOOKUP(B154,'2627PR_Loading'!$Q$3:$Q$501,'2627PR_Loading'!$B$3:$B$501,"",0),"")</f>
        <v/>
      </c>
      <c r="K154" s="211" t="str">
        <f>IF(B154&lt;&gt;"",_xlfn.XLOOKUP(B154,'2627PR_Loading'!$E$3:$E$501,'2627PR_Loading'!$C$3:$C$501,"",0)&amp;_xlfn.XLOOKUP(B154,'2627PR_Loading'!$K$3:$K$501,'2627PR_Loading'!$C$3:$C$501,"",0)&amp;_xlfn.XLOOKUP(B154,'2627PR_Loading'!$Q$3:$Q$501,'2627PR_Loading'!$C$3:$C$501,"",0),"")</f>
        <v/>
      </c>
      <c r="P154" s="248" t="str">
        <f>IF(B154&lt;&gt;"",_xlfn.XLOOKUP(B154,'2627PR_Loading'!$E$3:$E$501,'2627PR_Loading'!$J$3:$J$501,"",0)&amp;_xlfn.XLOOKUP(B154,'2627PR_Loading'!$K$3:$K$501,'2627PR_Loading'!$P$3:$P$501,"",0)&amp;_xlfn.XLOOKUP(B154,'2627PR_Loading'!$Q$3:$Q$501,'2627PR_Loading'!$V$3:$V$501,"",0),"")</f>
        <v/>
      </c>
      <c r="Q154" s="98" t="str">
        <f>IF(B154&lt;&gt;"",_xlfn.XLOOKUP(B154,TableDispatch[Uniq Id],TableDispatch[Delivery Date],"",0),"")</f>
        <v/>
      </c>
      <c r="R154" s="98" t="str">
        <f>IF(B154&lt;&gt;"",_xlfn.XLOOKUP(B154,TableDispatch[Uniq Id],TableDispatch[Our Ch No.],"",0),"")</f>
        <v/>
      </c>
      <c r="T154" s="26" t="str">
        <f>IF(B154&lt;&gt;"",_xlfn.XLOOKUP(B154,TableDispatch[Uniq Id],TableDispatch[Eway Bill Out],"",0),"")</f>
        <v/>
      </c>
    </row>
    <row r="155" spans="5:20" x14ac:dyDescent="0.25">
      <c r="E155" s="99"/>
      <c r="J155" s="211" t="str">
        <f>IF(B155&lt;&gt;"",_xlfn.XLOOKUP(B155,'2627PR_Loading'!$E$3:$E$501,'2627PR_Loading'!$B$3:$B$501,"",0)&amp;_xlfn.XLOOKUP(B155,'2627PR_Loading'!$K$3:$K$501,'2627PR_Loading'!$B$3:$B$501,"",0)&amp;_xlfn.XLOOKUP(B155,'2627PR_Loading'!$Q$3:$Q$501,'2627PR_Loading'!$B$3:$B$501,"",0),"")</f>
        <v/>
      </c>
      <c r="K155" s="211" t="str">
        <f>IF(B155&lt;&gt;"",_xlfn.XLOOKUP(B155,'2627PR_Loading'!$E$3:$E$501,'2627PR_Loading'!$C$3:$C$501,"",0)&amp;_xlfn.XLOOKUP(B155,'2627PR_Loading'!$K$3:$K$501,'2627PR_Loading'!$C$3:$C$501,"",0)&amp;_xlfn.XLOOKUP(B155,'2627PR_Loading'!$Q$3:$Q$501,'2627PR_Loading'!$C$3:$C$501,"",0),"")</f>
        <v/>
      </c>
      <c r="P155" s="248" t="str">
        <f>IF(B155&lt;&gt;"",_xlfn.XLOOKUP(B155,'2627PR_Loading'!$E$3:$E$501,'2627PR_Loading'!$J$3:$J$501,"",0)&amp;_xlfn.XLOOKUP(B155,'2627PR_Loading'!$K$3:$K$501,'2627PR_Loading'!$P$3:$P$501,"",0)&amp;_xlfn.XLOOKUP(B155,'2627PR_Loading'!$Q$3:$Q$501,'2627PR_Loading'!$V$3:$V$501,"",0),"")</f>
        <v/>
      </c>
      <c r="Q155" s="98" t="str">
        <f>IF(B155&lt;&gt;"",_xlfn.XLOOKUP(B155,TableDispatch[Uniq Id],TableDispatch[Delivery Date],"",0),"")</f>
        <v/>
      </c>
      <c r="R155" s="98" t="str">
        <f>IF(B155&lt;&gt;"",_xlfn.XLOOKUP(B155,TableDispatch[Uniq Id],TableDispatch[Our Ch No.],"",0),"")</f>
        <v/>
      </c>
      <c r="T155" s="26" t="str">
        <f>IF(B155&lt;&gt;"",_xlfn.XLOOKUP(B155,TableDispatch[Uniq Id],TableDispatch[Eway Bill Out],"",0),"")</f>
        <v/>
      </c>
    </row>
    <row r="156" spans="5:20" x14ac:dyDescent="0.25">
      <c r="E156" s="99"/>
      <c r="J156" s="211" t="str">
        <f>IF(B156&lt;&gt;"",_xlfn.XLOOKUP(B156,'2627PR_Loading'!$E$3:$E$501,'2627PR_Loading'!$B$3:$B$501,"",0)&amp;_xlfn.XLOOKUP(B156,'2627PR_Loading'!$K$3:$K$501,'2627PR_Loading'!$B$3:$B$501,"",0)&amp;_xlfn.XLOOKUP(B156,'2627PR_Loading'!$Q$3:$Q$501,'2627PR_Loading'!$B$3:$B$501,"",0),"")</f>
        <v/>
      </c>
      <c r="K156" s="211" t="str">
        <f>IF(B156&lt;&gt;"",_xlfn.XLOOKUP(B156,'2627PR_Loading'!$E$3:$E$501,'2627PR_Loading'!$C$3:$C$501,"",0)&amp;_xlfn.XLOOKUP(B156,'2627PR_Loading'!$K$3:$K$501,'2627PR_Loading'!$C$3:$C$501,"",0)&amp;_xlfn.XLOOKUP(B156,'2627PR_Loading'!$Q$3:$Q$501,'2627PR_Loading'!$C$3:$C$501,"",0),"")</f>
        <v/>
      </c>
      <c r="P156" s="248" t="str">
        <f>IF(B156&lt;&gt;"",_xlfn.XLOOKUP(B156,'2627PR_Loading'!$E$3:$E$501,'2627PR_Loading'!$J$3:$J$501,"",0)&amp;_xlfn.XLOOKUP(B156,'2627PR_Loading'!$K$3:$K$501,'2627PR_Loading'!$P$3:$P$501,"",0)&amp;_xlfn.XLOOKUP(B156,'2627PR_Loading'!$Q$3:$Q$501,'2627PR_Loading'!$V$3:$V$501,"",0),"")</f>
        <v/>
      </c>
      <c r="Q156" s="98" t="str">
        <f>IF(B156&lt;&gt;"",_xlfn.XLOOKUP(B156,TableDispatch[Uniq Id],TableDispatch[Delivery Date],"",0),"")</f>
        <v/>
      </c>
      <c r="R156" s="98" t="str">
        <f>IF(B156&lt;&gt;"",_xlfn.XLOOKUP(B156,TableDispatch[Uniq Id],TableDispatch[Our Ch No.],"",0),"")</f>
        <v/>
      </c>
      <c r="T156" s="26" t="str">
        <f>IF(B156&lt;&gt;"",_xlfn.XLOOKUP(B156,TableDispatch[Uniq Id],TableDispatch[Eway Bill Out],"",0),"")</f>
        <v/>
      </c>
    </row>
    <row r="157" spans="5:20" x14ac:dyDescent="0.25">
      <c r="E157" s="99"/>
      <c r="J157" s="211" t="str">
        <f>IF(B157&lt;&gt;"",_xlfn.XLOOKUP(B157,'2627PR_Loading'!$E$3:$E$501,'2627PR_Loading'!$B$3:$B$501,"",0)&amp;_xlfn.XLOOKUP(B157,'2627PR_Loading'!$K$3:$K$501,'2627PR_Loading'!$B$3:$B$501,"",0)&amp;_xlfn.XLOOKUP(B157,'2627PR_Loading'!$Q$3:$Q$501,'2627PR_Loading'!$B$3:$B$501,"",0),"")</f>
        <v/>
      </c>
      <c r="K157" s="211" t="str">
        <f>IF(B157&lt;&gt;"",_xlfn.XLOOKUP(B157,'2627PR_Loading'!$E$3:$E$501,'2627PR_Loading'!$C$3:$C$501,"",0)&amp;_xlfn.XLOOKUP(B157,'2627PR_Loading'!$K$3:$K$501,'2627PR_Loading'!$C$3:$C$501,"",0)&amp;_xlfn.XLOOKUP(B157,'2627PR_Loading'!$Q$3:$Q$501,'2627PR_Loading'!$C$3:$C$501,"",0),"")</f>
        <v/>
      </c>
      <c r="P157" s="248" t="str">
        <f>IF(B157&lt;&gt;"",_xlfn.XLOOKUP(B157,'2627PR_Loading'!$E$3:$E$501,'2627PR_Loading'!$J$3:$J$501,"",0)&amp;_xlfn.XLOOKUP(B157,'2627PR_Loading'!$K$3:$K$501,'2627PR_Loading'!$P$3:$P$501,"",0)&amp;_xlfn.XLOOKUP(B157,'2627PR_Loading'!$Q$3:$Q$501,'2627PR_Loading'!$V$3:$V$501,"",0),"")</f>
        <v/>
      </c>
      <c r="Q157" s="98" t="str">
        <f>IF(B157&lt;&gt;"",_xlfn.XLOOKUP(B157,TableDispatch[Uniq Id],TableDispatch[Delivery Date],"",0),"")</f>
        <v/>
      </c>
      <c r="R157" s="98" t="str">
        <f>IF(B157&lt;&gt;"",_xlfn.XLOOKUP(B157,TableDispatch[Uniq Id],TableDispatch[Our Ch No.],"",0),"")</f>
        <v/>
      </c>
      <c r="T157" s="26" t="str">
        <f>IF(B157&lt;&gt;"",_xlfn.XLOOKUP(B157,TableDispatch[Uniq Id],TableDispatch[Eway Bill Out],"",0),"")</f>
        <v/>
      </c>
    </row>
    <row r="158" spans="5:20" x14ac:dyDescent="0.25">
      <c r="E158" s="99"/>
      <c r="J158" s="211" t="str">
        <f>IF(B158&lt;&gt;"",_xlfn.XLOOKUP(B158,'2627PR_Loading'!$E$3:$E$501,'2627PR_Loading'!$B$3:$B$501,"",0)&amp;_xlfn.XLOOKUP(B158,'2627PR_Loading'!$K$3:$K$501,'2627PR_Loading'!$B$3:$B$501,"",0)&amp;_xlfn.XLOOKUP(B158,'2627PR_Loading'!$Q$3:$Q$501,'2627PR_Loading'!$B$3:$B$501,"",0),"")</f>
        <v/>
      </c>
      <c r="K158" s="211" t="str">
        <f>IF(B158&lt;&gt;"",_xlfn.XLOOKUP(B158,'2627PR_Loading'!$E$3:$E$501,'2627PR_Loading'!$C$3:$C$501,"",0)&amp;_xlfn.XLOOKUP(B158,'2627PR_Loading'!$K$3:$K$501,'2627PR_Loading'!$C$3:$C$501,"",0)&amp;_xlfn.XLOOKUP(B158,'2627PR_Loading'!$Q$3:$Q$501,'2627PR_Loading'!$C$3:$C$501,"",0),"")</f>
        <v/>
      </c>
      <c r="P158" s="248" t="str">
        <f>IF(B158&lt;&gt;"",_xlfn.XLOOKUP(B158,'2627PR_Loading'!$E$3:$E$501,'2627PR_Loading'!$J$3:$J$501,"",0)&amp;_xlfn.XLOOKUP(B158,'2627PR_Loading'!$K$3:$K$501,'2627PR_Loading'!$P$3:$P$501,"",0)&amp;_xlfn.XLOOKUP(B158,'2627PR_Loading'!$Q$3:$Q$501,'2627PR_Loading'!$V$3:$V$501,"",0),"")</f>
        <v/>
      </c>
      <c r="Q158" s="98" t="str">
        <f>IF(B158&lt;&gt;"",_xlfn.XLOOKUP(B158,TableDispatch[Uniq Id],TableDispatch[Delivery Date],"",0),"")</f>
        <v/>
      </c>
      <c r="R158" s="98" t="str">
        <f>IF(B158&lt;&gt;"",_xlfn.XLOOKUP(B158,TableDispatch[Uniq Id],TableDispatch[Our Ch No.],"",0),"")</f>
        <v/>
      </c>
      <c r="T158" s="26" t="str">
        <f>IF(B158&lt;&gt;"",_xlfn.XLOOKUP(B158,TableDispatch[Uniq Id],TableDispatch[Eway Bill Out],"",0),"")</f>
        <v/>
      </c>
    </row>
    <row r="159" spans="5:20" x14ac:dyDescent="0.25">
      <c r="E159" s="99"/>
      <c r="J159" s="211" t="str">
        <f>IF(B159&lt;&gt;"",_xlfn.XLOOKUP(B159,'2627PR_Loading'!$E$3:$E$501,'2627PR_Loading'!$B$3:$B$501,"",0)&amp;_xlfn.XLOOKUP(B159,'2627PR_Loading'!$K$3:$K$501,'2627PR_Loading'!$B$3:$B$501,"",0)&amp;_xlfn.XLOOKUP(B159,'2627PR_Loading'!$Q$3:$Q$501,'2627PR_Loading'!$B$3:$B$501,"",0),"")</f>
        <v/>
      </c>
      <c r="K159" s="211" t="str">
        <f>IF(B159&lt;&gt;"",_xlfn.XLOOKUP(B159,'2627PR_Loading'!$E$3:$E$501,'2627PR_Loading'!$C$3:$C$501,"",0)&amp;_xlfn.XLOOKUP(B159,'2627PR_Loading'!$K$3:$K$501,'2627PR_Loading'!$C$3:$C$501,"",0)&amp;_xlfn.XLOOKUP(B159,'2627PR_Loading'!$Q$3:$Q$501,'2627PR_Loading'!$C$3:$C$501,"",0),"")</f>
        <v/>
      </c>
      <c r="P159" s="248" t="str">
        <f>IF(B159&lt;&gt;"",_xlfn.XLOOKUP(B159,'2627PR_Loading'!$E$3:$E$501,'2627PR_Loading'!$J$3:$J$501,"",0)&amp;_xlfn.XLOOKUP(B159,'2627PR_Loading'!$K$3:$K$501,'2627PR_Loading'!$P$3:$P$501,"",0)&amp;_xlfn.XLOOKUP(B159,'2627PR_Loading'!$Q$3:$Q$501,'2627PR_Loading'!$V$3:$V$501,"",0),"")</f>
        <v/>
      </c>
      <c r="Q159" s="98" t="str">
        <f>IF(B159&lt;&gt;"",_xlfn.XLOOKUP(B159,TableDispatch[Uniq Id],TableDispatch[Delivery Date],"",0),"")</f>
        <v/>
      </c>
      <c r="R159" s="98" t="str">
        <f>IF(B159&lt;&gt;"",_xlfn.XLOOKUP(B159,TableDispatch[Uniq Id],TableDispatch[Our Ch No.],"",0),"")</f>
        <v/>
      </c>
      <c r="T159" s="26" t="str">
        <f>IF(B159&lt;&gt;"",_xlfn.XLOOKUP(B159,TableDispatch[Uniq Id],TableDispatch[Eway Bill Out],"",0),"")</f>
        <v/>
      </c>
    </row>
    <row r="160" spans="5:20" x14ac:dyDescent="0.25">
      <c r="E160" s="99"/>
      <c r="J160" s="211" t="str">
        <f>IF(B160&lt;&gt;"",_xlfn.XLOOKUP(B160,'2627PR_Loading'!$E$3:$E$501,'2627PR_Loading'!$B$3:$B$501,"",0)&amp;_xlfn.XLOOKUP(B160,'2627PR_Loading'!$K$3:$K$501,'2627PR_Loading'!$B$3:$B$501,"",0)&amp;_xlfn.XLOOKUP(B160,'2627PR_Loading'!$Q$3:$Q$501,'2627PR_Loading'!$B$3:$B$501,"",0),"")</f>
        <v/>
      </c>
      <c r="K160" s="211" t="str">
        <f>IF(B160&lt;&gt;"",_xlfn.XLOOKUP(B160,'2627PR_Loading'!$E$3:$E$501,'2627PR_Loading'!$C$3:$C$501,"",0)&amp;_xlfn.XLOOKUP(B160,'2627PR_Loading'!$K$3:$K$501,'2627PR_Loading'!$C$3:$C$501,"",0)&amp;_xlfn.XLOOKUP(B160,'2627PR_Loading'!$Q$3:$Q$501,'2627PR_Loading'!$C$3:$C$501,"",0),"")</f>
        <v/>
      </c>
      <c r="P160" s="248" t="str">
        <f>IF(B160&lt;&gt;"",_xlfn.XLOOKUP(B160,'2627PR_Loading'!$E$3:$E$501,'2627PR_Loading'!$J$3:$J$501,"",0)&amp;_xlfn.XLOOKUP(B160,'2627PR_Loading'!$K$3:$K$501,'2627PR_Loading'!$P$3:$P$501,"",0)&amp;_xlfn.XLOOKUP(B160,'2627PR_Loading'!$Q$3:$Q$501,'2627PR_Loading'!$V$3:$V$501,"",0),"")</f>
        <v/>
      </c>
      <c r="Q160" s="98" t="str">
        <f>IF(B160&lt;&gt;"",_xlfn.XLOOKUP(B160,TableDispatch[Uniq Id],TableDispatch[Delivery Date],"",0),"")</f>
        <v/>
      </c>
      <c r="R160" s="98" t="str">
        <f>IF(B160&lt;&gt;"",_xlfn.XLOOKUP(B160,TableDispatch[Uniq Id],TableDispatch[Our Ch No.],"",0),"")</f>
        <v/>
      </c>
      <c r="T160" s="26" t="str">
        <f>IF(B160&lt;&gt;"",_xlfn.XLOOKUP(B160,TableDispatch[Uniq Id],TableDispatch[Eway Bill Out],"",0),"")</f>
        <v/>
      </c>
    </row>
    <row r="161" spans="5:20" x14ac:dyDescent="0.25">
      <c r="E161" s="99"/>
      <c r="J161" s="211" t="str">
        <f>IF(B161&lt;&gt;"",_xlfn.XLOOKUP(B161,'2627PR_Loading'!$E$3:$E$501,'2627PR_Loading'!$B$3:$B$501,"",0)&amp;_xlfn.XLOOKUP(B161,'2627PR_Loading'!$K$3:$K$501,'2627PR_Loading'!$B$3:$B$501,"",0)&amp;_xlfn.XLOOKUP(B161,'2627PR_Loading'!$Q$3:$Q$501,'2627PR_Loading'!$B$3:$B$501,"",0),"")</f>
        <v/>
      </c>
      <c r="K161" s="211" t="str">
        <f>IF(B161&lt;&gt;"",_xlfn.XLOOKUP(B161,'2627PR_Loading'!$E$3:$E$501,'2627PR_Loading'!$C$3:$C$501,"",0)&amp;_xlfn.XLOOKUP(B161,'2627PR_Loading'!$K$3:$K$501,'2627PR_Loading'!$C$3:$C$501,"",0)&amp;_xlfn.XLOOKUP(B161,'2627PR_Loading'!$Q$3:$Q$501,'2627PR_Loading'!$C$3:$C$501,"",0),"")</f>
        <v/>
      </c>
      <c r="P161" s="248" t="str">
        <f>IF(B161&lt;&gt;"",_xlfn.XLOOKUP(B161,'2627PR_Loading'!$E$3:$E$501,'2627PR_Loading'!$J$3:$J$501,"",0)&amp;_xlfn.XLOOKUP(B161,'2627PR_Loading'!$K$3:$K$501,'2627PR_Loading'!$P$3:$P$501,"",0)&amp;_xlfn.XLOOKUP(B161,'2627PR_Loading'!$Q$3:$Q$501,'2627PR_Loading'!$V$3:$V$501,"",0),"")</f>
        <v/>
      </c>
      <c r="Q161" s="98" t="str">
        <f>IF(B161&lt;&gt;"",_xlfn.XLOOKUP(B161,TableDispatch[Uniq Id],TableDispatch[Delivery Date],"",0),"")</f>
        <v/>
      </c>
      <c r="R161" s="98" t="str">
        <f>IF(B161&lt;&gt;"",_xlfn.XLOOKUP(B161,TableDispatch[Uniq Id],TableDispatch[Our Ch No.],"",0),"")</f>
        <v/>
      </c>
      <c r="T161" s="26" t="str">
        <f>IF(B161&lt;&gt;"",_xlfn.XLOOKUP(B161,TableDispatch[Uniq Id],TableDispatch[Eway Bill Out],"",0),"")</f>
        <v/>
      </c>
    </row>
    <row r="162" spans="5:20" x14ac:dyDescent="0.25">
      <c r="E162" s="99"/>
      <c r="J162" s="211" t="str">
        <f>IF(B162&lt;&gt;"",_xlfn.XLOOKUP(B162,'2627PR_Loading'!$E$3:$E$501,'2627PR_Loading'!$B$3:$B$501,"",0)&amp;_xlfn.XLOOKUP(B162,'2627PR_Loading'!$K$3:$K$501,'2627PR_Loading'!$B$3:$B$501,"",0)&amp;_xlfn.XLOOKUP(B162,'2627PR_Loading'!$Q$3:$Q$501,'2627PR_Loading'!$B$3:$B$501,"",0),"")</f>
        <v/>
      </c>
      <c r="K162" s="211" t="str">
        <f>IF(B162&lt;&gt;"",_xlfn.XLOOKUP(B162,'2627PR_Loading'!$E$3:$E$501,'2627PR_Loading'!$C$3:$C$501,"",0)&amp;_xlfn.XLOOKUP(B162,'2627PR_Loading'!$K$3:$K$501,'2627PR_Loading'!$C$3:$C$501,"",0)&amp;_xlfn.XLOOKUP(B162,'2627PR_Loading'!$Q$3:$Q$501,'2627PR_Loading'!$C$3:$C$501,"",0),"")</f>
        <v/>
      </c>
      <c r="P162" s="248" t="str">
        <f>IF(B162&lt;&gt;"",_xlfn.XLOOKUP(B162,'2627PR_Loading'!$E$3:$E$501,'2627PR_Loading'!$J$3:$J$501,"",0)&amp;_xlfn.XLOOKUP(B162,'2627PR_Loading'!$K$3:$K$501,'2627PR_Loading'!$P$3:$P$501,"",0)&amp;_xlfn.XLOOKUP(B162,'2627PR_Loading'!$Q$3:$Q$501,'2627PR_Loading'!$V$3:$V$501,"",0),"")</f>
        <v/>
      </c>
      <c r="Q162" s="98" t="str">
        <f>IF(B162&lt;&gt;"",_xlfn.XLOOKUP(B162,TableDispatch[Uniq Id],TableDispatch[Delivery Date],"",0),"")</f>
        <v/>
      </c>
      <c r="R162" s="98" t="str">
        <f>IF(B162&lt;&gt;"",_xlfn.XLOOKUP(B162,TableDispatch[Uniq Id],TableDispatch[Our Ch No.],"",0),"")</f>
        <v/>
      </c>
      <c r="T162" s="26" t="str">
        <f>IF(B162&lt;&gt;"",_xlfn.XLOOKUP(B162,TableDispatch[Uniq Id],TableDispatch[Eway Bill Out],"",0),"")</f>
        <v/>
      </c>
    </row>
    <row r="163" spans="5:20" x14ac:dyDescent="0.25">
      <c r="E163" s="99"/>
      <c r="J163" s="211" t="str">
        <f>IF(B163&lt;&gt;"",_xlfn.XLOOKUP(B163,'2627PR_Loading'!$E$3:$E$501,'2627PR_Loading'!$B$3:$B$501,"",0)&amp;_xlfn.XLOOKUP(B163,'2627PR_Loading'!$K$3:$K$501,'2627PR_Loading'!$B$3:$B$501,"",0)&amp;_xlfn.XLOOKUP(B163,'2627PR_Loading'!$Q$3:$Q$501,'2627PR_Loading'!$B$3:$B$501,"",0),"")</f>
        <v/>
      </c>
      <c r="K163" s="211" t="str">
        <f>IF(B163&lt;&gt;"",_xlfn.XLOOKUP(B163,'2627PR_Loading'!$E$3:$E$501,'2627PR_Loading'!$C$3:$C$501,"",0)&amp;_xlfn.XLOOKUP(B163,'2627PR_Loading'!$K$3:$K$501,'2627PR_Loading'!$C$3:$C$501,"",0)&amp;_xlfn.XLOOKUP(B163,'2627PR_Loading'!$Q$3:$Q$501,'2627PR_Loading'!$C$3:$C$501,"",0),"")</f>
        <v/>
      </c>
      <c r="P163" s="248" t="str">
        <f>IF(B163&lt;&gt;"",_xlfn.XLOOKUP(B163,'2627PR_Loading'!$E$3:$E$501,'2627PR_Loading'!$J$3:$J$501,"",0)&amp;_xlfn.XLOOKUP(B163,'2627PR_Loading'!$K$3:$K$501,'2627PR_Loading'!$P$3:$P$501,"",0)&amp;_xlfn.XLOOKUP(B163,'2627PR_Loading'!$Q$3:$Q$501,'2627PR_Loading'!$V$3:$V$501,"",0),"")</f>
        <v/>
      </c>
      <c r="Q163" s="98" t="str">
        <f>IF(B163&lt;&gt;"",_xlfn.XLOOKUP(B163,TableDispatch[Uniq Id],TableDispatch[Delivery Date],"",0),"")</f>
        <v/>
      </c>
      <c r="R163" s="98" t="str">
        <f>IF(B163&lt;&gt;"",_xlfn.XLOOKUP(B163,TableDispatch[Uniq Id],TableDispatch[Our Ch No.],"",0),"")</f>
        <v/>
      </c>
      <c r="T163" s="26" t="str">
        <f>IF(B163&lt;&gt;"",_xlfn.XLOOKUP(B163,TableDispatch[Uniq Id],TableDispatch[Eway Bill Out],"",0),"")</f>
        <v/>
      </c>
    </row>
    <row r="164" spans="5:20" x14ac:dyDescent="0.25">
      <c r="E164" s="99"/>
      <c r="J164" s="211" t="str">
        <f>IF(B164&lt;&gt;"",_xlfn.XLOOKUP(B164,'2627PR_Loading'!$E$3:$E$501,'2627PR_Loading'!$B$3:$B$501,"",0)&amp;_xlfn.XLOOKUP(B164,'2627PR_Loading'!$K$3:$K$501,'2627PR_Loading'!$B$3:$B$501,"",0)&amp;_xlfn.XLOOKUP(B164,'2627PR_Loading'!$Q$3:$Q$501,'2627PR_Loading'!$B$3:$B$501,"",0),"")</f>
        <v/>
      </c>
      <c r="K164" s="211" t="str">
        <f>IF(B164&lt;&gt;"",_xlfn.XLOOKUP(B164,'2627PR_Loading'!$E$3:$E$501,'2627PR_Loading'!$C$3:$C$501,"",0)&amp;_xlfn.XLOOKUP(B164,'2627PR_Loading'!$K$3:$K$501,'2627PR_Loading'!$C$3:$C$501,"",0)&amp;_xlfn.XLOOKUP(B164,'2627PR_Loading'!$Q$3:$Q$501,'2627PR_Loading'!$C$3:$C$501,"",0),"")</f>
        <v/>
      </c>
      <c r="P164" s="248" t="str">
        <f>IF(B164&lt;&gt;"",_xlfn.XLOOKUP(B164,'2627PR_Loading'!$E$3:$E$501,'2627PR_Loading'!$J$3:$J$501,"",0)&amp;_xlfn.XLOOKUP(B164,'2627PR_Loading'!$K$3:$K$501,'2627PR_Loading'!$P$3:$P$501,"",0)&amp;_xlfn.XLOOKUP(B164,'2627PR_Loading'!$Q$3:$Q$501,'2627PR_Loading'!$V$3:$V$501,"",0),"")</f>
        <v/>
      </c>
      <c r="Q164" s="98" t="str">
        <f>IF(B164&lt;&gt;"",_xlfn.XLOOKUP(B164,TableDispatch[Uniq Id],TableDispatch[Delivery Date],"",0),"")</f>
        <v/>
      </c>
      <c r="R164" s="98" t="str">
        <f>IF(B164&lt;&gt;"",_xlfn.XLOOKUP(B164,TableDispatch[Uniq Id],TableDispatch[Our Ch No.],"",0),"")</f>
        <v/>
      </c>
      <c r="T164" s="26" t="str">
        <f>IF(B164&lt;&gt;"",_xlfn.XLOOKUP(B164,TableDispatch[Uniq Id],TableDispatch[Eway Bill Out],"",0),"")</f>
        <v/>
      </c>
    </row>
    <row r="165" spans="5:20" x14ac:dyDescent="0.25">
      <c r="E165" s="99"/>
      <c r="J165" s="211" t="str">
        <f>IF(B165&lt;&gt;"",_xlfn.XLOOKUP(B165,'2627PR_Loading'!$E$3:$E$501,'2627PR_Loading'!$B$3:$B$501,"",0)&amp;_xlfn.XLOOKUP(B165,'2627PR_Loading'!$K$3:$K$501,'2627PR_Loading'!$B$3:$B$501,"",0)&amp;_xlfn.XLOOKUP(B165,'2627PR_Loading'!$Q$3:$Q$501,'2627PR_Loading'!$B$3:$B$501,"",0),"")</f>
        <v/>
      </c>
      <c r="K165" s="211" t="str">
        <f>IF(B165&lt;&gt;"",_xlfn.XLOOKUP(B165,'2627PR_Loading'!$E$3:$E$501,'2627PR_Loading'!$C$3:$C$501,"",0)&amp;_xlfn.XLOOKUP(B165,'2627PR_Loading'!$K$3:$K$501,'2627PR_Loading'!$C$3:$C$501,"",0)&amp;_xlfn.XLOOKUP(B165,'2627PR_Loading'!$Q$3:$Q$501,'2627PR_Loading'!$C$3:$C$501,"",0),"")</f>
        <v/>
      </c>
      <c r="P165" s="248" t="str">
        <f>IF(B165&lt;&gt;"",_xlfn.XLOOKUP(B165,'2627PR_Loading'!$E$3:$E$501,'2627PR_Loading'!$J$3:$J$501,"",0)&amp;_xlfn.XLOOKUP(B165,'2627PR_Loading'!$K$3:$K$501,'2627PR_Loading'!$P$3:$P$501,"",0)&amp;_xlfn.XLOOKUP(B165,'2627PR_Loading'!$Q$3:$Q$501,'2627PR_Loading'!$V$3:$V$501,"",0),"")</f>
        <v/>
      </c>
      <c r="Q165" s="98" t="str">
        <f>IF(B165&lt;&gt;"",_xlfn.XLOOKUP(B165,TableDispatch[Uniq Id],TableDispatch[Delivery Date],"",0),"")</f>
        <v/>
      </c>
      <c r="R165" s="98" t="str">
        <f>IF(B165&lt;&gt;"",_xlfn.XLOOKUP(B165,TableDispatch[Uniq Id],TableDispatch[Our Ch No.],"",0),"")</f>
        <v/>
      </c>
      <c r="T165" s="26" t="str">
        <f>IF(B165&lt;&gt;"",_xlfn.XLOOKUP(B165,TableDispatch[Uniq Id],TableDispatch[Eway Bill Out],"",0),"")</f>
        <v/>
      </c>
    </row>
    <row r="166" spans="5:20" x14ac:dyDescent="0.25">
      <c r="E166" s="99"/>
      <c r="J166" s="211" t="str">
        <f>IF(B166&lt;&gt;"",_xlfn.XLOOKUP(B166,'2627PR_Loading'!$E$3:$E$501,'2627PR_Loading'!$B$3:$B$501,"",0)&amp;_xlfn.XLOOKUP(B166,'2627PR_Loading'!$K$3:$K$501,'2627PR_Loading'!$B$3:$B$501,"",0)&amp;_xlfn.XLOOKUP(B166,'2627PR_Loading'!$Q$3:$Q$501,'2627PR_Loading'!$B$3:$B$501,"",0),"")</f>
        <v/>
      </c>
      <c r="K166" s="211" t="str">
        <f>IF(B166&lt;&gt;"",_xlfn.XLOOKUP(B166,'2627PR_Loading'!$E$3:$E$501,'2627PR_Loading'!$C$3:$C$501,"",0)&amp;_xlfn.XLOOKUP(B166,'2627PR_Loading'!$K$3:$K$501,'2627PR_Loading'!$C$3:$C$501,"",0)&amp;_xlfn.XLOOKUP(B166,'2627PR_Loading'!$Q$3:$Q$501,'2627PR_Loading'!$C$3:$C$501,"",0),"")</f>
        <v/>
      </c>
      <c r="P166" s="248" t="str">
        <f>IF(B166&lt;&gt;"",_xlfn.XLOOKUP(B166,'2627PR_Loading'!$E$3:$E$501,'2627PR_Loading'!$J$3:$J$501,"",0)&amp;_xlfn.XLOOKUP(B166,'2627PR_Loading'!$K$3:$K$501,'2627PR_Loading'!$P$3:$P$501,"",0)&amp;_xlfn.XLOOKUP(B166,'2627PR_Loading'!$Q$3:$Q$501,'2627PR_Loading'!$V$3:$V$501,"",0),"")</f>
        <v/>
      </c>
      <c r="Q166" s="98" t="str">
        <f>IF(B166&lt;&gt;"",_xlfn.XLOOKUP(B166,TableDispatch[Uniq Id],TableDispatch[Delivery Date],"",0),"")</f>
        <v/>
      </c>
      <c r="R166" s="98" t="str">
        <f>IF(B166&lt;&gt;"",_xlfn.XLOOKUP(B166,TableDispatch[Uniq Id],TableDispatch[Our Ch No.],"",0),"")</f>
        <v/>
      </c>
      <c r="T166" s="26" t="str">
        <f>IF(B166&lt;&gt;"",_xlfn.XLOOKUP(B166,TableDispatch[Uniq Id],TableDispatch[Eway Bill Out],"",0),"")</f>
        <v/>
      </c>
    </row>
    <row r="167" spans="5:20" x14ac:dyDescent="0.25">
      <c r="E167" s="99"/>
      <c r="J167" s="211" t="str">
        <f>IF(B167&lt;&gt;"",_xlfn.XLOOKUP(B167,'2627PR_Loading'!$E$3:$E$501,'2627PR_Loading'!$B$3:$B$501,"",0)&amp;_xlfn.XLOOKUP(B167,'2627PR_Loading'!$K$3:$K$501,'2627PR_Loading'!$B$3:$B$501,"",0)&amp;_xlfn.XLOOKUP(B167,'2627PR_Loading'!$Q$3:$Q$501,'2627PR_Loading'!$B$3:$B$501,"",0),"")</f>
        <v/>
      </c>
      <c r="K167" s="211" t="str">
        <f>IF(B167&lt;&gt;"",_xlfn.XLOOKUP(B167,'2627PR_Loading'!$E$3:$E$501,'2627PR_Loading'!$C$3:$C$501,"",0)&amp;_xlfn.XLOOKUP(B167,'2627PR_Loading'!$K$3:$K$501,'2627PR_Loading'!$C$3:$C$501,"",0)&amp;_xlfn.XLOOKUP(B167,'2627PR_Loading'!$Q$3:$Q$501,'2627PR_Loading'!$C$3:$C$501,"",0),"")</f>
        <v/>
      </c>
      <c r="P167" s="248" t="str">
        <f>IF(B167&lt;&gt;"",_xlfn.XLOOKUP(B167,'2627PR_Loading'!$E$3:$E$501,'2627PR_Loading'!$J$3:$J$501,"",0)&amp;_xlfn.XLOOKUP(B167,'2627PR_Loading'!$K$3:$K$501,'2627PR_Loading'!$P$3:$P$501,"",0)&amp;_xlfn.XLOOKUP(B167,'2627PR_Loading'!$Q$3:$Q$501,'2627PR_Loading'!$V$3:$V$501,"",0),"")</f>
        <v/>
      </c>
      <c r="Q167" s="98" t="str">
        <f>IF(B167&lt;&gt;"",_xlfn.XLOOKUP(B167,TableDispatch[Uniq Id],TableDispatch[Delivery Date],"",0),"")</f>
        <v/>
      </c>
      <c r="R167" s="98" t="str">
        <f>IF(B167&lt;&gt;"",_xlfn.XLOOKUP(B167,TableDispatch[Uniq Id],TableDispatch[Our Ch No.],"",0),"")</f>
        <v/>
      </c>
      <c r="T167" s="26" t="str">
        <f>IF(B167&lt;&gt;"",_xlfn.XLOOKUP(B167,TableDispatch[Uniq Id],TableDispatch[Eway Bill Out],"",0),"")</f>
        <v/>
      </c>
    </row>
    <row r="168" spans="5:20" x14ac:dyDescent="0.25">
      <c r="E168" s="99"/>
      <c r="J168" s="211" t="str">
        <f>IF(B168&lt;&gt;"",_xlfn.XLOOKUP(B168,'2627PR_Loading'!$E$3:$E$501,'2627PR_Loading'!$B$3:$B$501,"",0)&amp;_xlfn.XLOOKUP(B168,'2627PR_Loading'!$K$3:$K$501,'2627PR_Loading'!$B$3:$B$501,"",0)&amp;_xlfn.XLOOKUP(B168,'2627PR_Loading'!$Q$3:$Q$501,'2627PR_Loading'!$B$3:$B$501,"",0),"")</f>
        <v/>
      </c>
      <c r="K168" s="211" t="str">
        <f>IF(B168&lt;&gt;"",_xlfn.XLOOKUP(B168,'2627PR_Loading'!$E$3:$E$501,'2627PR_Loading'!$C$3:$C$501,"",0)&amp;_xlfn.XLOOKUP(B168,'2627PR_Loading'!$K$3:$K$501,'2627PR_Loading'!$C$3:$C$501,"",0)&amp;_xlfn.XLOOKUP(B168,'2627PR_Loading'!$Q$3:$Q$501,'2627PR_Loading'!$C$3:$C$501,"",0),"")</f>
        <v/>
      </c>
      <c r="P168" s="248" t="str">
        <f>IF(B168&lt;&gt;"",_xlfn.XLOOKUP(B168,'2627PR_Loading'!$E$3:$E$501,'2627PR_Loading'!$J$3:$J$501,"",0)&amp;_xlfn.XLOOKUP(B168,'2627PR_Loading'!$K$3:$K$501,'2627PR_Loading'!$P$3:$P$501,"",0)&amp;_xlfn.XLOOKUP(B168,'2627PR_Loading'!$Q$3:$Q$501,'2627PR_Loading'!$V$3:$V$501,"",0),"")</f>
        <v/>
      </c>
      <c r="Q168" s="98" t="str">
        <f>IF(B168&lt;&gt;"",_xlfn.XLOOKUP(B168,TableDispatch[Uniq Id],TableDispatch[Delivery Date],"",0),"")</f>
        <v/>
      </c>
      <c r="R168" s="98" t="str">
        <f>IF(B168&lt;&gt;"",_xlfn.XLOOKUP(B168,TableDispatch[Uniq Id],TableDispatch[Our Ch No.],"",0),"")</f>
        <v/>
      </c>
      <c r="T168" s="26" t="str">
        <f>IF(B168&lt;&gt;"",_xlfn.XLOOKUP(B168,TableDispatch[Uniq Id],TableDispatch[Eway Bill Out],"",0),"")</f>
        <v/>
      </c>
    </row>
    <row r="169" spans="5:20" x14ac:dyDescent="0.25">
      <c r="E169" s="99"/>
      <c r="J169" s="211" t="str">
        <f>IF(B169&lt;&gt;"",_xlfn.XLOOKUP(B169,'2627PR_Loading'!$E$3:$E$501,'2627PR_Loading'!$B$3:$B$501,"",0)&amp;_xlfn.XLOOKUP(B169,'2627PR_Loading'!$K$3:$K$501,'2627PR_Loading'!$B$3:$B$501,"",0)&amp;_xlfn.XLOOKUP(B169,'2627PR_Loading'!$Q$3:$Q$501,'2627PR_Loading'!$B$3:$B$501,"",0),"")</f>
        <v/>
      </c>
      <c r="K169" s="211" t="str">
        <f>IF(B169&lt;&gt;"",_xlfn.XLOOKUP(B169,'2627PR_Loading'!$E$3:$E$501,'2627PR_Loading'!$C$3:$C$501,"",0)&amp;_xlfn.XLOOKUP(B169,'2627PR_Loading'!$K$3:$K$501,'2627PR_Loading'!$C$3:$C$501,"",0)&amp;_xlfn.XLOOKUP(B169,'2627PR_Loading'!$Q$3:$Q$501,'2627PR_Loading'!$C$3:$C$501,"",0),"")</f>
        <v/>
      </c>
      <c r="P169" s="248" t="str">
        <f>IF(B169&lt;&gt;"",_xlfn.XLOOKUP(B169,'2627PR_Loading'!$E$3:$E$501,'2627PR_Loading'!$J$3:$J$501,"",0)&amp;_xlfn.XLOOKUP(B169,'2627PR_Loading'!$K$3:$K$501,'2627PR_Loading'!$P$3:$P$501,"",0)&amp;_xlfn.XLOOKUP(B169,'2627PR_Loading'!$Q$3:$Q$501,'2627PR_Loading'!$V$3:$V$501,"",0),"")</f>
        <v/>
      </c>
      <c r="Q169" s="98" t="str">
        <f>IF(B169&lt;&gt;"",_xlfn.XLOOKUP(B169,TableDispatch[Uniq Id],TableDispatch[Delivery Date],"",0),"")</f>
        <v/>
      </c>
      <c r="R169" s="98" t="str">
        <f>IF(B169&lt;&gt;"",_xlfn.XLOOKUP(B169,TableDispatch[Uniq Id],TableDispatch[Our Ch No.],"",0),"")</f>
        <v/>
      </c>
      <c r="T169" s="26" t="str">
        <f>IF(B169&lt;&gt;"",_xlfn.XLOOKUP(B169,TableDispatch[Uniq Id],TableDispatch[Eway Bill Out],"",0),"")</f>
        <v/>
      </c>
    </row>
    <row r="170" spans="5:20" x14ac:dyDescent="0.25">
      <c r="E170" s="99"/>
      <c r="J170" s="211" t="str">
        <f>IF(B170&lt;&gt;"",_xlfn.XLOOKUP(B170,'2627PR_Loading'!$E$3:$E$501,'2627PR_Loading'!$B$3:$B$501,"",0)&amp;_xlfn.XLOOKUP(B170,'2627PR_Loading'!$K$3:$K$501,'2627PR_Loading'!$B$3:$B$501,"",0)&amp;_xlfn.XLOOKUP(B170,'2627PR_Loading'!$Q$3:$Q$501,'2627PR_Loading'!$B$3:$B$501,"",0),"")</f>
        <v/>
      </c>
      <c r="K170" s="211" t="str">
        <f>IF(B170&lt;&gt;"",_xlfn.XLOOKUP(B170,'2627PR_Loading'!$E$3:$E$501,'2627PR_Loading'!$C$3:$C$501,"",0)&amp;_xlfn.XLOOKUP(B170,'2627PR_Loading'!$K$3:$K$501,'2627PR_Loading'!$C$3:$C$501,"",0)&amp;_xlfn.XLOOKUP(B170,'2627PR_Loading'!$Q$3:$Q$501,'2627PR_Loading'!$C$3:$C$501,"",0),"")</f>
        <v/>
      </c>
      <c r="P170" s="248" t="str">
        <f>IF(B170&lt;&gt;"",_xlfn.XLOOKUP(B170,'2627PR_Loading'!$E$3:$E$501,'2627PR_Loading'!$J$3:$J$501,"",0)&amp;_xlfn.XLOOKUP(B170,'2627PR_Loading'!$K$3:$K$501,'2627PR_Loading'!$P$3:$P$501,"",0)&amp;_xlfn.XLOOKUP(B170,'2627PR_Loading'!$Q$3:$Q$501,'2627PR_Loading'!$V$3:$V$501,"",0),"")</f>
        <v/>
      </c>
      <c r="Q170" s="98" t="str">
        <f>IF(B170&lt;&gt;"",_xlfn.XLOOKUP(B170,TableDispatch[Uniq Id],TableDispatch[Delivery Date],"",0),"")</f>
        <v/>
      </c>
      <c r="R170" s="98" t="str">
        <f>IF(B170&lt;&gt;"",_xlfn.XLOOKUP(B170,TableDispatch[Uniq Id],TableDispatch[Our Ch No.],"",0),"")</f>
        <v/>
      </c>
      <c r="T170" s="26" t="str">
        <f>IF(B170&lt;&gt;"",_xlfn.XLOOKUP(B170,TableDispatch[Uniq Id],TableDispatch[Eway Bill Out],"",0),"")</f>
        <v/>
      </c>
    </row>
    <row r="171" spans="5:20" x14ac:dyDescent="0.25">
      <c r="E171" s="99"/>
      <c r="J171" s="211" t="str">
        <f>IF(B171&lt;&gt;"",_xlfn.XLOOKUP(B171,'2627PR_Loading'!$E$3:$E$501,'2627PR_Loading'!$B$3:$B$501,"",0)&amp;_xlfn.XLOOKUP(B171,'2627PR_Loading'!$K$3:$K$501,'2627PR_Loading'!$B$3:$B$501,"",0)&amp;_xlfn.XLOOKUP(B171,'2627PR_Loading'!$Q$3:$Q$501,'2627PR_Loading'!$B$3:$B$501,"",0),"")</f>
        <v/>
      </c>
      <c r="K171" s="211" t="str">
        <f>IF(B171&lt;&gt;"",_xlfn.XLOOKUP(B171,'2627PR_Loading'!$E$3:$E$501,'2627PR_Loading'!$C$3:$C$501,"",0)&amp;_xlfn.XLOOKUP(B171,'2627PR_Loading'!$K$3:$K$501,'2627PR_Loading'!$C$3:$C$501,"",0)&amp;_xlfn.XLOOKUP(B171,'2627PR_Loading'!$Q$3:$Q$501,'2627PR_Loading'!$C$3:$C$501,"",0),"")</f>
        <v/>
      </c>
      <c r="P171" s="248" t="str">
        <f>IF(B171&lt;&gt;"",_xlfn.XLOOKUP(B171,'2627PR_Loading'!$E$3:$E$501,'2627PR_Loading'!$J$3:$J$501,"",0)&amp;_xlfn.XLOOKUP(B171,'2627PR_Loading'!$K$3:$K$501,'2627PR_Loading'!$P$3:$P$501,"",0)&amp;_xlfn.XLOOKUP(B171,'2627PR_Loading'!$Q$3:$Q$501,'2627PR_Loading'!$V$3:$V$501,"",0),"")</f>
        <v/>
      </c>
      <c r="Q171" s="98" t="str">
        <f>IF(B171&lt;&gt;"",_xlfn.XLOOKUP(B171,TableDispatch[Uniq Id],TableDispatch[Delivery Date],"",0),"")</f>
        <v/>
      </c>
      <c r="R171" s="98" t="str">
        <f>IF(B171&lt;&gt;"",_xlfn.XLOOKUP(B171,TableDispatch[Uniq Id],TableDispatch[Our Ch No.],"",0),"")</f>
        <v/>
      </c>
      <c r="T171" s="26" t="str">
        <f>IF(B171&lt;&gt;"",_xlfn.XLOOKUP(B171,TableDispatch[Uniq Id],TableDispatch[Eway Bill Out],"",0),"")</f>
        <v/>
      </c>
    </row>
    <row r="172" spans="5:20" x14ac:dyDescent="0.25">
      <c r="E172" s="99"/>
      <c r="J172" s="211" t="str">
        <f>IF(B172&lt;&gt;"",_xlfn.XLOOKUP(B172,'2627PR_Loading'!$E$3:$E$501,'2627PR_Loading'!$B$3:$B$501,"",0)&amp;_xlfn.XLOOKUP(B172,'2627PR_Loading'!$K$3:$K$501,'2627PR_Loading'!$B$3:$B$501,"",0)&amp;_xlfn.XLOOKUP(B172,'2627PR_Loading'!$Q$3:$Q$501,'2627PR_Loading'!$B$3:$B$501,"",0),"")</f>
        <v/>
      </c>
      <c r="K172" s="211" t="str">
        <f>IF(B172&lt;&gt;"",_xlfn.XLOOKUP(B172,'2627PR_Loading'!$E$3:$E$501,'2627PR_Loading'!$C$3:$C$501,"",0)&amp;_xlfn.XLOOKUP(B172,'2627PR_Loading'!$K$3:$K$501,'2627PR_Loading'!$C$3:$C$501,"",0)&amp;_xlfn.XLOOKUP(B172,'2627PR_Loading'!$Q$3:$Q$501,'2627PR_Loading'!$C$3:$C$501,"",0),"")</f>
        <v/>
      </c>
      <c r="P172" s="248" t="str">
        <f>IF(B172&lt;&gt;"",_xlfn.XLOOKUP(B172,'2627PR_Loading'!$E$3:$E$501,'2627PR_Loading'!$J$3:$J$501,"",0)&amp;_xlfn.XLOOKUP(B172,'2627PR_Loading'!$K$3:$K$501,'2627PR_Loading'!$P$3:$P$501,"",0)&amp;_xlfn.XLOOKUP(B172,'2627PR_Loading'!$Q$3:$Q$501,'2627PR_Loading'!$V$3:$V$501,"",0),"")</f>
        <v/>
      </c>
      <c r="Q172" s="98" t="str">
        <f>IF(B172&lt;&gt;"",_xlfn.XLOOKUP(B172,TableDispatch[Uniq Id],TableDispatch[Delivery Date],"",0),"")</f>
        <v/>
      </c>
      <c r="R172" s="98" t="str">
        <f>IF(B172&lt;&gt;"",_xlfn.XLOOKUP(B172,TableDispatch[Uniq Id],TableDispatch[Our Ch No.],"",0),"")</f>
        <v/>
      </c>
      <c r="T172" s="26" t="str">
        <f>IF(B172&lt;&gt;"",_xlfn.XLOOKUP(B172,TableDispatch[Uniq Id],TableDispatch[Eway Bill Out],"",0),"")</f>
        <v/>
      </c>
    </row>
    <row r="173" spans="5:20" x14ac:dyDescent="0.25">
      <c r="E173" s="99"/>
      <c r="J173" s="211" t="str">
        <f>IF(B173&lt;&gt;"",_xlfn.XLOOKUP(B173,'2627PR_Loading'!$E$3:$E$501,'2627PR_Loading'!$B$3:$B$501,"",0)&amp;_xlfn.XLOOKUP(B173,'2627PR_Loading'!$K$3:$K$501,'2627PR_Loading'!$B$3:$B$501,"",0)&amp;_xlfn.XLOOKUP(B173,'2627PR_Loading'!$Q$3:$Q$501,'2627PR_Loading'!$B$3:$B$501,"",0),"")</f>
        <v/>
      </c>
      <c r="K173" s="211" t="str">
        <f>IF(B173&lt;&gt;"",_xlfn.XLOOKUP(B173,'2627PR_Loading'!$E$3:$E$501,'2627PR_Loading'!$C$3:$C$501,"",0)&amp;_xlfn.XLOOKUP(B173,'2627PR_Loading'!$K$3:$K$501,'2627PR_Loading'!$C$3:$C$501,"",0)&amp;_xlfn.XLOOKUP(B173,'2627PR_Loading'!$Q$3:$Q$501,'2627PR_Loading'!$C$3:$C$501,"",0),"")</f>
        <v/>
      </c>
      <c r="P173" s="248" t="str">
        <f>IF(B173&lt;&gt;"",_xlfn.XLOOKUP(B173,'2627PR_Loading'!$E$3:$E$501,'2627PR_Loading'!$J$3:$J$501,"",0)&amp;_xlfn.XLOOKUP(B173,'2627PR_Loading'!$K$3:$K$501,'2627PR_Loading'!$P$3:$P$501,"",0)&amp;_xlfn.XLOOKUP(B173,'2627PR_Loading'!$Q$3:$Q$501,'2627PR_Loading'!$V$3:$V$501,"",0),"")</f>
        <v/>
      </c>
      <c r="Q173" s="98" t="str">
        <f>IF(B173&lt;&gt;"",_xlfn.XLOOKUP(B173,TableDispatch[Uniq Id],TableDispatch[Delivery Date],"",0),"")</f>
        <v/>
      </c>
      <c r="R173" s="98" t="str">
        <f>IF(B173&lt;&gt;"",_xlfn.XLOOKUP(B173,TableDispatch[Uniq Id],TableDispatch[Our Ch No.],"",0),"")</f>
        <v/>
      </c>
      <c r="T173" s="26" t="str">
        <f>IF(B173&lt;&gt;"",_xlfn.XLOOKUP(B173,TableDispatch[Uniq Id],TableDispatch[Eway Bill Out],"",0),"")</f>
        <v/>
      </c>
    </row>
    <row r="174" spans="5:20" x14ac:dyDescent="0.25">
      <c r="E174" s="99"/>
      <c r="J174" s="211" t="str">
        <f>IF(B174&lt;&gt;"",_xlfn.XLOOKUP(B174,'2627PR_Loading'!$E$3:$E$501,'2627PR_Loading'!$B$3:$B$501,"",0)&amp;_xlfn.XLOOKUP(B174,'2627PR_Loading'!$K$3:$K$501,'2627PR_Loading'!$B$3:$B$501,"",0)&amp;_xlfn.XLOOKUP(B174,'2627PR_Loading'!$Q$3:$Q$501,'2627PR_Loading'!$B$3:$B$501,"",0),"")</f>
        <v/>
      </c>
      <c r="K174" s="211" t="str">
        <f>IF(B174&lt;&gt;"",_xlfn.XLOOKUP(B174,'2627PR_Loading'!$E$3:$E$501,'2627PR_Loading'!$C$3:$C$501,"",0)&amp;_xlfn.XLOOKUP(B174,'2627PR_Loading'!$K$3:$K$501,'2627PR_Loading'!$C$3:$C$501,"",0)&amp;_xlfn.XLOOKUP(B174,'2627PR_Loading'!$Q$3:$Q$501,'2627PR_Loading'!$C$3:$C$501,"",0),"")</f>
        <v/>
      </c>
      <c r="P174" s="248" t="str">
        <f>IF(B174&lt;&gt;"",_xlfn.XLOOKUP(B174,'2627PR_Loading'!$E$3:$E$501,'2627PR_Loading'!$J$3:$J$501,"",0)&amp;_xlfn.XLOOKUP(B174,'2627PR_Loading'!$K$3:$K$501,'2627PR_Loading'!$P$3:$P$501,"",0)&amp;_xlfn.XLOOKUP(B174,'2627PR_Loading'!$Q$3:$Q$501,'2627PR_Loading'!$V$3:$V$501,"",0),"")</f>
        <v/>
      </c>
      <c r="Q174" s="98" t="str">
        <f>IF(B174&lt;&gt;"",_xlfn.XLOOKUP(B174,TableDispatch[Uniq Id],TableDispatch[Delivery Date],"",0),"")</f>
        <v/>
      </c>
      <c r="R174" s="98" t="str">
        <f>IF(B174&lt;&gt;"",_xlfn.XLOOKUP(B174,TableDispatch[Uniq Id],TableDispatch[Our Ch No.],"",0),"")</f>
        <v/>
      </c>
      <c r="T174" s="26" t="str">
        <f>IF(B174&lt;&gt;"",_xlfn.XLOOKUP(B174,TableDispatch[Uniq Id],TableDispatch[Eway Bill Out],"",0),"")</f>
        <v/>
      </c>
    </row>
    <row r="175" spans="5:20" x14ac:dyDescent="0.25">
      <c r="E175" s="99"/>
      <c r="J175" s="211" t="str">
        <f>IF(B175&lt;&gt;"",_xlfn.XLOOKUP(B175,'2627PR_Loading'!$E$3:$E$501,'2627PR_Loading'!$B$3:$B$501,"",0)&amp;_xlfn.XLOOKUP(B175,'2627PR_Loading'!$K$3:$K$501,'2627PR_Loading'!$B$3:$B$501,"",0)&amp;_xlfn.XLOOKUP(B175,'2627PR_Loading'!$Q$3:$Q$501,'2627PR_Loading'!$B$3:$B$501,"",0),"")</f>
        <v/>
      </c>
      <c r="K175" s="211" t="str">
        <f>IF(B175&lt;&gt;"",_xlfn.XLOOKUP(B175,'2627PR_Loading'!$E$3:$E$501,'2627PR_Loading'!$C$3:$C$501,"",0)&amp;_xlfn.XLOOKUP(B175,'2627PR_Loading'!$K$3:$K$501,'2627PR_Loading'!$C$3:$C$501,"",0)&amp;_xlfn.XLOOKUP(B175,'2627PR_Loading'!$Q$3:$Q$501,'2627PR_Loading'!$C$3:$C$501,"",0),"")</f>
        <v/>
      </c>
      <c r="P175" s="248" t="str">
        <f>IF(B175&lt;&gt;"",_xlfn.XLOOKUP(B175,'2627PR_Loading'!$E$3:$E$501,'2627PR_Loading'!$J$3:$J$501,"",0)&amp;_xlfn.XLOOKUP(B175,'2627PR_Loading'!$K$3:$K$501,'2627PR_Loading'!$P$3:$P$501,"",0)&amp;_xlfn.XLOOKUP(B175,'2627PR_Loading'!$Q$3:$Q$501,'2627PR_Loading'!$V$3:$V$501,"",0),"")</f>
        <v/>
      </c>
      <c r="Q175" s="98" t="str">
        <f>IF(B175&lt;&gt;"",_xlfn.XLOOKUP(B175,TableDispatch[Uniq Id],TableDispatch[Delivery Date],"",0),"")</f>
        <v/>
      </c>
      <c r="R175" s="98" t="str">
        <f>IF(B175&lt;&gt;"",_xlfn.XLOOKUP(B175,TableDispatch[Uniq Id],TableDispatch[Our Ch No.],"",0),"")</f>
        <v/>
      </c>
      <c r="T175" s="26" t="str">
        <f>IF(B175&lt;&gt;"",_xlfn.XLOOKUP(B175,TableDispatch[Uniq Id],TableDispatch[Eway Bill Out],"",0),"")</f>
        <v/>
      </c>
    </row>
    <row r="176" spans="5:20" x14ac:dyDescent="0.25">
      <c r="E176" s="99"/>
      <c r="J176" s="211" t="str">
        <f>IF(B176&lt;&gt;"",_xlfn.XLOOKUP(B176,'2627PR_Loading'!$E$3:$E$501,'2627PR_Loading'!$B$3:$B$501,"",0)&amp;_xlfn.XLOOKUP(B176,'2627PR_Loading'!$K$3:$K$501,'2627PR_Loading'!$B$3:$B$501,"",0)&amp;_xlfn.XLOOKUP(B176,'2627PR_Loading'!$Q$3:$Q$501,'2627PR_Loading'!$B$3:$B$501,"",0),"")</f>
        <v/>
      </c>
      <c r="K176" s="211" t="str">
        <f>IF(B176&lt;&gt;"",_xlfn.XLOOKUP(B176,'2627PR_Loading'!$E$3:$E$501,'2627PR_Loading'!$C$3:$C$501,"",0)&amp;_xlfn.XLOOKUP(B176,'2627PR_Loading'!$K$3:$K$501,'2627PR_Loading'!$C$3:$C$501,"",0)&amp;_xlfn.XLOOKUP(B176,'2627PR_Loading'!$Q$3:$Q$501,'2627PR_Loading'!$C$3:$C$501,"",0),"")</f>
        <v/>
      </c>
      <c r="P176" s="248" t="str">
        <f>IF(B176&lt;&gt;"",_xlfn.XLOOKUP(B176,'2627PR_Loading'!$E$3:$E$501,'2627PR_Loading'!$J$3:$J$501,"",0)&amp;_xlfn.XLOOKUP(B176,'2627PR_Loading'!$K$3:$K$501,'2627PR_Loading'!$P$3:$P$501,"",0)&amp;_xlfn.XLOOKUP(B176,'2627PR_Loading'!$Q$3:$Q$501,'2627PR_Loading'!$V$3:$V$501,"",0),"")</f>
        <v/>
      </c>
      <c r="Q176" s="98" t="str">
        <f>IF(B176&lt;&gt;"",_xlfn.XLOOKUP(B176,TableDispatch[Uniq Id],TableDispatch[Delivery Date],"",0),"")</f>
        <v/>
      </c>
      <c r="R176" s="98" t="str">
        <f>IF(B176&lt;&gt;"",_xlfn.XLOOKUP(B176,TableDispatch[Uniq Id],TableDispatch[Our Ch No.],"",0),"")</f>
        <v/>
      </c>
      <c r="T176" s="26" t="str">
        <f>IF(B176&lt;&gt;"",_xlfn.XLOOKUP(B176,TableDispatch[Uniq Id],TableDispatch[Eway Bill Out],"",0),"")</f>
        <v/>
      </c>
    </row>
    <row r="177" spans="5:20" x14ac:dyDescent="0.25">
      <c r="E177" s="99"/>
      <c r="J177" s="211" t="str">
        <f>IF(B177&lt;&gt;"",_xlfn.XLOOKUP(B177,'2627PR_Loading'!$E$3:$E$501,'2627PR_Loading'!$B$3:$B$501,"",0)&amp;_xlfn.XLOOKUP(B177,'2627PR_Loading'!$K$3:$K$501,'2627PR_Loading'!$B$3:$B$501,"",0)&amp;_xlfn.XLOOKUP(B177,'2627PR_Loading'!$Q$3:$Q$501,'2627PR_Loading'!$B$3:$B$501,"",0),"")</f>
        <v/>
      </c>
      <c r="K177" s="211" t="str">
        <f>IF(B177&lt;&gt;"",_xlfn.XLOOKUP(B177,'2627PR_Loading'!$E$3:$E$501,'2627PR_Loading'!$C$3:$C$501,"",0)&amp;_xlfn.XLOOKUP(B177,'2627PR_Loading'!$K$3:$K$501,'2627PR_Loading'!$C$3:$C$501,"",0)&amp;_xlfn.XLOOKUP(B177,'2627PR_Loading'!$Q$3:$Q$501,'2627PR_Loading'!$C$3:$C$501,"",0),"")</f>
        <v/>
      </c>
      <c r="P177" s="248" t="str">
        <f>IF(B177&lt;&gt;"",_xlfn.XLOOKUP(B177,'2627PR_Loading'!$E$3:$E$501,'2627PR_Loading'!$J$3:$J$501,"",0)&amp;_xlfn.XLOOKUP(B177,'2627PR_Loading'!$K$3:$K$501,'2627PR_Loading'!$P$3:$P$501,"",0)&amp;_xlfn.XLOOKUP(B177,'2627PR_Loading'!$Q$3:$Q$501,'2627PR_Loading'!$V$3:$V$501,"",0),"")</f>
        <v/>
      </c>
      <c r="Q177" s="98" t="str">
        <f>IF(B177&lt;&gt;"",_xlfn.XLOOKUP(B177,TableDispatch[Uniq Id],TableDispatch[Delivery Date],"",0),"")</f>
        <v/>
      </c>
      <c r="R177" s="98" t="str">
        <f>IF(B177&lt;&gt;"",_xlfn.XLOOKUP(B177,TableDispatch[Uniq Id],TableDispatch[Our Ch No.],"",0),"")</f>
        <v/>
      </c>
      <c r="T177" s="26" t="str">
        <f>IF(B177&lt;&gt;"",_xlfn.XLOOKUP(B177,TableDispatch[Uniq Id],TableDispatch[Eway Bill Out],"",0),"")</f>
        <v/>
      </c>
    </row>
    <row r="178" spans="5:20" x14ac:dyDescent="0.25">
      <c r="E178" s="99"/>
      <c r="J178" s="211" t="str">
        <f>IF(B178&lt;&gt;"",_xlfn.XLOOKUP(B178,'2627PR_Loading'!$E$3:$E$501,'2627PR_Loading'!$B$3:$B$501,"",0)&amp;_xlfn.XLOOKUP(B178,'2627PR_Loading'!$K$3:$K$501,'2627PR_Loading'!$B$3:$B$501,"",0)&amp;_xlfn.XLOOKUP(B178,'2627PR_Loading'!$Q$3:$Q$501,'2627PR_Loading'!$B$3:$B$501,"",0),"")</f>
        <v/>
      </c>
      <c r="K178" s="211" t="str">
        <f>IF(B178&lt;&gt;"",_xlfn.XLOOKUP(B178,'2627PR_Loading'!$E$3:$E$501,'2627PR_Loading'!$C$3:$C$501,"",0)&amp;_xlfn.XLOOKUP(B178,'2627PR_Loading'!$K$3:$K$501,'2627PR_Loading'!$C$3:$C$501,"",0)&amp;_xlfn.XLOOKUP(B178,'2627PR_Loading'!$Q$3:$Q$501,'2627PR_Loading'!$C$3:$C$501,"",0),"")</f>
        <v/>
      </c>
      <c r="P178" s="248" t="str">
        <f>IF(B178&lt;&gt;"",_xlfn.XLOOKUP(B178,'2627PR_Loading'!$E$3:$E$501,'2627PR_Loading'!$J$3:$J$501,"",0)&amp;_xlfn.XLOOKUP(B178,'2627PR_Loading'!$K$3:$K$501,'2627PR_Loading'!$P$3:$P$501,"",0)&amp;_xlfn.XLOOKUP(B178,'2627PR_Loading'!$Q$3:$Q$501,'2627PR_Loading'!$V$3:$V$501,"",0),"")</f>
        <v/>
      </c>
      <c r="Q178" s="98" t="str">
        <f>IF(B178&lt;&gt;"",_xlfn.XLOOKUP(B178,TableDispatch[Uniq Id],TableDispatch[Delivery Date],"",0),"")</f>
        <v/>
      </c>
      <c r="R178" s="98" t="str">
        <f>IF(B178&lt;&gt;"",_xlfn.XLOOKUP(B178,TableDispatch[Uniq Id],TableDispatch[Our Ch No.],"",0),"")</f>
        <v/>
      </c>
      <c r="T178" s="26" t="str">
        <f>IF(B178&lt;&gt;"",_xlfn.XLOOKUP(B178,TableDispatch[Uniq Id],TableDispatch[Eway Bill Out],"",0),"")</f>
        <v/>
      </c>
    </row>
    <row r="179" spans="5:20" x14ac:dyDescent="0.25">
      <c r="E179" s="99"/>
      <c r="J179" s="211" t="str">
        <f>IF(B179&lt;&gt;"",_xlfn.XLOOKUP(B179,'2627PR_Loading'!$E$3:$E$501,'2627PR_Loading'!$B$3:$B$501,"",0)&amp;_xlfn.XLOOKUP(B179,'2627PR_Loading'!$K$3:$K$501,'2627PR_Loading'!$B$3:$B$501,"",0)&amp;_xlfn.XLOOKUP(B179,'2627PR_Loading'!$Q$3:$Q$501,'2627PR_Loading'!$B$3:$B$501,"",0),"")</f>
        <v/>
      </c>
      <c r="K179" s="211" t="str">
        <f>IF(B179&lt;&gt;"",_xlfn.XLOOKUP(B179,'2627PR_Loading'!$E$3:$E$501,'2627PR_Loading'!$C$3:$C$501,"",0)&amp;_xlfn.XLOOKUP(B179,'2627PR_Loading'!$K$3:$K$501,'2627PR_Loading'!$C$3:$C$501,"",0)&amp;_xlfn.XLOOKUP(B179,'2627PR_Loading'!$Q$3:$Q$501,'2627PR_Loading'!$C$3:$C$501,"",0),"")</f>
        <v/>
      </c>
      <c r="P179" s="248" t="str">
        <f>IF(B179&lt;&gt;"",_xlfn.XLOOKUP(B179,'2627PR_Loading'!$E$3:$E$501,'2627PR_Loading'!$J$3:$J$501,"",0)&amp;_xlfn.XLOOKUP(B179,'2627PR_Loading'!$K$3:$K$501,'2627PR_Loading'!$P$3:$P$501,"",0)&amp;_xlfn.XLOOKUP(B179,'2627PR_Loading'!$Q$3:$Q$501,'2627PR_Loading'!$V$3:$V$501,"",0),"")</f>
        <v/>
      </c>
      <c r="Q179" s="98" t="str">
        <f>IF(B179&lt;&gt;"",_xlfn.XLOOKUP(B179,TableDispatch[Uniq Id],TableDispatch[Delivery Date],"",0),"")</f>
        <v/>
      </c>
      <c r="R179" s="98" t="str">
        <f>IF(B179&lt;&gt;"",_xlfn.XLOOKUP(B179,TableDispatch[Uniq Id],TableDispatch[Our Ch No.],"",0),"")</f>
        <v/>
      </c>
      <c r="T179" s="26" t="str">
        <f>IF(B179&lt;&gt;"",_xlfn.XLOOKUP(B179,TableDispatch[Uniq Id],TableDispatch[Eway Bill Out],"",0),"")</f>
        <v/>
      </c>
    </row>
    <row r="180" spans="5:20" x14ac:dyDescent="0.25">
      <c r="E180" s="99"/>
      <c r="J180" s="211" t="str">
        <f>IF(B180&lt;&gt;"",_xlfn.XLOOKUP(B180,'2627PR_Loading'!$E$3:$E$501,'2627PR_Loading'!$B$3:$B$501,"",0)&amp;_xlfn.XLOOKUP(B180,'2627PR_Loading'!$K$3:$K$501,'2627PR_Loading'!$B$3:$B$501,"",0)&amp;_xlfn.XLOOKUP(B180,'2627PR_Loading'!$Q$3:$Q$501,'2627PR_Loading'!$B$3:$B$501,"",0),"")</f>
        <v/>
      </c>
      <c r="K180" s="211" t="str">
        <f>IF(B180&lt;&gt;"",_xlfn.XLOOKUP(B180,'2627PR_Loading'!$E$3:$E$501,'2627PR_Loading'!$C$3:$C$501,"",0)&amp;_xlfn.XLOOKUP(B180,'2627PR_Loading'!$K$3:$K$501,'2627PR_Loading'!$C$3:$C$501,"",0)&amp;_xlfn.XLOOKUP(B180,'2627PR_Loading'!$Q$3:$Q$501,'2627PR_Loading'!$C$3:$C$501,"",0),"")</f>
        <v/>
      </c>
      <c r="P180" s="248" t="str">
        <f>IF(B180&lt;&gt;"",_xlfn.XLOOKUP(B180,'2627PR_Loading'!$E$3:$E$501,'2627PR_Loading'!$J$3:$J$501,"",0)&amp;_xlfn.XLOOKUP(B180,'2627PR_Loading'!$K$3:$K$501,'2627PR_Loading'!$P$3:$P$501,"",0)&amp;_xlfn.XLOOKUP(B180,'2627PR_Loading'!$Q$3:$Q$501,'2627PR_Loading'!$V$3:$V$501,"",0),"")</f>
        <v/>
      </c>
      <c r="Q180" s="98" t="str">
        <f>IF(B180&lt;&gt;"",_xlfn.XLOOKUP(B180,TableDispatch[Uniq Id],TableDispatch[Delivery Date],"",0),"")</f>
        <v/>
      </c>
      <c r="R180" s="98" t="str">
        <f>IF(B180&lt;&gt;"",_xlfn.XLOOKUP(B180,TableDispatch[Uniq Id],TableDispatch[Our Ch No.],"",0),"")</f>
        <v/>
      </c>
      <c r="T180" s="26" t="str">
        <f>IF(B180&lt;&gt;"",_xlfn.XLOOKUP(B180,TableDispatch[Uniq Id],TableDispatch[Eway Bill Out],"",0),"")</f>
        <v/>
      </c>
    </row>
    <row r="181" spans="5:20" x14ac:dyDescent="0.25">
      <c r="E181" s="99"/>
      <c r="J181" s="211" t="str">
        <f>IF(B181&lt;&gt;"",_xlfn.XLOOKUP(B181,'2627PR_Loading'!$E$3:$E$501,'2627PR_Loading'!$B$3:$B$501,"",0)&amp;_xlfn.XLOOKUP(B181,'2627PR_Loading'!$K$3:$K$501,'2627PR_Loading'!$B$3:$B$501,"",0)&amp;_xlfn.XLOOKUP(B181,'2627PR_Loading'!$Q$3:$Q$501,'2627PR_Loading'!$B$3:$B$501,"",0),"")</f>
        <v/>
      </c>
      <c r="K181" s="211" t="str">
        <f>IF(B181&lt;&gt;"",_xlfn.XLOOKUP(B181,'2627PR_Loading'!$E$3:$E$501,'2627PR_Loading'!$C$3:$C$501,"",0)&amp;_xlfn.XLOOKUP(B181,'2627PR_Loading'!$K$3:$K$501,'2627PR_Loading'!$C$3:$C$501,"",0)&amp;_xlfn.XLOOKUP(B181,'2627PR_Loading'!$Q$3:$Q$501,'2627PR_Loading'!$C$3:$C$501,"",0),"")</f>
        <v/>
      </c>
      <c r="P181" s="248" t="str">
        <f>IF(B181&lt;&gt;"",_xlfn.XLOOKUP(B181,'2627PR_Loading'!$E$3:$E$501,'2627PR_Loading'!$J$3:$J$501,"",0)&amp;_xlfn.XLOOKUP(B181,'2627PR_Loading'!$K$3:$K$501,'2627PR_Loading'!$P$3:$P$501,"",0)&amp;_xlfn.XLOOKUP(B181,'2627PR_Loading'!$Q$3:$Q$501,'2627PR_Loading'!$V$3:$V$501,"",0),"")</f>
        <v/>
      </c>
      <c r="Q181" s="98" t="str">
        <f>IF(B181&lt;&gt;"",_xlfn.XLOOKUP(B181,TableDispatch[Uniq Id],TableDispatch[Delivery Date],"",0),"")</f>
        <v/>
      </c>
      <c r="R181" s="98" t="str">
        <f>IF(B181&lt;&gt;"",_xlfn.XLOOKUP(B181,TableDispatch[Uniq Id],TableDispatch[Our Ch No.],"",0),"")</f>
        <v/>
      </c>
      <c r="T181" s="26" t="str">
        <f>IF(B181&lt;&gt;"",_xlfn.XLOOKUP(B181,TableDispatch[Uniq Id],TableDispatch[Eway Bill Out],"",0),"")</f>
        <v/>
      </c>
    </row>
    <row r="182" spans="5:20" x14ac:dyDescent="0.25">
      <c r="E182" s="99"/>
      <c r="J182" s="211" t="str">
        <f>IF(B182&lt;&gt;"",_xlfn.XLOOKUP(B182,'2627PR_Loading'!$E$3:$E$501,'2627PR_Loading'!$B$3:$B$501,"",0)&amp;_xlfn.XLOOKUP(B182,'2627PR_Loading'!$K$3:$K$501,'2627PR_Loading'!$B$3:$B$501,"",0)&amp;_xlfn.XLOOKUP(B182,'2627PR_Loading'!$Q$3:$Q$501,'2627PR_Loading'!$B$3:$B$501,"",0),"")</f>
        <v/>
      </c>
      <c r="K182" s="211" t="str">
        <f>IF(B182&lt;&gt;"",_xlfn.XLOOKUP(B182,'2627PR_Loading'!$E$3:$E$501,'2627PR_Loading'!$C$3:$C$501,"",0)&amp;_xlfn.XLOOKUP(B182,'2627PR_Loading'!$K$3:$K$501,'2627PR_Loading'!$C$3:$C$501,"",0)&amp;_xlfn.XLOOKUP(B182,'2627PR_Loading'!$Q$3:$Q$501,'2627PR_Loading'!$C$3:$C$501,"",0),"")</f>
        <v/>
      </c>
      <c r="P182" s="248" t="str">
        <f>IF(B182&lt;&gt;"",_xlfn.XLOOKUP(B182,'2627PR_Loading'!$E$3:$E$501,'2627PR_Loading'!$J$3:$J$501,"",0)&amp;_xlfn.XLOOKUP(B182,'2627PR_Loading'!$K$3:$K$501,'2627PR_Loading'!$P$3:$P$501,"",0)&amp;_xlfn.XLOOKUP(B182,'2627PR_Loading'!$Q$3:$Q$501,'2627PR_Loading'!$V$3:$V$501,"",0),"")</f>
        <v/>
      </c>
      <c r="Q182" s="98" t="str">
        <f>IF(B182&lt;&gt;"",_xlfn.XLOOKUP(B182,TableDispatch[Uniq Id],TableDispatch[Delivery Date],"",0),"")</f>
        <v/>
      </c>
      <c r="R182" s="98" t="str">
        <f>IF(B182&lt;&gt;"",_xlfn.XLOOKUP(B182,TableDispatch[Uniq Id],TableDispatch[Our Ch No.],"",0),"")</f>
        <v/>
      </c>
      <c r="T182" s="26" t="str">
        <f>IF(B182&lt;&gt;"",_xlfn.XLOOKUP(B182,TableDispatch[Uniq Id],TableDispatch[Eway Bill Out],"",0),"")</f>
        <v/>
      </c>
    </row>
    <row r="183" spans="5:20" x14ac:dyDescent="0.25">
      <c r="E183" s="99"/>
      <c r="J183" s="211" t="str">
        <f>IF(B183&lt;&gt;"",_xlfn.XLOOKUP(B183,'2627PR_Loading'!$E$3:$E$501,'2627PR_Loading'!$B$3:$B$501,"",0)&amp;_xlfn.XLOOKUP(B183,'2627PR_Loading'!$K$3:$K$501,'2627PR_Loading'!$B$3:$B$501,"",0)&amp;_xlfn.XLOOKUP(B183,'2627PR_Loading'!$Q$3:$Q$501,'2627PR_Loading'!$B$3:$B$501,"",0),"")</f>
        <v/>
      </c>
      <c r="K183" s="211" t="str">
        <f>IF(B183&lt;&gt;"",_xlfn.XLOOKUP(B183,'2627PR_Loading'!$E$3:$E$501,'2627PR_Loading'!$C$3:$C$501,"",0)&amp;_xlfn.XLOOKUP(B183,'2627PR_Loading'!$K$3:$K$501,'2627PR_Loading'!$C$3:$C$501,"",0)&amp;_xlfn.XLOOKUP(B183,'2627PR_Loading'!$Q$3:$Q$501,'2627PR_Loading'!$C$3:$C$501,"",0),"")</f>
        <v/>
      </c>
      <c r="P183" s="248" t="str">
        <f>IF(B183&lt;&gt;"",_xlfn.XLOOKUP(B183,'2627PR_Loading'!$E$3:$E$501,'2627PR_Loading'!$J$3:$J$501,"",0)&amp;_xlfn.XLOOKUP(B183,'2627PR_Loading'!$K$3:$K$501,'2627PR_Loading'!$P$3:$P$501,"",0)&amp;_xlfn.XLOOKUP(B183,'2627PR_Loading'!$Q$3:$Q$501,'2627PR_Loading'!$V$3:$V$501,"",0),"")</f>
        <v/>
      </c>
      <c r="Q183" s="98" t="str">
        <f>IF(B183&lt;&gt;"",_xlfn.XLOOKUP(B183,TableDispatch[Uniq Id],TableDispatch[Delivery Date],"",0),"")</f>
        <v/>
      </c>
      <c r="R183" s="98" t="str">
        <f>IF(B183&lt;&gt;"",_xlfn.XLOOKUP(B183,TableDispatch[Uniq Id],TableDispatch[Our Ch No.],"",0),"")</f>
        <v/>
      </c>
      <c r="T183" s="26" t="str">
        <f>IF(B183&lt;&gt;"",_xlfn.XLOOKUP(B183,TableDispatch[Uniq Id],TableDispatch[Eway Bill Out],"",0),"")</f>
        <v/>
      </c>
    </row>
    <row r="184" spans="5:20" x14ac:dyDescent="0.25">
      <c r="E184" s="99"/>
      <c r="J184" s="211" t="str">
        <f>IF(B184&lt;&gt;"",_xlfn.XLOOKUP(B184,'2627PR_Loading'!$E$3:$E$501,'2627PR_Loading'!$B$3:$B$501,"",0)&amp;_xlfn.XLOOKUP(B184,'2627PR_Loading'!$K$3:$K$501,'2627PR_Loading'!$B$3:$B$501,"",0)&amp;_xlfn.XLOOKUP(B184,'2627PR_Loading'!$Q$3:$Q$501,'2627PR_Loading'!$B$3:$B$501,"",0),"")</f>
        <v/>
      </c>
      <c r="K184" s="211" t="str">
        <f>IF(B184&lt;&gt;"",_xlfn.XLOOKUP(B184,'2627PR_Loading'!$E$3:$E$501,'2627PR_Loading'!$C$3:$C$501,"",0)&amp;_xlfn.XLOOKUP(B184,'2627PR_Loading'!$K$3:$K$501,'2627PR_Loading'!$C$3:$C$501,"",0)&amp;_xlfn.XLOOKUP(B184,'2627PR_Loading'!$Q$3:$Q$501,'2627PR_Loading'!$C$3:$C$501,"",0),"")</f>
        <v/>
      </c>
      <c r="P184" s="248" t="str">
        <f>IF(B184&lt;&gt;"",_xlfn.XLOOKUP(B184,'2627PR_Loading'!$E$3:$E$501,'2627PR_Loading'!$J$3:$J$501,"",0)&amp;_xlfn.XLOOKUP(B184,'2627PR_Loading'!$K$3:$K$501,'2627PR_Loading'!$P$3:$P$501,"",0)&amp;_xlfn.XLOOKUP(B184,'2627PR_Loading'!$Q$3:$Q$501,'2627PR_Loading'!$V$3:$V$501,"",0),"")</f>
        <v/>
      </c>
      <c r="Q184" s="98" t="str">
        <f>IF(B184&lt;&gt;"",_xlfn.XLOOKUP(B184,TableDispatch[Uniq Id],TableDispatch[Delivery Date],"",0),"")</f>
        <v/>
      </c>
      <c r="R184" s="98" t="str">
        <f>IF(B184&lt;&gt;"",_xlfn.XLOOKUP(B184,TableDispatch[Uniq Id],TableDispatch[Our Ch No.],"",0),"")</f>
        <v/>
      </c>
      <c r="T184" s="26" t="str">
        <f>IF(B184&lt;&gt;"",_xlfn.XLOOKUP(B184,TableDispatch[Uniq Id],TableDispatch[Eway Bill Out],"",0),"")</f>
        <v/>
      </c>
    </row>
    <row r="185" spans="5:20" x14ac:dyDescent="0.25">
      <c r="E185" s="99"/>
      <c r="J185" s="211" t="str">
        <f>IF(B185&lt;&gt;"",_xlfn.XLOOKUP(B185,'2627PR_Loading'!$E$3:$E$501,'2627PR_Loading'!$B$3:$B$501,"",0)&amp;_xlfn.XLOOKUP(B185,'2627PR_Loading'!$K$3:$K$501,'2627PR_Loading'!$B$3:$B$501,"",0)&amp;_xlfn.XLOOKUP(B185,'2627PR_Loading'!$Q$3:$Q$501,'2627PR_Loading'!$B$3:$B$501,"",0),"")</f>
        <v/>
      </c>
      <c r="K185" s="211" t="str">
        <f>IF(B185&lt;&gt;"",_xlfn.XLOOKUP(B185,'2627PR_Loading'!$E$3:$E$501,'2627PR_Loading'!$C$3:$C$501,"",0)&amp;_xlfn.XLOOKUP(B185,'2627PR_Loading'!$K$3:$K$501,'2627PR_Loading'!$C$3:$C$501,"",0)&amp;_xlfn.XLOOKUP(B185,'2627PR_Loading'!$Q$3:$Q$501,'2627PR_Loading'!$C$3:$C$501,"",0),"")</f>
        <v/>
      </c>
      <c r="P185" s="248" t="str">
        <f>IF(B185&lt;&gt;"",_xlfn.XLOOKUP(B185,'2627PR_Loading'!$E$3:$E$501,'2627PR_Loading'!$J$3:$J$501,"",0)&amp;_xlfn.XLOOKUP(B185,'2627PR_Loading'!$K$3:$K$501,'2627PR_Loading'!$P$3:$P$501,"",0)&amp;_xlfn.XLOOKUP(B185,'2627PR_Loading'!$Q$3:$Q$501,'2627PR_Loading'!$V$3:$V$501,"",0),"")</f>
        <v/>
      </c>
      <c r="Q185" s="98" t="str">
        <f>IF(B185&lt;&gt;"",_xlfn.XLOOKUP(B185,TableDispatch[Uniq Id],TableDispatch[Delivery Date],"",0),"")</f>
        <v/>
      </c>
      <c r="R185" s="98" t="str">
        <f>IF(B185&lt;&gt;"",_xlfn.XLOOKUP(B185,TableDispatch[Uniq Id],TableDispatch[Our Ch No.],"",0),"")</f>
        <v/>
      </c>
      <c r="T185" s="26" t="str">
        <f>IF(B185&lt;&gt;"",_xlfn.XLOOKUP(B185,TableDispatch[Uniq Id],TableDispatch[Eway Bill Out],"",0),"")</f>
        <v/>
      </c>
    </row>
    <row r="186" spans="5:20" x14ac:dyDescent="0.25">
      <c r="E186" s="99"/>
      <c r="J186" s="211" t="str">
        <f>IF(B186&lt;&gt;"",_xlfn.XLOOKUP(B186,'2627PR_Loading'!$E$3:$E$501,'2627PR_Loading'!$B$3:$B$501,"",0)&amp;_xlfn.XLOOKUP(B186,'2627PR_Loading'!$K$3:$K$501,'2627PR_Loading'!$B$3:$B$501,"",0)&amp;_xlfn.XLOOKUP(B186,'2627PR_Loading'!$Q$3:$Q$501,'2627PR_Loading'!$B$3:$B$501,"",0),"")</f>
        <v/>
      </c>
      <c r="K186" s="211" t="str">
        <f>IF(B186&lt;&gt;"",_xlfn.XLOOKUP(B186,'2627PR_Loading'!$E$3:$E$501,'2627PR_Loading'!$C$3:$C$501,"",0)&amp;_xlfn.XLOOKUP(B186,'2627PR_Loading'!$K$3:$K$501,'2627PR_Loading'!$C$3:$C$501,"",0)&amp;_xlfn.XLOOKUP(B186,'2627PR_Loading'!$Q$3:$Q$501,'2627PR_Loading'!$C$3:$C$501,"",0),"")</f>
        <v/>
      </c>
      <c r="P186" s="248" t="str">
        <f>IF(B186&lt;&gt;"",_xlfn.XLOOKUP(B186,'2627PR_Loading'!$E$3:$E$501,'2627PR_Loading'!$J$3:$J$501,"",0)&amp;_xlfn.XLOOKUP(B186,'2627PR_Loading'!$K$3:$K$501,'2627PR_Loading'!$P$3:$P$501,"",0)&amp;_xlfn.XLOOKUP(B186,'2627PR_Loading'!$Q$3:$Q$501,'2627PR_Loading'!$V$3:$V$501,"",0),"")</f>
        <v/>
      </c>
      <c r="Q186" s="98" t="str">
        <f>IF(B186&lt;&gt;"",_xlfn.XLOOKUP(B186,TableDispatch[Uniq Id],TableDispatch[Delivery Date],"",0),"")</f>
        <v/>
      </c>
      <c r="R186" s="98" t="str">
        <f>IF(B186&lt;&gt;"",_xlfn.XLOOKUP(B186,TableDispatch[Uniq Id],TableDispatch[Our Ch No.],"",0),"")</f>
        <v/>
      </c>
      <c r="T186" s="26" t="str">
        <f>IF(B186&lt;&gt;"",_xlfn.XLOOKUP(B186,TableDispatch[Uniq Id],TableDispatch[Eway Bill Out],"",0),"")</f>
        <v/>
      </c>
    </row>
    <row r="187" spans="5:20" x14ac:dyDescent="0.25">
      <c r="E187" s="99"/>
      <c r="J187" s="211" t="str">
        <f>IF(B187&lt;&gt;"",_xlfn.XLOOKUP(B187,'2627PR_Loading'!$E$3:$E$501,'2627PR_Loading'!$B$3:$B$501,"",0)&amp;_xlfn.XLOOKUP(B187,'2627PR_Loading'!$K$3:$K$501,'2627PR_Loading'!$B$3:$B$501,"",0)&amp;_xlfn.XLOOKUP(B187,'2627PR_Loading'!$Q$3:$Q$501,'2627PR_Loading'!$B$3:$B$501,"",0),"")</f>
        <v/>
      </c>
      <c r="K187" s="211" t="str">
        <f>IF(B187&lt;&gt;"",_xlfn.XLOOKUP(B187,'2627PR_Loading'!$E$3:$E$501,'2627PR_Loading'!$C$3:$C$501,"",0)&amp;_xlfn.XLOOKUP(B187,'2627PR_Loading'!$K$3:$K$501,'2627PR_Loading'!$C$3:$C$501,"",0)&amp;_xlfn.XLOOKUP(B187,'2627PR_Loading'!$Q$3:$Q$501,'2627PR_Loading'!$C$3:$C$501,"",0),"")</f>
        <v/>
      </c>
      <c r="P187" s="248" t="str">
        <f>IF(B187&lt;&gt;"",_xlfn.XLOOKUP(B187,'2627PR_Loading'!$E$3:$E$501,'2627PR_Loading'!$J$3:$J$501,"",0)&amp;_xlfn.XLOOKUP(B187,'2627PR_Loading'!$K$3:$K$501,'2627PR_Loading'!$P$3:$P$501,"",0)&amp;_xlfn.XLOOKUP(B187,'2627PR_Loading'!$Q$3:$Q$501,'2627PR_Loading'!$V$3:$V$501,"",0),"")</f>
        <v/>
      </c>
      <c r="Q187" s="98" t="str">
        <f>IF(B187&lt;&gt;"",_xlfn.XLOOKUP(B187,TableDispatch[Uniq Id],TableDispatch[Delivery Date],"",0),"")</f>
        <v/>
      </c>
      <c r="R187" s="98" t="str">
        <f>IF(B187&lt;&gt;"",_xlfn.XLOOKUP(B187,TableDispatch[Uniq Id],TableDispatch[Our Ch No.],"",0),"")</f>
        <v/>
      </c>
      <c r="T187" s="26" t="str">
        <f>IF(B187&lt;&gt;"",_xlfn.XLOOKUP(B187,TableDispatch[Uniq Id],TableDispatch[Eway Bill Out],"",0),"")</f>
        <v/>
      </c>
    </row>
    <row r="188" spans="5:20" x14ac:dyDescent="0.25">
      <c r="E188" s="99"/>
      <c r="J188" s="211" t="str">
        <f>IF(B188&lt;&gt;"",_xlfn.XLOOKUP(B188,'2627PR_Loading'!$E$3:$E$501,'2627PR_Loading'!$B$3:$B$501,"",0)&amp;_xlfn.XLOOKUP(B188,'2627PR_Loading'!$K$3:$K$501,'2627PR_Loading'!$B$3:$B$501,"",0)&amp;_xlfn.XLOOKUP(B188,'2627PR_Loading'!$Q$3:$Q$501,'2627PR_Loading'!$B$3:$B$501,"",0),"")</f>
        <v/>
      </c>
      <c r="K188" s="211" t="str">
        <f>IF(B188&lt;&gt;"",_xlfn.XLOOKUP(B188,'2627PR_Loading'!$E$3:$E$501,'2627PR_Loading'!$C$3:$C$501,"",0)&amp;_xlfn.XLOOKUP(B188,'2627PR_Loading'!$K$3:$K$501,'2627PR_Loading'!$C$3:$C$501,"",0)&amp;_xlfn.XLOOKUP(B188,'2627PR_Loading'!$Q$3:$Q$501,'2627PR_Loading'!$C$3:$C$501,"",0),"")</f>
        <v/>
      </c>
      <c r="P188" s="248" t="str">
        <f>IF(B188&lt;&gt;"",_xlfn.XLOOKUP(B188,'2627PR_Loading'!$E$3:$E$501,'2627PR_Loading'!$J$3:$J$501,"",0)&amp;_xlfn.XLOOKUP(B188,'2627PR_Loading'!$K$3:$K$501,'2627PR_Loading'!$P$3:$P$501,"",0)&amp;_xlfn.XLOOKUP(B188,'2627PR_Loading'!$Q$3:$Q$501,'2627PR_Loading'!$V$3:$V$501,"",0),"")</f>
        <v/>
      </c>
      <c r="Q188" s="98" t="str">
        <f>IF(B188&lt;&gt;"",_xlfn.XLOOKUP(B188,TableDispatch[Uniq Id],TableDispatch[Delivery Date],"",0),"")</f>
        <v/>
      </c>
      <c r="R188" s="98" t="str">
        <f>IF(B188&lt;&gt;"",_xlfn.XLOOKUP(B188,TableDispatch[Uniq Id],TableDispatch[Our Ch No.],"",0),"")</f>
        <v/>
      </c>
      <c r="T188" s="26" t="str">
        <f>IF(B188&lt;&gt;"",_xlfn.XLOOKUP(B188,TableDispatch[Uniq Id],TableDispatch[Eway Bill Out],"",0),"")</f>
        <v/>
      </c>
    </row>
    <row r="189" spans="5:20" x14ac:dyDescent="0.25">
      <c r="E189" s="99"/>
      <c r="J189" s="211" t="str">
        <f>IF(B189&lt;&gt;"",_xlfn.XLOOKUP(B189,'2627PR_Loading'!$E$3:$E$501,'2627PR_Loading'!$B$3:$B$501,"",0)&amp;_xlfn.XLOOKUP(B189,'2627PR_Loading'!$K$3:$K$501,'2627PR_Loading'!$B$3:$B$501,"",0)&amp;_xlfn.XLOOKUP(B189,'2627PR_Loading'!$Q$3:$Q$501,'2627PR_Loading'!$B$3:$B$501,"",0),"")</f>
        <v/>
      </c>
      <c r="K189" s="211" t="str">
        <f>IF(B189&lt;&gt;"",_xlfn.XLOOKUP(B189,'2627PR_Loading'!$E$3:$E$501,'2627PR_Loading'!$C$3:$C$501,"",0)&amp;_xlfn.XLOOKUP(B189,'2627PR_Loading'!$K$3:$K$501,'2627PR_Loading'!$C$3:$C$501,"",0)&amp;_xlfn.XLOOKUP(B189,'2627PR_Loading'!$Q$3:$Q$501,'2627PR_Loading'!$C$3:$C$501,"",0),"")</f>
        <v/>
      </c>
      <c r="P189" s="248" t="str">
        <f>IF(B189&lt;&gt;"",_xlfn.XLOOKUP(B189,'2627PR_Loading'!$E$3:$E$501,'2627PR_Loading'!$J$3:$J$501,"",0)&amp;_xlfn.XLOOKUP(B189,'2627PR_Loading'!$K$3:$K$501,'2627PR_Loading'!$P$3:$P$501,"",0)&amp;_xlfn.XLOOKUP(B189,'2627PR_Loading'!$Q$3:$Q$501,'2627PR_Loading'!$V$3:$V$501,"",0),"")</f>
        <v/>
      </c>
      <c r="Q189" s="98" t="str">
        <f>IF(B189&lt;&gt;"",_xlfn.XLOOKUP(B189,TableDispatch[Uniq Id],TableDispatch[Delivery Date],"",0),"")</f>
        <v/>
      </c>
      <c r="R189" s="98" t="str">
        <f>IF(B189&lt;&gt;"",_xlfn.XLOOKUP(B189,TableDispatch[Uniq Id],TableDispatch[Our Ch No.],"",0),"")</f>
        <v/>
      </c>
      <c r="T189" s="26" t="str">
        <f>IF(B189&lt;&gt;"",_xlfn.XLOOKUP(B189,TableDispatch[Uniq Id],TableDispatch[Eway Bill Out],"",0),"")</f>
        <v/>
      </c>
    </row>
    <row r="190" spans="5:20" x14ac:dyDescent="0.25">
      <c r="E190" s="99"/>
      <c r="J190" s="211" t="str">
        <f>IF(B190&lt;&gt;"",_xlfn.XLOOKUP(B190,'2627PR_Loading'!$E$3:$E$501,'2627PR_Loading'!$B$3:$B$501,"",0)&amp;_xlfn.XLOOKUP(B190,'2627PR_Loading'!$K$3:$K$501,'2627PR_Loading'!$B$3:$B$501,"",0)&amp;_xlfn.XLOOKUP(B190,'2627PR_Loading'!$Q$3:$Q$501,'2627PR_Loading'!$B$3:$B$501,"",0),"")</f>
        <v/>
      </c>
      <c r="K190" s="211" t="str">
        <f>IF(B190&lt;&gt;"",_xlfn.XLOOKUP(B190,'2627PR_Loading'!$E$3:$E$501,'2627PR_Loading'!$C$3:$C$501,"",0)&amp;_xlfn.XLOOKUP(B190,'2627PR_Loading'!$K$3:$K$501,'2627PR_Loading'!$C$3:$C$501,"",0)&amp;_xlfn.XLOOKUP(B190,'2627PR_Loading'!$Q$3:$Q$501,'2627PR_Loading'!$C$3:$C$501,"",0),"")</f>
        <v/>
      </c>
      <c r="P190" s="248" t="str">
        <f>IF(B190&lt;&gt;"",_xlfn.XLOOKUP(B190,'2627PR_Loading'!$E$3:$E$501,'2627PR_Loading'!$J$3:$J$501,"",0)&amp;_xlfn.XLOOKUP(B190,'2627PR_Loading'!$K$3:$K$501,'2627PR_Loading'!$P$3:$P$501,"",0)&amp;_xlfn.XLOOKUP(B190,'2627PR_Loading'!$Q$3:$Q$501,'2627PR_Loading'!$V$3:$V$501,"",0),"")</f>
        <v/>
      </c>
      <c r="Q190" s="98" t="str">
        <f>IF(B190&lt;&gt;"",_xlfn.XLOOKUP(B190,TableDispatch[Uniq Id],TableDispatch[Delivery Date],"",0),"")</f>
        <v/>
      </c>
      <c r="R190" s="98" t="str">
        <f>IF(B190&lt;&gt;"",_xlfn.XLOOKUP(B190,TableDispatch[Uniq Id],TableDispatch[Our Ch No.],"",0),"")</f>
        <v/>
      </c>
      <c r="T190" s="26" t="str">
        <f>IF(B190&lt;&gt;"",_xlfn.XLOOKUP(B190,TableDispatch[Uniq Id],TableDispatch[Eway Bill Out],"",0),"")</f>
        <v/>
      </c>
    </row>
    <row r="191" spans="5:20" x14ac:dyDescent="0.25">
      <c r="E191" s="99"/>
      <c r="J191" s="211" t="str">
        <f>IF(B191&lt;&gt;"",_xlfn.XLOOKUP(B191,'2627PR_Loading'!$E$3:$E$501,'2627PR_Loading'!$B$3:$B$501,"",0)&amp;_xlfn.XLOOKUP(B191,'2627PR_Loading'!$K$3:$K$501,'2627PR_Loading'!$B$3:$B$501,"",0)&amp;_xlfn.XLOOKUP(B191,'2627PR_Loading'!$Q$3:$Q$501,'2627PR_Loading'!$B$3:$B$501,"",0),"")</f>
        <v/>
      </c>
      <c r="K191" s="211" t="str">
        <f>IF(B191&lt;&gt;"",_xlfn.XLOOKUP(B191,'2627PR_Loading'!$E$3:$E$501,'2627PR_Loading'!$C$3:$C$501,"",0)&amp;_xlfn.XLOOKUP(B191,'2627PR_Loading'!$K$3:$K$501,'2627PR_Loading'!$C$3:$C$501,"",0)&amp;_xlfn.XLOOKUP(B191,'2627PR_Loading'!$Q$3:$Q$501,'2627PR_Loading'!$C$3:$C$501,"",0),"")</f>
        <v/>
      </c>
      <c r="P191" s="248" t="str">
        <f>IF(B191&lt;&gt;"",_xlfn.XLOOKUP(B191,'2627PR_Loading'!$E$3:$E$501,'2627PR_Loading'!$J$3:$J$501,"",0)&amp;_xlfn.XLOOKUP(B191,'2627PR_Loading'!$K$3:$K$501,'2627PR_Loading'!$P$3:$P$501,"",0)&amp;_xlfn.XLOOKUP(B191,'2627PR_Loading'!$Q$3:$Q$501,'2627PR_Loading'!$V$3:$V$501,"",0),"")</f>
        <v/>
      </c>
      <c r="Q191" s="98" t="str">
        <f>IF(B191&lt;&gt;"",_xlfn.XLOOKUP(B191,TableDispatch[Uniq Id],TableDispatch[Delivery Date],"",0),"")</f>
        <v/>
      </c>
      <c r="R191" s="98" t="str">
        <f>IF(B191&lt;&gt;"",_xlfn.XLOOKUP(B191,TableDispatch[Uniq Id],TableDispatch[Our Ch No.],"",0),"")</f>
        <v/>
      </c>
      <c r="T191" s="26" t="str">
        <f>IF(B191&lt;&gt;"",_xlfn.XLOOKUP(B191,TableDispatch[Uniq Id],TableDispatch[Eway Bill Out],"",0),"")</f>
        <v/>
      </c>
    </row>
    <row r="192" spans="5:20" x14ac:dyDescent="0.25">
      <c r="E192" s="99"/>
      <c r="J192" s="211" t="str">
        <f>IF(B192&lt;&gt;"",_xlfn.XLOOKUP(B192,'2627PR_Loading'!$E$3:$E$501,'2627PR_Loading'!$B$3:$B$501,"",0)&amp;_xlfn.XLOOKUP(B192,'2627PR_Loading'!$K$3:$K$501,'2627PR_Loading'!$B$3:$B$501,"",0)&amp;_xlfn.XLOOKUP(B192,'2627PR_Loading'!$Q$3:$Q$501,'2627PR_Loading'!$B$3:$B$501,"",0),"")</f>
        <v/>
      </c>
      <c r="K192" s="211" t="str">
        <f>IF(B192&lt;&gt;"",_xlfn.XLOOKUP(B192,'2627PR_Loading'!$E$3:$E$501,'2627PR_Loading'!$C$3:$C$501,"",0)&amp;_xlfn.XLOOKUP(B192,'2627PR_Loading'!$K$3:$K$501,'2627PR_Loading'!$C$3:$C$501,"",0)&amp;_xlfn.XLOOKUP(B192,'2627PR_Loading'!$Q$3:$Q$501,'2627PR_Loading'!$C$3:$C$501,"",0),"")</f>
        <v/>
      </c>
      <c r="P192" s="248" t="str">
        <f>IF(B192&lt;&gt;"",_xlfn.XLOOKUP(B192,'2627PR_Loading'!$E$3:$E$501,'2627PR_Loading'!$J$3:$J$501,"",0)&amp;_xlfn.XLOOKUP(B192,'2627PR_Loading'!$K$3:$K$501,'2627PR_Loading'!$P$3:$P$501,"",0)&amp;_xlfn.XLOOKUP(B192,'2627PR_Loading'!$Q$3:$Q$501,'2627PR_Loading'!$V$3:$V$501,"",0),"")</f>
        <v/>
      </c>
      <c r="Q192" s="98" t="str">
        <f>IF(B192&lt;&gt;"",_xlfn.XLOOKUP(B192,TableDispatch[Uniq Id],TableDispatch[Delivery Date],"",0),"")</f>
        <v/>
      </c>
      <c r="R192" s="98" t="str">
        <f>IF(B192&lt;&gt;"",_xlfn.XLOOKUP(B192,TableDispatch[Uniq Id],TableDispatch[Our Ch No.],"",0),"")</f>
        <v/>
      </c>
      <c r="T192" s="26" t="str">
        <f>IF(B192&lt;&gt;"",_xlfn.XLOOKUP(B192,TableDispatch[Uniq Id],TableDispatch[Eway Bill Out],"",0),"")</f>
        <v/>
      </c>
    </row>
    <row r="193" spans="5:20" x14ac:dyDescent="0.25">
      <c r="E193" s="99"/>
      <c r="J193" s="211" t="str">
        <f>IF(B193&lt;&gt;"",_xlfn.XLOOKUP(B193,'2627PR_Loading'!$E$3:$E$501,'2627PR_Loading'!$B$3:$B$501,"",0)&amp;_xlfn.XLOOKUP(B193,'2627PR_Loading'!$K$3:$K$501,'2627PR_Loading'!$B$3:$B$501,"",0)&amp;_xlfn.XLOOKUP(B193,'2627PR_Loading'!$Q$3:$Q$501,'2627PR_Loading'!$B$3:$B$501,"",0),"")</f>
        <v/>
      </c>
      <c r="K193" s="211" t="str">
        <f>IF(B193&lt;&gt;"",_xlfn.XLOOKUP(B193,'2627PR_Loading'!$E$3:$E$501,'2627PR_Loading'!$C$3:$C$501,"",0)&amp;_xlfn.XLOOKUP(B193,'2627PR_Loading'!$K$3:$K$501,'2627PR_Loading'!$C$3:$C$501,"",0)&amp;_xlfn.XLOOKUP(B193,'2627PR_Loading'!$Q$3:$Q$501,'2627PR_Loading'!$C$3:$C$501,"",0),"")</f>
        <v/>
      </c>
      <c r="P193" s="248" t="str">
        <f>IF(B193&lt;&gt;"",_xlfn.XLOOKUP(B193,'2627PR_Loading'!$E$3:$E$501,'2627PR_Loading'!$J$3:$J$501,"",0)&amp;_xlfn.XLOOKUP(B193,'2627PR_Loading'!$K$3:$K$501,'2627PR_Loading'!$P$3:$P$501,"",0)&amp;_xlfn.XLOOKUP(B193,'2627PR_Loading'!$Q$3:$Q$501,'2627PR_Loading'!$V$3:$V$501,"",0),"")</f>
        <v/>
      </c>
      <c r="Q193" s="98" t="str">
        <f>IF(B193&lt;&gt;"",_xlfn.XLOOKUP(B193,TableDispatch[Uniq Id],TableDispatch[Delivery Date],"",0),"")</f>
        <v/>
      </c>
      <c r="R193" s="98" t="str">
        <f>IF(B193&lt;&gt;"",_xlfn.XLOOKUP(B193,TableDispatch[Uniq Id],TableDispatch[Our Ch No.],"",0),"")</f>
        <v/>
      </c>
      <c r="T193" s="26" t="str">
        <f>IF(B193&lt;&gt;"",_xlfn.XLOOKUP(B193,TableDispatch[Uniq Id],TableDispatch[Eway Bill Out],"",0),"")</f>
        <v/>
      </c>
    </row>
    <row r="194" spans="5:20" x14ac:dyDescent="0.25">
      <c r="E194" s="99"/>
      <c r="J194" s="211" t="str">
        <f>IF(B194&lt;&gt;"",_xlfn.XLOOKUP(B194,'2627PR_Loading'!$E$3:$E$501,'2627PR_Loading'!$B$3:$B$501,"",0)&amp;_xlfn.XLOOKUP(B194,'2627PR_Loading'!$K$3:$K$501,'2627PR_Loading'!$B$3:$B$501,"",0)&amp;_xlfn.XLOOKUP(B194,'2627PR_Loading'!$Q$3:$Q$501,'2627PR_Loading'!$B$3:$B$501,"",0),"")</f>
        <v/>
      </c>
      <c r="K194" s="211" t="str">
        <f>IF(B194&lt;&gt;"",_xlfn.XLOOKUP(B194,'2627PR_Loading'!$E$3:$E$501,'2627PR_Loading'!$C$3:$C$501,"",0)&amp;_xlfn.XLOOKUP(B194,'2627PR_Loading'!$K$3:$K$501,'2627PR_Loading'!$C$3:$C$501,"",0)&amp;_xlfn.XLOOKUP(B194,'2627PR_Loading'!$Q$3:$Q$501,'2627PR_Loading'!$C$3:$C$501,"",0),"")</f>
        <v/>
      </c>
      <c r="P194" s="248" t="str">
        <f>IF(B194&lt;&gt;"",_xlfn.XLOOKUP(B194,'2627PR_Loading'!$E$3:$E$501,'2627PR_Loading'!$J$3:$J$501,"",0)&amp;_xlfn.XLOOKUP(B194,'2627PR_Loading'!$K$3:$K$501,'2627PR_Loading'!$P$3:$P$501,"",0)&amp;_xlfn.XLOOKUP(B194,'2627PR_Loading'!$Q$3:$Q$501,'2627PR_Loading'!$V$3:$V$501,"",0),"")</f>
        <v/>
      </c>
      <c r="Q194" s="98" t="str">
        <f>IF(B194&lt;&gt;"",_xlfn.XLOOKUP(B194,TableDispatch[Uniq Id],TableDispatch[Delivery Date],"",0),"")</f>
        <v/>
      </c>
      <c r="R194" s="98" t="str">
        <f>IF(B194&lt;&gt;"",_xlfn.XLOOKUP(B194,TableDispatch[Uniq Id],TableDispatch[Our Ch No.],"",0),"")</f>
        <v/>
      </c>
      <c r="T194" s="26" t="str">
        <f>IF(B194&lt;&gt;"",_xlfn.XLOOKUP(B194,TableDispatch[Uniq Id],TableDispatch[Eway Bill Out],"",0),"")</f>
        <v/>
      </c>
    </row>
    <row r="195" spans="5:20" x14ac:dyDescent="0.25">
      <c r="E195" s="99"/>
      <c r="J195" s="211" t="str">
        <f>IF(B195&lt;&gt;"",_xlfn.XLOOKUP(B195,'2627PR_Loading'!$E$3:$E$501,'2627PR_Loading'!$B$3:$B$501,"",0)&amp;_xlfn.XLOOKUP(B195,'2627PR_Loading'!$K$3:$K$501,'2627PR_Loading'!$B$3:$B$501,"",0)&amp;_xlfn.XLOOKUP(B195,'2627PR_Loading'!$Q$3:$Q$501,'2627PR_Loading'!$B$3:$B$501,"",0),"")</f>
        <v/>
      </c>
      <c r="K195" s="211" t="str">
        <f>IF(B195&lt;&gt;"",_xlfn.XLOOKUP(B195,'2627PR_Loading'!$E$3:$E$501,'2627PR_Loading'!$C$3:$C$501,"",0)&amp;_xlfn.XLOOKUP(B195,'2627PR_Loading'!$K$3:$K$501,'2627PR_Loading'!$C$3:$C$501,"",0)&amp;_xlfn.XLOOKUP(B195,'2627PR_Loading'!$Q$3:$Q$501,'2627PR_Loading'!$C$3:$C$501,"",0),"")</f>
        <v/>
      </c>
      <c r="P195" s="248" t="str">
        <f>IF(B195&lt;&gt;"",_xlfn.XLOOKUP(B195,'2627PR_Loading'!$E$3:$E$501,'2627PR_Loading'!$J$3:$J$501,"",0)&amp;_xlfn.XLOOKUP(B195,'2627PR_Loading'!$K$3:$K$501,'2627PR_Loading'!$P$3:$P$501,"",0)&amp;_xlfn.XLOOKUP(B195,'2627PR_Loading'!$Q$3:$Q$501,'2627PR_Loading'!$V$3:$V$501,"",0),"")</f>
        <v/>
      </c>
      <c r="Q195" s="98" t="str">
        <f>IF(B195&lt;&gt;"",_xlfn.XLOOKUP(B195,TableDispatch[Uniq Id],TableDispatch[Delivery Date],"",0),"")</f>
        <v/>
      </c>
      <c r="R195" s="98" t="str">
        <f>IF(B195&lt;&gt;"",_xlfn.XLOOKUP(B195,TableDispatch[Uniq Id],TableDispatch[Our Ch No.],"",0),"")</f>
        <v/>
      </c>
      <c r="T195" s="26" t="str">
        <f>IF(B195&lt;&gt;"",_xlfn.XLOOKUP(B195,TableDispatch[Uniq Id],TableDispatch[Eway Bill Out],"",0),"")</f>
        <v/>
      </c>
    </row>
    <row r="196" spans="5:20" x14ac:dyDescent="0.25">
      <c r="E196" s="99"/>
      <c r="J196" s="211" t="str">
        <f>IF(B196&lt;&gt;"",_xlfn.XLOOKUP(B196,'2627PR_Loading'!$E$3:$E$501,'2627PR_Loading'!$B$3:$B$501,"",0)&amp;_xlfn.XLOOKUP(B196,'2627PR_Loading'!$K$3:$K$501,'2627PR_Loading'!$B$3:$B$501,"",0)&amp;_xlfn.XLOOKUP(B196,'2627PR_Loading'!$Q$3:$Q$501,'2627PR_Loading'!$B$3:$B$501,"",0),"")</f>
        <v/>
      </c>
      <c r="K196" s="211" t="str">
        <f>IF(B196&lt;&gt;"",_xlfn.XLOOKUP(B196,'2627PR_Loading'!$E$3:$E$501,'2627PR_Loading'!$C$3:$C$501,"",0)&amp;_xlfn.XLOOKUP(B196,'2627PR_Loading'!$K$3:$K$501,'2627PR_Loading'!$C$3:$C$501,"",0)&amp;_xlfn.XLOOKUP(B196,'2627PR_Loading'!$Q$3:$Q$501,'2627PR_Loading'!$C$3:$C$501,"",0),"")</f>
        <v/>
      </c>
      <c r="P196" s="248" t="str">
        <f>IF(B196&lt;&gt;"",_xlfn.XLOOKUP(B196,'2627PR_Loading'!$E$3:$E$501,'2627PR_Loading'!$J$3:$J$501,"",0)&amp;_xlfn.XLOOKUP(B196,'2627PR_Loading'!$K$3:$K$501,'2627PR_Loading'!$P$3:$P$501,"",0)&amp;_xlfn.XLOOKUP(B196,'2627PR_Loading'!$Q$3:$Q$501,'2627PR_Loading'!$V$3:$V$501,"",0),"")</f>
        <v/>
      </c>
      <c r="Q196" s="98" t="str">
        <f>IF(B196&lt;&gt;"",_xlfn.XLOOKUP(B196,TableDispatch[Uniq Id],TableDispatch[Delivery Date],"",0),"")</f>
        <v/>
      </c>
      <c r="R196" s="98" t="str">
        <f>IF(B196&lt;&gt;"",_xlfn.XLOOKUP(B196,TableDispatch[Uniq Id],TableDispatch[Our Ch No.],"",0),"")</f>
        <v/>
      </c>
      <c r="T196" s="26" t="str">
        <f>IF(B196&lt;&gt;"",_xlfn.XLOOKUP(B196,TableDispatch[Uniq Id],TableDispatch[Eway Bill Out],"",0),"")</f>
        <v/>
      </c>
    </row>
    <row r="197" spans="5:20" x14ac:dyDescent="0.25">
      <c r="E197" s="99"/>
      <c r="J197" s="211" t="str">
        <f>IF(B197&lt;&gt;"",_xlfn.XLOOKUP(B197,'2627PR_Loading'!$E$3:$E$501,'2627PR_Loading'!$B$3:$B$501,"",0)&amp;_xlfn.XLOOKUP(B197,'2627PR_Loading'!$K$3:$K$501,'2627PR_Loading'!$B$3:$B$501,"",0)&amp;_xlfn.XLOOKUP(B197,'2627PR_Loading'!$Q$3:$Q$501,'2627PR_Loading'!$B$3:$B$501,"",0),"")</f>
        <v/>
      </c>
      <c r="K197" s="211" t="str">
        <f>IF(B197&lt;&gt;"",_xlfn.XLOOKUP(B197,'2627PR_Loading'!$E$3:$E$501,'2627PR_Loading'!$C$3:$C$501,"",0)&amp;_xlfn.XLOOKUP(B197,'2627PR_Loading'!$K$3:$K$501,'2627PR_Loading'!$C$3:$C$501,"",0)&amp;_xlfn.XLOOKUP(B197,'2627PR_Loading'!$Q$3:$Q$501,'2627PR_Loading'!$C$3:$C$501,"",0),"")</f>
        <v/>
      </c>
      <c r="P197" s="248" t="str">
        <f>IF(B197&lt;&gt;"",_xlfn.XLOOKUP(B197,'2627PR_Loading'!$E$3:$E$501,'2627PR_Loading'!$J$3:$J$501,"",0)&amp;_xlfn.XLOOKUP(B197,'2627PR_Loading'!$K$3:$K$501,'2627PR_Loading'!$P$3:$P$501,"",0)&amp;_xlfn.XLOOKUP(B197,'2627PR_Loading'!$Q$3:$Q$501,'2627PR_Loading'!$V$3:$V$501,"",0),"")</f>
        <v/>
      </c>
      <c r="Q197" s="98" t="str">
        <f>IF(B197&lt;&gt;"",_xlfn.XLOOKUP(B197,TableDispatch[Uniq Id],TableDispatch[Delivery Date],"",0),"")</f>
        <v/>
      </c>
      <c r="R197" s="98" t="str">
        <f>IF(B197&lt;&gt;"",_xlfn.XLOOKUP(B197,TableDispatch[Uniq Id],TableDispatch[Our Ch No.],"",0),"")</f>
        <v/>
      </c>
      <c r="T197" s="26" t="str">
        <f>IF(B197&lt;&gt;"",_xlfn.XLOOKUP(B197,TableDispatch[Uniq Id],TableDispatch[Eway Bill Out],"",0),"")</f>
        <v/>
      </c>
    </row>
    <row r="198" spans="5:20" x14ac:dyDescent="0.25">
      <c r="E198" s="99"/>
      <c r="J198" s="211" t="str">
        <f>IF(B198&lt;&gt;"",_xlfn.XLOOKUP(B198,'2627PR_Loading'!$E$3:$E$501,'2627PR_Loading'!$B$3:$B$501,"",0)&amp;_xlfn.XLOOKUP(B198,'2627PR_Loading'!$K$3:$K$501,'2627PR_Loading'!$B$3:$B$501,"",0)&amp;_xlfn.XLOOKUP(B198,'2627PR_Loading'!$Q$3:$Q$501,'2627PR_Loading'!$B$3:$B$501,"",0),"")</f>
        <v/>
      </c>
      <c r="K198" s="211" t="str">
        <f>IF(B198&lt;&gt;"",_xlfn.XLOOKUP(B198,'2627PR_Loading'!$E$3:$E$501,'2627PR_Loading'!$C$3:$C$501,"",0)&amp;_xlfn.XLOOKUP(B198,'2627PR_Loading'!$K$3:$K$501,'2627PR_Loading'!$C$3:$C$501,"",0)&amp;_xlfn.XLOOKUP(B198,'2627PR_Loading'!$Q$3:$Q$501,'2627PR_Loading'!$C$3:$C$501,"",0),"")</f>
        <v/>
      </c>
      <c r="P198" s="248" t="str">
        <f>IF(B198&lt;&gt;"",_xlfn.XLOOKUP(B198,'2627PR_Loading'!$E$3:$E$501,'2627PR_Loading'!$J$3:$J$501,"",0)&amp;_xlfn.XLOOKUP(B198,'2627PR_Loading'!$K$3:$K$501,'2627PR_Loading'!$P$3:$P$501,"",0)&amp;_xlfn.XLOOKUP(B198,'2627PR_Loading'!$Q$3:$Q$501,'2627PR_Loading'!$V$3:$V$501,"",0),"")</f>
        <v/>
      </c>
      <c r="Q198" s="98" t="str">
        <f>IF(B198&lt;&gt;"",_xlfn.XLOOKUP(B198,TableDispatch[Uniq Id],TableDispatch[Delivery Date],"",0),"")</f>
        <v/>
      </c>
      <c r="R198" s="98" t="str">
        <f>IF(B198&lt;&gt;"",_xlfn.XLOOKUP(B198,TableDispatch[Uniq Id],TableDispatch[Our Ch No.],"",0),"")</f>
        <v/>
      </c>
      <c r="T198" s="26" t="str">
        <f>IF(B198&lt;&gt;"",_xlfn.XLOOKUP(B198,TableDispatch[Uniq Id],TableDispatch[Eway Bill Out],"",0),"")</f>
        <v/>
      </c>
    </row>
    <row r="199" spans="5:20" x14ac:dyDescent="0.25">
      <c r="E199" s="99"/>
      <c r="J199" s="211" t="str">
        <f>IF(B199&lt;&gt;"",_xlfn.XLOOKUP(B199,'2627PR_Loading'!$E$3:$E$501,'2627PR_Loading'!$B$3:$B$501,"",0)&amp;_xlfn.XLOOKUP(B199,'2627PR_Loading'!$K$3:$K$501,'2627PR_Loading'!$B$3:$B$501,"",0)&amp;_xlfn.XLOOKUP(B199,'2627PR_Loading'!$Q$3:$Q$501,'2627PR_Loading'!$B$3:$B$501,"",0),"")</f>
        <v/>
      </c>
      <c r="K199" s="211" t="str">
        <f>IF(B199&lt;&gt;"",_xlfn.XLOOKUP(B199,'2627PR_Loading'!$E$3:$E$501,'2627PR_Loading'!$C$3:$C$501,"",0)&amp;_xlfn.XLOOKUP(B199,'2627PR_Loading'!$K$3:$K$501,'2627PR_Loading'!$C$3:$C$501,"",0)&amp;_xlfn.XLOOKUP(B199,'2627PR_Loading'!$Q$3:$Q$501,'2627PR_Loading'!$C$3:$C$501,"",0),"")</f>
        <v/>
      </c>
      <c r="P199" s="248" t="str">
        <f>IF(B199&lt;&gt;"",_xlfn.XLOOKUP(B199,'2627PR_Loading'!$E$3:$E$501,'2627PR_Loading'!$J$3:$J$501,"",0)&amp;_xlfn.XLOOKUP(B199,'2627PR_Loading'!$K$3:$K$501,'2627PR_Loading'!$P$3:$P$501,"",0)&amp;_xlfn.XLOOKUP(B199,'2627PR_Loading'!$Q$3:$Q$501,'2627PR_Loading'!$V$3:$V$501,"",0),"")</f>
        <v/>
      </c>
      <c r="Q199" s="98" t="str">
        <f>IF(B199&lt;&gt;"",_xlfn.XLOOKUP(B199,TableDispatch[Uniq Id],TableDispatch[Delivery Date],"",0),"")</f>
        <v/>
      </c>
      <c r="R199" s="98" t="str">
        <f>IF(B199&lt;&gt;"",_xlfn.XLOOKUP(B199,TableDispatch[Uniq Id],TableDispatch[Our Ch No.],"",0),"")</f>
        <v/>
      </c>
      <c r="T199" s="26" t="str">
        <f>IF(B199&lt;&gt;"",_xlfn.XLOOKUP(B199,TableDispatch[Uniq Id],TableDispatch[Eway Bill Out],"",0),"")</f>
        <v/>
      </c>
    </row>
    <row r="200" spans="5:20" x14ac:dyDescent="0.25">
      <c r="E200" s="99"/>
      <c r="J200" s="211" t="str">
        <f>IF(B200&lt;&gt;"",_xlfn.XLOOKUP(B200,'2627PR_Loading'!$E$3:$E$501,'2627PR_Loading'!$B$3:$B$501,"",0)&amp;_xlfn.XLOOKUP(B200,'2627PR_Loading'!$K$3:$K$501,'2627PR_Loading'!$B$3:$B$501,"",0)&amp;_xlfn.XLOOKUP(B200,'2627PR_Loading'!$Q$3:$Q$501,'2627PR_Loading'!$B$3:$B$501,"",0),"")</f>
        <v/>
      </c>
      <c r="K200" s="211" t="str">
        <f>IF(B200&lt;&gt;"",_xlfn.XLOOKUP(B200,'2627PR_Loading'!$E$3:$E$501,'2627PR_Loading'!$C$3:$C$501,"",0)&amp;_xlfn.XLOOKUP(B200,'2627PR_Loading'!$K$3:$K$501,'2627PR_Loading'!$C$3:$C$501,"",0)&amp;_xlfn.XLOOKUP(B200,'2627PR_Loading'!$Q$3:$Q$501,'2627PR_Loading'!$C$3:$C$501,"",0),"")</f>
        <v/>
      </c>
      <c r="P200" s="248" t="str">
        <f>IF(B200&lt;&gt;"",_xlfn.XLOOKUP(B200,'2627PR_Loading'!$E$3:$E$501,'2627PR_Loading'!$J$3:$J$501,"",0)&amp;_xlfn.XLOOKUP(B200,'2627PR_Loading'!$K$3:$K$501,'2627PR_Loading'!$P$3:$P$501,"",0)&amp;_xlfn.XLOOKUP(B200,'2627PR_Loading'!$Q$3:$Q$501,'2627PR_Loading'!$V$3:$V$501,"",0),"")</f>
        <v/>
      </c>
      <c r="Q200" s="98" t="str">
        <f>IF(B200&lt;&gt;"",_xlfn.XLOOKUP(B200,TableDispatch[Uniq Id],TableDispatch[Delivery Date],"",0),"")</f>
        <v/>
      </c>
      <c r="R200" s="98" t="str">
        <f>IF(B200&lt;&gt;"",_xlfn.XLOOKUP(B200,TableDispatch[Uniq Id],TableDispatch[Our Ch No.],"",0),"")</f>
        <v/>
      </c>
      <c r="T200" s="26" t="str">
        <f>IF(B200&lt;&gt;"",_xlfn.XLOOKUP(B200,TableDispatch[Uniq Id],TableDispatch[Eway Bill Out],"",0),"")</f>
        <v/>
      </c>
    </row>
    <row r="201" spans="5:20" x14ac:dyDescent="0.25">
      <c r="E201" s="99"/>
      <c r="J201" s="211" t="str">
        <f>IF(B201&lt;&gt;"",_xlfn.XLOOKUP(B201,'2627PR_Loading'!$E$3:$E$501,'2627PR_Loading'!$B$3:$B$501,"",0)&amp;_xlfn.XLOOKUP(B201,'2627PR_Loading'!$K$3:$K$501,'2627PR_Loading'!$B$3:$B$501,"",0)&amp;_xlfn.XLOOKUP(B201,'2627PR_Loading'!$Q$3:$Q$501,'2627PR_Loading'!$B$3:$B$501,"",0),"")</f>
        <v/>
      </c>
      <c r="K201" s="211" t="str">
        <f>IF(B201&lt;&gt;"",_xlfn.XLOOKUP(B201,'2627PR_Loading'!$E$3:$E$501,'2627PR_Loading'!$C$3:$C$501,"",0)&amp;_xlfn.XLOOKUP(B201,'2627PR_Loading'!$K$3:$K$501,'2627PR_Loading'!$C$3:$C$501,"",0)&amp;_xlfn.XLOOKUP(B201,'2627PR_Loading'!$Q$3:$Q$501,'2627PR_Loading'!$C$3:$C$501,"",0),"")</f>
        <v/>
      </c>
      <c r="P201" s="248" t="str">
        <f>IF(B201&lt;&gt;"",_xlfn.XLOOKUP(B201,'2627PR_Loading'!$E$3:$E$501,'2627PR_Loading'!$J$3:$J$501,"",0)&amp;_xlfn.XLOOKUP(B201,'2627PR_Loading'!$K$3:$K$501,'2627PR_Loading'!$P$3:$P$501,"",0)&amp;_xlfn.XLOOKUP(B201,'2627PR_Loading'!$Q$3:$Q$501,'2627PR_Loading'!$V$3:$V$501,"",0),"")</f>
        <v/>
      </c>
      <c r="Q201" s="98" t="str">
        <f>IF(B201&lt;&gt;"",_xlfn.XLOOKUP(B201,TableDispatch[Uniq Id],TableDispatch[Delivery Date],"",0),"")</f>
        <v/>
      </c>
      <c r="R201" s="98" t="str">
        <f>IF(B201&lt;&gt;"",_xlfn.XLOOKUP(B201,TableDispatch[Uniq Id],TableDispatch[Our Ch No.],"",0),"")</f>
        <v/>
      </c>
      <c r="T201" s="26" t="str">
        <f>IF(B201&lt;&gt;"",_xlfn.XLOOKUP(B201,TableDispatch[Uniq Id],TableDispatch[Eway Bill Out],"",0),"")</f>
        <v/>
      </c>
    </row>
    <row r="202" spans="5:20" x14ac:dyDescent="0.25">
      <c r="E202" s="99"/>
      <c r="J202" s="211" t="str">
        <f>IF(B202&lt;&gt;"",_xlfn.XLOOKUP(B202,'2627PR_Loading'!$E$3:$E$501,'2627PR_Loading'!$B$3:$B$501,"",0)&amp;_xlfn.XLOOKUP(B202,'2627PR_Loading'!$K$3:$K$501,'2627PR_Loading'!$B$3:$B$501,"",0)&amp;_xlfn.XLOOKUP(B202,'2627PR_Loading'!$Q$3:$Q$501,'2627PR_Loading'!$B$3:$B$501,"",0),"")</f>
        <v/>
      </c>
      <c r="K202" s="211" t="str">
        <f>IF(B202&lt;&gt;"",_xlfn.XLOOKUP(B202,'2627PR_Loading'!$E$3:$E$501,'2627PR_Loading'!$C$3:$C$501,"",0)&amp;_xlfn.XLOOKUP(B202,'2627PR_Loading'!$K$3:$K$501,'2627PR_Loading'!$C$3:$C$501,"",0)&amp;_xlfn.XLOOKUP(B202,'2627PR_Loading'!$Q$3:$Q$501,'2627PR_Loading'!$C$3:$C$501,"",0),"")</f>
        <v/>
      </c>
      <c r="P202" s="248" t="str">
        <f>IF(B202&lt;&gt;"",_xlfn.XLOOKUP(B202,'2627PR_Loading'!$E$3:$E$501,'2627PR_Loading'!$J$3:$J$501,"",0)&amp;_xlfn.XLOOKUP(B202,'2627PR_Loading'!$K$3:$K$501,'2627PR_Loading'!$P$3:$P$501,"",0)&amp;_xlfn.XLOOKUP(B202,'2627PR_Loading'!$Q$3:$Q$501,'2627PR_Loading'!$V$3:$V$501,"",0),"")</f>
        <v/>
      </c>
      <c r="Q202" s="98" t="str">
        <f>IF(B202&lt;&gt;"",_xlfn.XLOOKUP(B202,TableDispatch[Uniq Id],TableDispatch[Delivery Date],"",0),"")</f>
        <v/>
      </c>
      <c r="R202" s="98" t="str">
        <f>IF(B202&lt;&gt;"",_xlfn.XLOOKUP(B202,TableDispatch[Uniq Id],TableDispatch[Our Ch No.],"",0),"")</f>
        <v/>
      </c>
      <c r="T202" s="26" t="str">
        <f>IF(B202&lt;&gt;"",_xlfn.XLOOKUP(B202,TableDispatch[Uniq Id],TableDispatch[Eway Bill Out],"",0),"")</f>
        <v/>
      </c>
    </row>
    <row r="203" spans="5:20" x14ac:dyDescent="0.25">
      <c r="E203" s="99"/>
      <c r="J203" s="211" t="str">
        <f>IF(B203&lt;&gt;"",_xlfn.XLOOKUP(B203,'2627PR_Loading'!$E$3:$E$501,'2627PR_Loading'!$B$3:$B$501,"",0)&amp;_xlfn.XLOOKUP(B203,'2627PR_Loading'!$K$3:$K$501,'2627PR_Loading'!$B$3:$B$501,"",0)&amp;_xlfn.XLOOKUP(B203,'2627PR_Loading'!$Q$3:$Q$501,'2627PR_Loading'!$B$3:$B$501,"",0),"")</f>
        <v/>
      </c>
      <c r="K203" s="211" t="str">
        <f>IF(B203&lt;&gt;"",_xlfn.XLOOKUP(B203,'2627PR_Loading'!$E$3:$E$501,'2627PR_Loading'!$C$3:$C$501,"",0)&amp;_xlfn.XLOOKUP(B203,'2627PR_Loading'!$K$3:$K$501,'2627PR_Loading'!$C$3:$C$501,"",0)&amp;_xlfn.XLOOKUP(B203,'2627PR_Loading'!$Q$3:$Q$501,'2627PR_Loading'!$C$3:$C$501,"",0),"")</f>
        <v/>
      </c>
      <c r="P203" s="248" t="str">
        <f>IF(B203&lt;&gt;"",_xlfn.XLOOKUP(B203,'2627PR_Loading'!$E$3:$E$501,'2627PR_Loading'!$J$3:$J$501,"",0)&amp;_xlfn.XLOOKUP(B203,'2627PR_Loading'!$K$3:$K$501,'2627PR_Loading'!$P$3:$P$501,"",0)&amp;_xlfn.XLOOKUP(B203,'2627PR_Loading'!$Q$3:$Q$501,'2627PR_Loading'!$V$3:$V$501,"",0),"")</f>
        <v/>
      </c>
      <c r="Q203" s="98" t="str">
        <f>IF(B203&lt;&gt;"",_xlfn.XLOOKUP(B203,TableDispatch[Uniq Id],TableDispatch[Delivery Date],"",0),"")</f>
        <v/>
      </c>
      <c r="R203" s="98" t="str">
        <f>IF(B203&lt;&gt;"",_xlfn.XLOOKUP(B203,TableDispatch[Uniq Id],TableDispatch[Our Ch No.],"",0),"")</f>
        <v/>
      </c>
      <c r="T203" s="26" t="str">
        <f>IF(B203&lt;&gt;"",_xlfn.XLOOKUP(B203,TableDispatch[Uniq Id],TableDispatch[Eway Bill Out],"",0),"")</f>
        <v/>
      </c>
    </row>
    <row r="204" spans="5:20" x14ac:dyDescent="0.25">
      <c r="E204" s="99"/>
      <c r="J204" s="211" t="str">
        <f>IF(B204&lt;&gt;"",_xlfn.XLOOKUP(B204,'2627PR_Loading'!$E$3:$E$501,'2627PR_Loading'!$B$3:$B$501,"",0)&amp;_xlfn.XLOOKUP(B204,'2627PR_Loading'!$K$3:$K$501,'2627PR_Loading'!$B$3:$B$501,"",0)&amp;_xlfn.XLOOKUP(B204,'2627PR_Loading'!$Q$3:$Q$501,'2627PR_Loading'!$B$3:$B$501,"",0),"")</f>
        <v/>
      </c>
      <c r="K204" s="211" t="str">
        <f>IF(B204&lt;&gt;"",_xlfn.XLOOKUP(B204,'2627PR_Loading'!$E$3:$E$501,'2627PR_Loading'!$C$3:$C$501,"",0)&amp;_xlfn.XLOOKUP(B204,'2627PR_Loading'!$K$3:$K$501,'2627PR_Loading'!$C$3:$C$501,"",0)&amp;_xlfn.XLOOKUP(B204,'2627PR_Loading'!$Q$3:$Q$501,'2627PR_Loading'!$C$3:$C$501,"",0),"")</f>
        <v/>
      </c>
      <c r="P204" s="248" t="str">
        <f>IF(B204&lt;&gt;"",_xlfn.XLOOKUP(B204,'2627PR_Loading'!$E$3:$E$501,'2627PR_Loading'!$J$3:$J$501,"",0)&amp;_xlfn.XLOOKUP(B204,'2627PR_Loading'!$K$3:$K$501,'2627PR_Loading'!$P$3:$P$501,"",0)&amp;_xlfn.XLOOKUP(B204,'2627PR_Loading'!$Q$3:$Q$501,'2627PR_Loading'!$V$3:$V$501,"",0),"")</f>
        <v/>
      </c>
      <c r="Q204" s="98" t="str">
        <f>IF(B204&lt;&gt;"",_xlfn.XLOOKUP(B204,TableDispatch[Uniq Id],TableDispatch[Delivery Date],"",0),"")</f>
        <v/>
      </c>
      <c r="R204" s="98" t="str">
        <f>IF(B204&lt;&gt;"",_xlfn.XLOOKUP(B204,TableDispatch[Uniq Id],TableDispatch[Our Ch No.],"",0),"")</f>
        <v/>
      </c>
      <c r="T204" s="26" t="str">
        <f>IF(B204&lt;&gt;"",_xlfn.XLOOKUP(B204,TableDispatch[Uniq Id],TableDispatch[Eway Bill Out],"",0),"")</f>
        <v/>
      </c>
    </row>
    <row r="205" spans="5:20" x14ac:dyDescent="0.25">
      <c r="E205" s="99"/>
      <c r="J205" s="211" t="str">
        <f>IF(B205&lt;&gt;"",_xlfn.XLOOKUP(B205,'2627PR_Loading'!$E$3:$E$501,'2627PR_Loading'!$B$3:$B$501,"",0)&amp;_xlfn.XLOOKUP(B205,'2627PR_Loading'!$K$3:$K$501,'2627PR_Loading'!$B$3:$B$501,"",0)&amp;_xlfn.XLOOKUP(B205,'2627PR_Loading'!$Q$3:$Q$501,'2627PR_Loading'!$B$3:$B$501,"",0),"")</f>
        <v/>
      </c>
      <c r="K205" s="211" t="str">
        <f>IF(B205&lt;&gt;"",_xlfn.XLOOKUP(B205,'2627PR_Loading'!$E$3:$E$501,'2627PR_Loading'!$C$3:$C$501,"",0)&amp;_xlfn.XLOOKUP(B205,'2627PR_Loading'!$K$3:$K$501,'2627PR_Loading'!$C$3:$C$501,"",0)&amp;_xlfn.XLOOKUP(B205,'2627PR_Loading'!$Q$3:$Q$501,'2627PR_Loading'!$C$3:$C$501,"",0),"")</f>
        <v/>
      </c>
      <c r="P205" s="248" t="str">
        <f>IF(B205&lt;&gt;"",_xlfn.XLOOKUP(B205,'2627PR_Loading'!$E$3:$E$501,'2627PR_Loading'!$J$3:$J$501,"",0)&amp;_xlfn.XLOOKUP(B205,'2627PR_Loading'!$K$3:$K$501,'2627PR_Loading'!$P$3:$P$501,"",0)&amp;_xlfn.XLOOKUP(B205,'2627PR_Loading'!$Q$3:$Q$501,'2627PR_Loading'!$V$3:$V$501,"",0),"")</f>
        <v/>
      </c>
      <c r="Q205" s="98" t="str">
        <f>IF(B205&lt;&gt;"",_xlfn.XLOOKUP(B205,TableDispatch[Uniq Id],TableDispatch[Delivery Date],"",0),"")</f>
        <v/>
      </c>
      <c r="R205" s="98" t="str">
        <f>IF(B205&lt;&gt;"",_xlfn.XLOOKUP(B205,TableDispatch[Uniq Id],TableDispatch[Our Ch No.],"",0),"")</f>
        <v/>
      </c>
      <c r="T205" s="26" t="str">
        <f>IF(B205&lt;&gt;"",_xlfn.XLOOKUP(B205,TableDispatch[Uniq Id],TableDispatch[Eway Bill Out],"",0),"")</f>
        <v/>
      </c>
    </row>
    <row r="206" spans="5:20" x14ac:dyDescent="0.25">
      <c r="E206" s="99"/>
      <c r="J206" s="211" t="str">
        <f>IF(B206&lt;&gt;"",_xlfn.XLOOKUP(B206,'2627PR_Loading'!$E$3:$E$501,'2627PR_Loading'!$B$3:$B$501,"",0)&amp;_xlfn.XLOOKUP(B206,'2627PR_Loading'!$K$3:$K$501,'2627PR_Loading'!$B$3:$B$501,"",0)&amp;_xlfn.XLOOKUP(B206,'2627PR_Loading'!$Q$3:$Q$501,'2627PR_Loading'!$B$3:$B$501,"",0),"")</f>
        <v/>
      </c>
      <c r="K206" s="211" t="str">
        <f>IF(B206&lt;&gt;"",_xlfn.XLOOKUP(B206,'2627PR_Loading'!$E$3:$E$501,'2627PR_Loading'!$C$3:$C$501,"",0)&amp;_xlfn.XLOOKUP(B206,'2627PR_Loading'!$K$3:$K$501,'2627PR_Loading'!$C$3:$C$501,"",0)&amp;_xlfn.XLOOKUP(B206,'2627PR_Loading'!$Q$3:$Q$501,'2627PR_Loading'!$C$3:$C$501,"",0),"")</f>
        <v/>
      </c>
      <c r="P206" s="248" t="str">
        <f>IF(B206&lt;&gt;"",_xlfn.XLOOKUP(B206,'2627PR_Loading'!$E$3:$E$501,'2627PR_Loading'!$J$3:$J$501,"",0)&amp;_xlfn.XLOOKUP(B206,'2627PR_Loading'!$K$3:$K$501,'2627PR_Loading'!$P$3:$P$501,"",0)&amp;_xlfn.XLOOKUP(B206,'2627PR_Loading'!$Q$3:$Q$501,'2627PR_Loading'!$V$3:$V$501,"",0),"")</f>
        <v/>
      </c>
      <c r="Q206" s="98" t="str">
        <f>IF(B206&lt;&gt;"",_xlfn.XLOOKUP(B206,TableDispatch[Uniq Id],TableDispatch[Delivery Date],"",0),"")</f>
        <v/>
      </c>
      <c r="R206" s="98" t="str">
        <f>IF(B206&lt;&gt;"",_xlfn.XLOOKUP(B206,TableDispatch[Uniq Id],TableDispatch[Our Ch No.],"",0),"")</f>
        <v/>
      </c>
      <c r="T206" s="26" t="str">
        <f>IF(B206&lt;&gt;"",_xlfn.XLOOKUP(B206,TableDispatch[Uniq Id],TableDispatch[Eway Bill Out],"",0),"")</f>
        <v/>
      </c>
    </row>
    <row r="207" spans="5:20" x14ac:dyDescent="0.25">
      <c r="E207" s="99"/>
      <c r="J207" s="211" t="str">
        <f>IF(B207&lt;&gt;"",_xlfn.XLOOKUP(B207,'2627PR_Loading'!$E$3:$E$501,'2627PR_Loading'!$B$3:$B$501,"",0)&amp;_xlfn.XLOOKUP(B207,'2627PR_Loading'!$K$3:$K$501,'2627PR_Loading'!$B$3:$B$501,"",0)&amp;_xlfn.XLOOKUP(B207,'2627PR_Loading'!$Q$3:$Q$501,'2627PR_Loading'!$B$3:$B$501,"",0),"")</f>
        <v/>
      </c>
      <c r="K207" s="211" t="str">
        <f>IF(B207&lt;&gt;"",_xlfn.XLOOKUP(B207,'2627PR_Loading'!$E$3:$E$501,'2627PR_Loading'!$C$3:$C$501,"",0)&amp;_xlfn.XLOOKUP(B207,'2627PR_Loading'!$K$3:$K$501,'2627PR_Loading'!$C$3:$C$501,"",0)&amp;_xlfn.XLOOKUP(B207,'2627PR_Loading'!$Q$3:$Q$501,'2627PR_Loading'!$C$3:$C$501,"",0),"")</f>
        <v/>
      </c>
      <c r="P207" s="248" t="str">
        <f>IF(B207&lt;&gt;"",_xlfn.XLOOKUP(B207,'2627PR_Loading'!$E$3:$E$501,'2627PR_Loading'!$J$3:$J$501,"",0)&amp;_xlfn.XLOOKUP(B207,'2627PR_Loading'!$K$3:$K$501,'2627PR_Loading'!$P$3:$P$501,"",0)&amp;_xlfn.XLOOKUP(B207,'2627PR_Loading'!$Q$3:$Q$501,'2627PR_Loading'!$V$3:$V$501,"",0),"")</f>
        <v/>
      </c>
      <c r="Q207" s="98" t="str">
        <f>IF(B207&lt;&gt;"",_xlfn.XLOOKUP(B207,TableDispatch[Uniq Id],TableDispatch[Delivery Date],"",0),"")</f>
        <v/>
      </c>
      <c r="R207" s="98" t="str">
        <f>IF(B207&lt;&gt;"",_xlfn.XLOOKUP(B207,TableDispatch[Uniq Id],TableDispatch[Our Ch No.],"",0),"")</f>
        <v/>
      </c>
      <c r="T207" s="26" t="str">
        <f>IF(B207&lt;&gt;"",_xlfn.XLOOKUP(B207,TableDispatch[Uniq Id],TableDispatch[Eway Bill Out],"",0),"")</f>
        <v/>
      </c>
    </row>
    <row r="208" spans="5:20" x14ac:dyDescent="0.25">
      <c r="E208" s="99"/>
      <c r="J208" s="211" t="str">
        <f>IF(B208&lt;&gt;"",_xlfn.XLOOKUP(B208,'2627PR_Loading'!$E$3:$E$501,'2627PR_Loading'!$B$3:$B$501,"",0)&amp;_xlfn.XLOOKUP(B208,'2627PR_Loading'!$K$3:$K$501,'2627PR_Loading'!$B$3:$B$501,"",0)&amp;_xlfn.XLOOKUP(B208,'2627PR_Loading'!$Q$3:$Q$501,'2627PR_Loading'!$B$3:$B$501,"",0),"")</f>
        <v/>
      </c>
      <c r="K208" s="211" t="str">
        <f>IF(B208&lt;&gt;"",_xlfn.XLOOKUP(B208,'2627PR_Loading'!$E$3:$E$501,'2627PR_Loading'!$C$3:$C$501,"",0)&amp;_xlfn.XLOOKUP(B208,'2627PR_Loading'!$K$3:$K$501,'2627PR_Loading'!$C$3:$C$501,"",0)&amp;_xlfn.XLOOKUP(B208,'2627PR_Loading'!$Q$3:$Q$501,'2627PR_Loading'!$C$3:$C$501,"",0),"")</f>
        <v/>
      </c>
      <c r="P208" s="248" t="str">
        <f>IF(B208&lt;&gt;"",_xlfn.XLOOKUP(B208,'2627PR_Loading'!$E$3:$E$501,'2627PR_Loading'!$J$3:$J$501,"",0)&amp;_xlfn.XLOOKUP(B208,'2627PR_Loading'!$K$3:$K$501,'2627PR_Loading'!$P$3:$P$501,"",0)&amp;_xlfn.XLOOKUP(B208,'2627PR_Loading'!$Q$3:$Q$501,'2627PR_Loading'!$V$3:$V$501,"",0),"")</f>
        <v/>
      </c>
      <c r="Q208" s="98" t="str">
        <f>IF(B208&lt;&gt;"",_xlfn.XLOOKUP(B208,TableDispatch[Uniq Id],TableDispatch[Delivery Date],"",0),"")</f>
        <v/>
      </c>
      <c r="R208" s="98" t="str">
        <f>IF(B208&lt;&gt;"",_xlfn.XLOOKUP(B208,TableDispatch[Uniq Id],TableDispatch[Our Ch No.],"",0),"")</f>
        <v/>
      </c>
      <c r="T208" s="26" t="str">
        <f>IF(B208&lt;&gt;"",_xlfn.XLOOKUP(B208,TableDispatch[Uniq Id],TableDispatch[Eway Bill Out],"",0),"")</f>
        <v/>
      </c>
    </row>
    <row r="209" spans="5:20" x14ac:dyDescent="0.25">
      <c r="E209" s="99"/>
      <c r="J209" s="211" t="str">
        <f>IF(B209&lt;&gt;"",_xlfn.XLOOKUP(B209,'2627PR_Loading'!$E$3:$E$501,'2627PR_Loading'!$B$3:$B$501,"",0)&amp;_xlfn.XLOOKUP(B209,'2627PR_Loading'!$K$3:$K$501,'2627PR_Loading'!$B$3:$B$501,"",0)&amp;_xlfn.XLOOKUP(B209,'2627PR_Loading'!$Q$3:$Q$501,'2627PR_Loading'!$B$3:$B$501,"",0),"")</f>
        <v/>
      </c>
      <c r="K209" s="211" t="str">
        <f>IF(B209&lt;&gt;"",_xlfn.XLOOKUP(B209,'2627PR_Loading'!$E$3:$E$501,'2627PR_Loading'!$C$3:$C$501,"",0)&amp;_xlfn.XLOOKUP(B209,'2627PR_Loading'!$K$3:$K$501,'2627PR_Loading'!$C$3:$C$501,"",0)&amp;_xlfn.XLOOKUP(B209,'2627PR_Loading'!$Q$3:$Q$501,'2627PR_Loading'!$C$3:$C$501,"",0),"")</f>
        <v/>
      </c>
      <c r="P209" s="248" t="str">
        <f>IF(B209&lt;&gt;"",_xlfn.XLOOKUP(B209,'2627PR_Loading'!$E$3:$E$501,'2627PR_Loading'!$J$3:$J$501,"",0)&amp;_xlfn.XLOOKUP(B209,'2627PR_Loading'!$K$3:$K$501,'2627PR_Loading'!$P$3:$P$501,"",0)&amp;_xlfn.XLOOKUP(B209,'2627PR_Loading'!$Q$3:$Q$501,'2627PR_Loading'!$V$3:$V$501,"",0),"")</f>
        <v/>
      </c>
      <c r="Q209" s="98" t="str">
        <f>IF(B209&lt;&gt;"",_xlfn.XLOOKUP(B209,TableDispatch[Uniq Id],TableDispatch[Delivery Date],"",0),"")</f>
        <v/>
      </c>
      <c r="R209" s="98" t="str">
        <f>IF(B209&lt;&gt;"",_xlfn.XLOOKUP(B209,TableDispatch[Uniq Id],TableDispatch[Our Ch No.],"",0),"")</f>
        <v/>
      </c>
      <c r="T209" s="26" t="str">
        <f>IF(B209&lt;&gt;"",_xlfn.XLOOKUP(B209,TableDispatch[Uniq Id],TableDispatch[Eway Bill Out],"",0),"")</f>
        <v/>
      </c>
    </row>
    <row r="210" spans="5:20" x14ac:dyDescent="0.25">
      <c r="E210" s="99"/>
      <c r="J210" s="211" t="str">
        <f>IF(B210&lt;&gt;"",_xlfn.XLOOKUP(B210,'2627PR_Loading'!$E$3:$E$501,'2627PR_Loading'!$B$3:$B$501,"",0)&amp;_xlfn.XLOOKUP(B210,'2627PR_Loading'!$K$3:$K$501,'2627PR_Loading'!$B$3:$B$501,"",0)&amp;_xlfn.XLOOKUP(B210,'2627PR_Loading'!$Q$3:$Q$501,'2627PR_Loading'!$B$3:$B$501,"",0),"")</f>
        <v/>
      </c>
      <c r="K210" s="211" t="str">
        <f>IF(B210&lt;&gt;"",_xlfn.XLOOKUP(B210,'2627PR_Loading'!$E$3:$E$501,'2627PR_Loading'!$C$3:$C$501,"",0)&amp;_xlfn.XLOOKUP(B210,'2627PR_Loading'!$K$3:$K$501,'2627PR_Loading'!$C$3:$C$501,"",0)&amp;_xlfn.XLOOKUP(B210,'2627PR_Loading'!$Q$3:$Q$501,'2627PR_Loading'!$C$3:$C$501,"",0),"")</f>
        <v/>
      </c>
      <c r="P210" s="248" t="str">
        <f>IF(B210&lt;&gt;"",_xlfn.XLOOKUP(B210,'2627PR_Loading'!$E$3:$E$501,'2627PR_Loading'!$J$3:$J$501,"",0)&amp;_xlfn.XLOOKUP(B210,'2627PR_Loading'!$K$3:$K$501,'2627PR_Loading'!$P$3:$P$501,"",0)&amp;_xlfn.XLOOKUP(B210,'2627PR_Loading'!$Q$3:$Q$501,'2627PR_Loading'!$V$3:$V$501,"",0),"")</f>
        <v/>
      </c>
      <c r="Q210" s="98" t="str">
        <f>IF(B210&lt;&gt;"",_xlfn.XLOOKUP(B210,TableDispatch[Uniq Id],TableDispatch[Delivery Date],"",0),"")</f>
        <v/>
      </c>
      <c r="R210" s="98" t="str">
        <f>IF(B210&lt;&gt;"",_xlfn.XLOOKUP(B210,TableDispatch[Uniq Id],TableDispatch[Our Ch No.],"",0),"")</f>
        <v/>
      </c>
      <c r="T210" s="26" t="str">
        <f>IF(B210&lt;&gt;"",_xlfn.XLOOKUP(B210,TableDispatch[Uniq Id],TableDispatch[Eway Bill Out],"",0),"")</f>
        <v/>
      </c>
    </row>
    <row r="211" spans="5:20" x14ac:dyDescent="0.25">
      <c r="E211" s="99"/>
      <c r="J211" s="211" t="str">
        <f>IF(B211&lt;&gt;"",_xlfn.XLOOKUP(B211,'2627PR_Loading'!$E$3:$E$501,'2627PR_Loading'!$B$3:$B$501,"",0)&amp;_xlfn.XLOOKUP(B211,'2627PR_Loading'!$K$3:$K$501,'2627PR_Loading'!$B$3:$B$501,"",0)&amp;_xlfn.XLOOKUP(B211,'2627PR_Loading'!$Q$3:$Q$501,'2627PR_Loading'!$B$3:$B$501,"",0),"")</f>
        <v/>
      </c>
      <c r="K211" s="211" t="str">
        <f>IF(B211&lt;&gt;"",_xlfn.XLOOKUP(B211,'2627PR_Loading'!$E$3:$E$501,'2627PR_Loading'!$C$3:$C$501,"",0)&amp;_xlfn.XLOOKUP(B211,'2627PR_Loading'!$K$3:$K$501,'2627PR_Loading'!$C$3:$C$501,"",0)&amp;_xlfn.XLOOKUP(B211,'2627PR_Loading'!$Q$3:$Q$501,'2627PR_Loading'!$C$3:$C$501,"",0),"")</f>
        <v/>
      </c>
      <c r="P211" s="248" t="str">
        <f>IF(B211&lt;&gt;"",_xlfn.XLOOKUP(B211,'2627PR_Loading'!$E$3:$E$501,'2627PR_Loading'!$J$3:$J$501,"",0)&amp;_xlfn.XLOOKUP(B211,'2627PR_Loading'!$K$3:$K$501,'2627PR_Loading'!$P$3:$P$501,"",0)&amp;_xlfn.XLOOKUP(B211,'2627PR_Loading'!$Q$3:$Q$501,'2627PR_Loading'!$V$3:$V$501,"",0),"")</f>
        <v/>
      </c>
      <c r="Q211" s="98" t="str">
        <f>IF(B211&lt;&gt;"",_xlfn.XLOOKUP(B211,TableDispatch[Uniq Id],TableDispatch[Delivery Date],"",0),"")</f>
        <v/>
      </c>
      <c r="R211" s="98" t="str">
        <f>IF(B211&lt;&gt;"",_xlfn.XLOOKUP(B211,TableDispatch[Uniq Id],TableDispatch[Our Ch No.],"",0),"")</f>
        <v/>
      </c>
      <c r="T211" s="26" t="str">
        <f>IF(B211&lt;&gt;"",_xlfn.XLOOKUP(B211,TableDispatch[Uniq Id],TableDispatch[Eway Bill Out],"",0),"")</f>
        <v/>
      </c>
    </row>
    <row r="212" spans="5:20" x14ac:dyDescent="0.25">
      <c r="E212" s="99"/>
      <c r="J212" s="211" t="str">
        <f>IF(B212&lt;&gt;"",_xlfn.XLOOKUP(B212,'2627PR_Loading'!$E$3:$E$501,'2627PR_Loading'!$B$3:$B$501,"",0)&amp;_xlfn.XLOOKUP(B212,'2627PR_Loading'!$K$3:$K$501,'2627PR_Loading'!$B$3:$B$501,"",0)&amp;_xlfn.XLOOKUP(B212,'2627PR_Loading'!$Q$3:$Q$501,'2627PR_Loading'!$B$3:$B$501,"",0),"")</f>
        <v/>
      </c>
      <c r="K212" s="211" t="str">
        <f>IF(B212&lt;&gt;"",_xlfn.XLOOKUP(B212,'2627PR_Loading'!$E$3:$E$501,'2627PR_Loading'!$C$3:$C$501,"",0)&amp;_xlfn.XLOOKUP(B212,'2627PR_Loading'!$K$3:$K$501,'2627PR_Loading'!$C$3:$C$501,"",0)&amp;_xlfn.XLOOKUP(B212,'2627PR_Loading'!$Q$3:$Q$501,'2627PR_Loading'!$C$3:$C$501,"",0),"")</f>
        <v/>
      </c>
      <c r="P212" s="248" t="str">
        <f>IF(B212&lt;&gt;"",_xlfn.XLOOKUP(B212,'2627PR_Loading'!$E$3:$E$501,'2627PR_Loading'!$J$3:$J$501,"",0)&amp;_xlfn.XLOOKUP(B212,'2627PR_Loading'!$K$3:$K$501,'2627PR_Loading'!$P$3:$P$501,"",0)&amp;_xlfn.XLOOKUP(B212,'2627PR_Loading'!$Q$3:$Q$501,'2627PR_Loading'!$V$3:$V$501,"",0),"")</f>
        <v/>
      </c>
      <c r="Q212" s="98" t="str">
        <f>IF(B212&lt;&gt;"",_xlfn.XLOOKUP(B212,TableDispatch[Uniq Id],TableDispatch[Delivery Date],"",0),"")</f>
        <v/>
      </c>
      <c r="R212" s="98" t="str">
        <f>IF(B212&lt;&gt;"",_xlfn.XLOOKUP(B212,TableDispatch[Uniq Id],TableDispatch[Our Ch No.],"",0),"")</f>
        <v/>
      </c>
      <c r="T212" s="26" t="str">
        <f>IF(B212&lt;&gt;"",_xlfn.XLOOKUP(B212,TableDispatch[Uniq Id],TableDispatch[Eway Bill Out],"",0),"")</f>
        <v/>
      </c>
    </row>
    <row r="213" spans="5:20" x14ac:dyDescent="0.25">
      <c r="E213" s="99"/>
      <c r="J213" s="211" t="str">
        <f>IF(B213&lt;&gt;"",_xlfn.XLOOKUP(B213,'2627PR_Loading'!$E$3:$E$501,'2627PR_Loading'!$B$3:$B$501,"",0)&amp;_xlfn.XLOOKUP(B213,'2627PR_Loading'!$K$3:$K$501,'2627PR_Loading'!$B$3:$B$501,"",0)&amp;_xlfn.XLOOKUP(B213,'2627PR_Loading'!$Q$3:$Q$501,'2627PR_Loading'!$B$3:$B$501,"",0),"")</f>
        <v/>
      </c>
      <c r="K213" s="211" t="str">
        <f>IF(B213&lt;&gt;"",_xlfn.XLOOKUP(B213,'2627PR_Loading'!$E$3:$E$501,'2627PR_Loading'!$C$3:$C$501,"",0)&amp;_xlfn.XLOOKUP(B213,'2627PR_Loading'!$K$3:$K$501,'2627PR_Loading'!$C$3:$C$501,"",0)&amp;_xlfn.XLOOKUP(B213,'2627PR_Loading'!$Q$3:$Q$501,'2627PR_Loading'!$C$3:$C$501,"",0),"")</f>
        <v/>
      </c>
      <c r="P213" s="248" t="str">
        <f>IF(B213&lt;&gt;"",_xlfn.XLOOKUP(B213,'2627PR_Loading'!$E$3:$E$501,'2627PR_Loading'!$J$3:$J$501,"",0)&amp;_xlfn.XLOOKUP(B213,'2627PR_Loading'!$K$3:$K$501,'2627PR_Loading'!$P$3:$P$501,"",0)&amp;_xlfn.XLOOKUP(B213,'2627PR_Loading'!$Q$3:$Q$501,'2627PR_Loading'!$V$3:$V$501,"",0),"")</f>
        <v/>
      </c>
      <c r="Q213" s="98" t="str">
        <f>IF(B213&lt;&gt;"",_xlfn.XLOOKUP(B213,TableDispatch[Uniq Id],TableDispatch[Delivery Date],"",0),"")</f>
        <v/>
      </c>
      <c r="R213" s="98" t="str">
        <f>IF(B213&lt;&gt;"",_xlfn.XLOOKUP(B213,TableDispatch[Uniq Id],TableDispatch[Our Ch No.],"",0),"")</f>
        <v/>
      </c>
      <c r="T213" s="26" t="str">
        <f>IF(B213&lt;&gt;"",_xlfn.XLOOKUP(B213,TableDispatch[Uniq Id],TableDispatch[Eway Bill Out],"",0),"")</f>
        <v/>
      </c>
    </row>
    <row r="214" spans="5:20" x14ac:dyDescent="0.25">
      <c r="E214" s="99"/>
      <c r="J214" s="211" t="str">
        <f>IF(B214&lt;&gt;"",_xlfn.XLOOKUP(B214,'2627PR_Loading'!$E$3:$E$501,'2627PR_Loading'!$B$3:$B$501,"",0)&amp;_xlfn.XLOOKUP(B214,'2627PR_Loading'!$K$3:$K$501,'2627PR_Loading'!$B$3:$B$501,"",0)&amp;_xlfn.XLOOKUP(B214,'2627PR_Loading'!$Q$3:$Q$501,'2627PR_Loading'!$B$3:$B$501,"",0),"")</f>
        <v/>
      </c>
      <c r="K214" s="211" t="str">
        <f>IF(B214&lt;&gt;"",_xlfn.XLOOKUP(B214,'2627PR_Loading'!$E$3:$E$501,'2627PR_Loading'!$C$3:$C$501,"",0)&amp;_xlfn.XLOOKUP(B214,'2627PR_Loading'!$K$3:$K$501,'2627PR_Loading'!$C$3:$C$501,"",0)&amp;_xlfn.XLOOKUP(B214,'2627PR_Loading'!$Q$3:$Q$501,'2627PR_Loading'!$C$3:$C$501,"",0),"")</f>
        <v/>
      </c>
      <c r="P214" s="248" t="str">
        <f>IF(B214&lt;&gt;"",_xlfn.XLOOKUP(B214,'2627PR_Loading'!$E$3:$E$501,'2627PR_Loading'!$J$3:$J$501,"",0)&amp;_xlfn.XLOOKUP(B214,'2627PR_Loading'!$K$3:$K$501,'2627PR_Loading'!$P$3:$P$501,"",0)&amp;_xlfn.XLOOKUP(B214,'2627PR_Loading'!$Q$3:$Q$501,'2627PR_Loading'!$V$3:$V$501,"",0),"")</f>
        <v/>
      </c>
      <c r="Q214" s="98" t="str">
        <f>IF(B214&lt;&gt;"",_xlfn.XLOOKUP(B214,TableDispatch[Uniq Id],TableDispatch[Delivery Date],"",0),"")</f>
        <v/>
      </c>
      <c r="R214" s="98" t="str">
        <f>IF(B214&lt;&gt;"",_xlfn.XLOOKUP(B214,TableDispatch[Uniq Id],TableDispatch[Our Ch No.],"",0),"")</f>
        <v/>
      </c>
      <c r="T214" s="26" t="str">
        <f>IF(B214&lt;&gt;"",_xlfn.XLOOKUP(B214,TableDispatch[Uniq Id],TableDispatch[Eway Bill Out],"",0),"")</f>
        <v/>
      </c>
    </row>
    <row r="215" spans="5:20" x14ac:dyDescent="0.25">
      <c r="E215" s="99"/>
      <c r="J215" s="211" t="str">
        <f>IF(B215&lt;&gt;"",_xlfn.XLOOKUP(B215,'2627PR_Loading'!$E$3:$E$501,'2627PR_Loading'!$B$3:$B$501,"",0)&amp;_xlfn.XLOOKUP(B215,'2627PR_Loading'!$K$3:$K$501,'2627PR_Loading'!$B$3:$B$501,"",0)&amp;_xlfn.XLOOKUP(B215,'2627PR_Loading'!$Q$3:$Q$501,'2627PR_Loading'!$B$3:$B$501,"",0),"")</f>
        <v/>
      </c>
      <c r="K215" s="211" t="str">
        <f>IF(B215&lt;&gt;"",_xlfn.XLOOKUP(B215,'2627PR_Loading'!$E$3:$E$501,'2627PR_Loading'!$C$3:$C$501,"",0)&amp;_xlfn.XLOOKUP(B215,'2627PR_Loading'!$K$3:$K$501,'2627PR_Loading'!$C$3:$C$501,"",0)&amp;_xlfn.XLOOKUP(B215,'2627PR_Loading'!$Q$3:$Q$501,'2627PR_Loading'!$C$3:$C$501,"",0),"")</f>
        <v/>
      </c>
      <c r="P215" s="248" t="str">
        <f>IF(B215&lt;&gt;"",_xlfn.XLOOKUP(B215,'2627PR_Loading'!$E$3:$E$501,'2627PR_Loading'!$J$3:$J$501,"",0)&amp;_xlfn.XLOOKUP(B215,'2627PR_Loading'!$K$3:$K$501,'2627PR_Loading'!$P$3:$P$501,"",0)&amp;_xlfn.XLOOKUP(B215,'2627PR_Loading'!$Q$3:$Q$501,'2627PR_Loading'!$V$3:$V$501,"",0),"")</f>
        <v/>
      </c>
      <c r="Q215" s="98" t="str">
        <f>IF(B215&lt;&gt;"",_xlfn.XLOOKUP(B215,TableDispatch[Uniq Id],TableDispatch[Delivery Date],"",0),"")</f>
        <v/>
      </c>
      <c r="R215" s="98" t="str">
        <f>IF(B215&lt;&gt;"",_xlfn.XLOOKUP(B215,TableDispatch[Uniq Id],TableDispatch[Our Ch No.],"",0),"")</f>
        <v/>
      </c>
      <c r="T215" s="26" t="str">
        <f>IF(B215&lt;&gt;"",_xlfn.XLOOKUP(B215,TableDispatch[Uniq Id],TableDispatch[Eway Bill Out],"",0),"")</f>
        <v/>
      </c>
    </row>
    <row r="216" spans="5:20" x14ac:dyDescent="0.25">
      <c r="E216" s="99"/>
      <c r="J216" s="211" t="str">
        <f>IF(B216&lt;&gt;"",_xlfn.XLOOKUP(B216,'2627PR_Loading'!$E$3:$E$501,'2627PR_Loading'!$B$3:$B$501,"",0)&amp;_xlfn.XLOOKUP(B216,'2627PR_Loading'!$K$3:$K$501,'2627PR_Loading'!$B$3:$B$501,"",0)&amp;_xlfn.XLOOKUP(B216,'2627PR_Loading'!$Q$3:$Q$501,'2627PR_Loading'!$B$3:$B$501,"",0),"")</f>
        <v/>
      </c>
      <c r="K216" s="211" t="str">
        <f>IF(B216&lt;&gt;"",_xlfn.XLOOKUP(B216,'2627PR_Loading'!$E$3:$E$501,'2627PR_Loading'!$C$3:$C$501,"",0)&amp;_xlfn.XLOOKUP(B216,'2627PR_Loading'!$K$3:$K$501,'2627PR_Loading'!$C$3:$C$501,"",0)&amp;_xlfn.XLOOKUP(B216,'2627PR_Loading'!$Q$3:$Q$501,'2627PR_Loading'!$C$3:$C$501,"",0),"")</f>
        <v/>
      </c>
      <c r="P216" s="248" t="str">
        <f>IF(B216&lt;&gt;"",_xlfn.XLOOKUP(B216,'2627PR_Loading'!$E$3:$E$501,'2627PR_Loading'!$J$3:$J$501,"",0)&amp;_xlfn.XLOOKUP(B216,'2627PR_Loading'!$K$3:$K$501,'2627PR_Loading'!$P$3:$P$501,"",0)&amp;_xlfn.XLOOKUP(B216,'2627PR_Loading'!$Q$3:$Q$501,'2627PR_Loading'!$V$3:$V$501,"",0),"")</f>
        <v/>
      </c>
      <c r="Q216" s="98" t="str">
        <f>IF(B216&lt;&gt;"",_xlfn.XLOOKUP(B216,TableDispatch[Uniq Id],TableDispatch[Delivery Date],"",0),"")</f>
        <v/>
      </c>
      <c r="R216" s="98" t="str">
        <f>IF(B216&lt;&gt;"",_xlfn.XLOOKUP(B216,TableDispatch[Uniq Id],TableDispatch[Our Ch No.],"",0),"")</f>
        <v/>
      </c>
      <c r="T216" s="26" t="str">
        <f>IF(B216&lt;&gt;"",_xlfn.XLOOKUP(B216,TableDispatch[Uniq Id],TableDispatch[Eway Bill Out],"",0),"")</f>
        <v/>
      </c>
    </row>
    <row r="217" spans="5:20" x14ac:dyDescent="0.25">
      <c r="E217" s="99"/>
      <c r="J217" s="211" t="str">
        <f>IF(B217&lt;&gt;"",_xlfn.XLOOKUP(B217,'2627PR_Loading'!$E$3:$E$501,'2627PR_Loading'!$B$3:$B$501,"",0)&amp;_xlfn.XLOOKUP(B217,'2627PR_Loading'!$K$3:$K$501,'2627PR_Loading'!$B$3:$B$501,"",0)&amp;_xlfn.XLOOKUP(B217,'2627PR_Loading'!$Q$3:$Q$501,'2627PR_Loading'!$B$3:$B$501,"",0),"")</f>
        <v/>
      </c>
      <c r="K217" s="211" t="str">
        <f>IF(B217&lt;&gt;"",_xlfn.XLOOKUP(B217,'2627PR_Loading'!$E$3:$E$501,'2627PR_Loading'!$C$3:$C$501,"",0)&amp;_xlfn.XLOOKUP(B217,'2627PR_Loading'!$K$3:$K$501,'2627PR_Loading'!$C$3:$C$501,"",0)&amp;_xlfn.XLOOKUP(B217,'2627PR_Loading'!$Q$3:$Q$501,'2627PR_Loading'!$C$3:$C$501,"",0),"")</f>
        <v/>
      </c>
      <c r="P217" s="248" t="str">
        <f>IF(B217&lt;&gt;"",_xlfn.XLOOKUP(B217,'2627PR_Loading'!$E$3:$E$501,'2627PR_Loading'!$J$3:$J$501,"",0)&amp;_xlfn.XLOOKUP(B217,'2627PR_Loading'!$K$3:$K$501,'2627PR_Loading'!$P$3:$P$501,"",0)&amp;_xlfn.XLOOKUP(B217,'2627PR_Loading'!$Q$3:$Q$501,'2627PR_Loading'!$V$3:$V$501,"",0),"")</f>
        <v/>
      </c>
      <c r="Q217" s="98" t="str">
        <f>IF(B217&lt;&gt;"",_xlfn.XLOOKUP(B217,TableDispatch[Uniq Id],TableDispatch[Delivery Date],"",0),"")</f>
        <v/>
      </c>
      <c r="R217" s="98" t="str">
        <f>IF(B217&lt;&gt;"",_xlfn.XLOOKUP(B217,TableDispatch[Uniq Id],TableDispatch[Our Ch No.],"",0),"")</f>
        <v/>
      </c>
      <c r="T217" s="26" t="str">
        <f>IF(B217&lt;&gt;"",_xlfn.XLOOKUP(B217,TableDispatch[Uniq Id],TableDispatch[Eway Bill Out],"",0),"")</f>
        <v/>
      </c>
    </row>
    <row r="218" spans="5:20" x14ac:dyDescent="0.25">
      <c r="E218" s="99"/>
      <c r="J218" s="211" t="str">
        <f>IF(B218&lt;&gt;"",_xlfn.XLOOKUP(B218,'2627PR_Loading'!$E$3:$E$501,'2627PR_Loading'!$B$3:$B$501,"",0)&amp;_xlfn.XLOOKUP(B218,'2627PR_Loading'!$K$3:$K$501,'2627PR_Loading'!$B$3:$B$501,"",0)&amp;_xlfn.XLOOKUP(B218,'2627PR_Loading'!$Q$3:$Q$501,'2627PR_Loading'!$B$3:$B$501,"",0),"")</f>
        <v/>
      </c>
      <c r="K218" s="211" t="str">
        <f>IF(B218&lt;&gt;"",_xlfn.XLOOKUP(B218,'2627PR_Loading'!$E$3:$E$501,'2627PR_Loading'!$C$3:$C$501,"",0)&amp;_xlfn.XLOOKUP(B218,'2627PR_Loading'!$K$3:$K$501,'2627PR_Loading'!$C$3:$C$501,"",0)&amp;_xlfn.XLOOKUP(B218,'2627PR_Loading'!$Q$3:$Q$501,'2627PR_Loading'!$C$3:$C$501,"",0),"")</f>
        <v/>
      </c>
      <c r="P218" s="248" t="str">
        <f>IF(B218&lt;&gt;"",_xlfn.XLOOKUP(B218,'2627PR_Loading'!$E$3:$E$501,'2627PR_Loading'!$J$3:$J$501,"",0)&amp;_xlfn.XLOOKUP(B218,'2627PR_Loading'!$K$3:$K$501,'2627PR_Loading'!$P$3:$P$501,"",0)&amp;_xlfn.XLOOKUP(B218,'2627PR_Loading'!$Q$3:$Q$501,'2627PR_Loading'!$V$3:$V$501,"",0),"")</f>
        <v/>
      </c>
      <c r="Q218" s="98" t="str">
        <f>IF(B218&lt;&gt;"",_xlfn.XLOOKUP(B218,TableDispatch[Uniq Id],TableDispatch[Delivery Date],"",0),"")</f>
        <v/>
      </c>
      <c r="R218" s="98" t="str">
        <f>IF(B218&lt;&gt;"",_xlfn.XLOOKUP(B218,TableDispatch[Uniq Id],TableDispatch[Our Ch No.],"",0),"")</f>
        <v/>
      </c>
      <c r="T218" s="26" t="str">
        <f>IF(B218&lt;&gt;"",_xlfn.XLOOKUP(B218,TableDispatch[Uniq Id],TableDispatch[Eway Bill Out],"",0),"")</f>
        <v/>
      </c>
    </row>
    <row r="219" spans="5:20" x14ac:dyDescent="0.25">
      <c r="E219" s="99"/>
      <c r="J219" s="211" t="str">
        <f>IF(B219&lt;&gt;"",_xlfn.XLOOKUP(B219,'2627PR_Loading'!$E$3:$E$501,'2627PR_Loading'!$B$3:$B$501,"",0)&amp;_xlfn.XLOOKUP(B219,'2627PR_Loading'!$K$3:$K$501,'2627PR_Loading'!$B$3:$B$501,"",0)&amp;_xlfn.XLOOKUP(B219,'2627PR_Loading'!$Q$3:$Q$501,'2627PR_Loading'!$B$3:$B$501,"",0),"")</f>
        <v/>
      </c>
      <c r="K219" s="211" t="str">
        <f>IF(B219&lt;&gt;"",_xlfn.XLOOKUP(B219,'2627PR_Loading'!$E$3:$E$501,'2627PR_Loading'!$C$3:$C$501,"",0)&amp;_xlfn.XLOOKUP(B219,'2627PR_Loading'!$K$3:$K$501,'2627PR_Loading'!$C$3:$C$501,"",0)&amp;_xlfn.XLOOKUP(B219,'2627PR_Loading'!$Q$3:$Q$501,'2627PR_Loading'!$C$3:$C$501,"",0),"")</f>
        <v/>
      </c>
      <c r="P219" s="248" t="str">
        <f>IF(B219&lt;&gt;"",_xlfn.XLOOKUP(B219,'2627PR_Loading'!$E$3:$E$501,'2627PR_Loading'!$J$3:$J$501,"",0)&amp;_xlfn.XLOOKUP(B219,'2627PR_Loading'!$K$3:$K$501,'2627PR_Loading'!$P$3:$P$501,"",0)&amp;_xlfn.XLOOKUP(B219,'2627PR_Loading'!$Q$3:$Q$501,'2627PR_Loading'!$V$3:$V$501,"",0),"")</f>
        <v/>
      </c>
      <c r="Q219" s="98" t="str">
        <f>IF(B219&lt;&gt;"",_xlfn.XLOOKUP(B219,TableDispatch[Uniq Id],TableDispatch[Delivery Date],"",0),"")</f>
        <v/>
      </c>
      <c r="R219" s="98" t="str">
        <f>IF(B219&lt;&gt;"",_xlfn.XLOOKUP(B219,TableDispatch[Uniq Id],TableDispatch[Our Ch No.],"",0),"")</f>
        <v/>
      </c>
      <c r="T219" s="26" t="str">
        <f>IF(B219&lt;&gt;"",_xlfn.XLOOKUP(B219,TableDispatch[Uniq Id],TableDispatch[Eway Bill Out],"",0),"")</f>
        <v/>
      </c>
    </row>
    <row r="220" spans="5:20" x14ac:dyDescent="0.25">
      <c r="E220" s="99"/>
      <c r="J220" s="211" t="str">
        <f>IF(B220&lt;&gt;"",_xlfn.XLOOKUP(B220,'2627PR_Loading'!$E$3:$E$501,'2627PR_Loading'!$B$3:$B$501,"",0)&amp;_xlfn.XLOOKUP(B220,'2627PR_Loading'!$K$3:$K$501,'2627PR_Loading'!$B$3:$B$501,"",0)&amp;_xlfn.XLOOKUP(B220,'2627PR_Loading'!$Q$3:$Q$501,'2627PR_Loading'!$B$3:$B$501,"",0),"")</f>
        <v/>
      </c>
      <c r="K220" s="211" t="str">
        <f>IF(B220&lt;&gt;"",_xlfn.XLOOKUP(B220,'2627PR_Loading'!$E$3:$E$501,'2627PR_Loading'!$C$3:$C$501,"",0)&amp;_xlfn.XLOOKUP(B220,'2627PR_Loading'!$K$3:$K$501,'2627PR_Loading'!$C$3:$C$501,"",0)&amp;_xlfn.XLOOKUP(B220,'2627PR_Loading'!$Q$3:$Q$501,'2627PR_Loading'!$C$3:$C$501,"",0),"")</f>
        <v/>
      </c>
      <c r="P220" s="248" t="str">
        <f>IF(B220&lt;&gt;"",_xlfn.XLOOKUP(B220,'2627PR_Loading'!$E$3:$E$501,'2627PR_Loading'!$J$3:$J$501,"",0)&amp;_xlfn.XLOOKUP(B220,'2627PR_Loading'!$K$3:$K$501,'2627PR_Loading'!$P$3:$P$501,"",0)&amp;_xlfn.XLOOKUP(B220,'2627PR_Loading'!$Q$3:$Q$501,'2627PR_Loading'!$V$3:$V$501,"",0),"")</f>
        <v/>
      </c>
      <c r="Q220" s="98" t="str">
        <f>IF(B220&lt;&gt;"",_xlfn.XLOOKUP(B220,TableDispatch[Uniq Id],TableDispatch[Delivery Date],"",0),"")</f>
        <v/>
      </c>
      <c r="R220" s="98" t="str">
        <f>IF(B220&lt;&gt;"",_xlfn.XLOOKUP(B220,TableDispatch[Uniq Id],TableDispatch[Our Ch No.],"",0),"")</f>
        <v/>
      </c>
      <c r="T220" s="26" t="str">
        <f>IF(B220&lt;&gt;"",_xlfn.XLOOKUP(B220,TableDispatch[Uniq Id],TableDispatch[Eway Bill Out],"",0),"")</f>
        <v/>
      </c>
    </row>
    <row r="221" spans="5:20" x14ac:dyDescent="0.25">
      <c r="E221" s="99"/>
      <c r="J221" s="211" t="str">
        <f>IF(B221&lt;&gt;"",_xlfn.XLOOKUP(B221,'2627PR_Loading'!$E$3:$E$501,'2627PR_Loading'!$B$3:$B$501,"",0)&amp;_xlfn.XLOOKUP(B221,'2627PR_Loading'!$K$3:$K$501,'2627PR_Loading'!$B$3:$B$501,"",0)&amp;_xlfn.XLOOKUP(B221,'2627PR_Loading'!$Q$3:$Q$501,'2627PR_Loading'!$B$3:$B$501,"",0),"")</f>
        <v/>
      </c>
      <c r="K221" s="211" t="str">
        <f>IF(B221&lt;&gt;"",_xlfn.XLOOKUP(B221,'2627PR_Loading'!$E$3:$E$501,'2627PR_Loading'!$C$3:$C$501,"",0)&amp;_xlfn.XLOOKUP(B221,'2627PR_Loading'!$K$3:$K$501,'2627PR_Loading'!$C$3:$C$501,"",0)&amp;_xlfn.XLOOKUP(B221,'2627PR_Loading'!$Q$3:$Q$501,'2627PR_Loading'!$C$3:$C$501,"",0),"")</f>
        <v/>
      </c>
      <c r="P221" s="248" t="str">
        <f>IF(B221&lt;&gt;"",_xlfn.XLOOKUP(B221,'2627PR_Loading'!$E$3:$E$501,'2627PR_Loading'!$J$3:$J$501,"",0)&amp;_xlfn.XLOOKUP(B221,'2627PR_Loading'!$K$3:$K$501,'2627PR_Loading'!$P$3:$P$501,"",0)&amp;_xlfn.XLOOKUP(B221,'2627PR_Loading'!$Q$3:$Q$501,'2627PR_Loading'!$V$3:$V$501,"",0),"")</f>
        <v/>
      </c>
      <c r="Q221" s="98" t="str">
        <f>IF(B221&lt;&gt;"",_xlfn.XLOOKUP(B221,TableDispatch[Uniq Id],TableDispatch[Delivery Date],"",0),"")</f>
        <v/>
      </c>
      <c r="R221" s="98" t="str">
        <f>IF(B221&lt;&gt;"",_xlfn.XLOOKUP(B221,TableDispatch[Uniq Id],TableDispatch[Our Ch No.],"",0),"")</f>
        <v/>
      </c>
      <c r="T221" s="26" t="str">
        <f>IF(B221&lt;&gt;"",_xlfn.XLOOKUP(B221,TableDispatch[Uniq Id],TableDispatch[Eway Bill Out],"",0),"")</f>
        <v/>
      </c>
    </row>
    <row r="222" spans="5:20" x14ac:dyDescent="0.25">
      <c r="E222" s="99"/>
      <c r="J222" s="211" t="str">
        <f>IF(B222&lt;&gt;"",_xlfn.XLOOKUP(B222,'2627PR_Loading'!$E$3:$E$501,'2627PR_Loading'!$B$3:$B$501,"",0)&amp;_xlfn.XLOOKUP(B222,'2627PR_Loading'!$K$3:$K$501,'2627PR_Loading'!$B$3:$B$501,"",0)&amp;_xlfn.XLOOKUP(B222,'2627PR_Loading'!$Q$3:$Q$501,'2627PR_Loading'!$B$3:$B$501,"",0),"")</f>
        <v/>
      </c>
      <c r="K222" s="211" t="str">
        <f>IF(B222&lt;&gt;"",_xlfn.XLOOKUP(B222,'2627PR_Loading'!$E$3:$E$501,'2627PR_Loading'!$C$3:$C$501,"",0)&amp;_xlfn.XLOOKUP(B222,'2627PR_Loading'!$K$3:$K$501,'2627PR_Loading'!$C$3:$C$501,"",0)&amp;_xlfn.XLOOKUP(B222,'2627PR_Loading'!$Q$3:$Q$501,'2627PR_Loading'!$C$3:$C$501,"",0),"")</f>
        <v/>
      </c>
      <c r="P222" s="248" t="str">
        <f>IF(B222&lt;&gt;"",_xlfn.XLOOKUP(B222,'2627PR_Loading'!$E$3:$E$501,'2627PR_Loading'!$J$3:$J$501,"",0)&amp;_xlfn.XLOOKUP(B222,'2627PR_Loading'!$K$3:$K$501,'2627PR_Loading'!$P$3:$P$501,"",0)&amp;_xlfn.XLOOKUP(B222,'2627PR_Loading'!$Q$3:$Q$501,'2627PR_Loading'!$V$3:$V$501,"",0),"")</f>
        <v/>
      </c>
      <c r="Q222" s="98" t="str">
        <f>IF(B222&lt;&gt;"",_xlfn.XLOOKUP(B222,TableDispatch[Uniq Id],TableDispatch[Delivery Date],"",0),"")</f>
        <v/>
      </c>
      <c r="R222" s="98" t="str">
        <f>IF(B222&lt;&gt;"",_xlfn.XLOOKUP(B222,TableDispatch[Uniq Id],TableDispatch[Our Ch No.],"",0),"")</f>
        <v/>
      </c>
      <c r="T222" s="26" t="str">
        <f>IF(B222&lt;&gt;"",_xlfn.XLOOKUP(B222,TableDispatch[Uniq Id],TableDispatch[Eway Bill Out],"",0),"")</f>
        <v/>
      </c>
    </row>
    <row r="223" spans="5:20" x14ac:dyDescent="0.25">
      <c r="E223" s="99"/>
      <c r="J223" s="211" t="str">
        <f>IF(B223&lt;&gt;"",_xlfn.XLOOKUP(B223,'2627PR_Loading'!$E$3:$E$501,'2627PR_Loading'!$B$3:$B$501,"",0)&amp;_xlfn.XLOOKUP(B223,'2627PR_Loading'!$K$3:$K$501,'2627PR_Loading'!$B$3:$B$501,"",0)&amp;_xlfn.XLOOKUP(B223,'2627PR_Loading'!$Q$3:$Q$501,'2627PR_Loading'!$B$3:$B$501,"",0),"")</f>
        <v/>
      </c>
      <c r="K223" s="211" t="str">
        <f>IF(B223&lt;&gt;"",_xlfn.XLOOKUP(B223,'2627PR_Loading'!$E$3:$E$501,'2627PR_Loading'!$C$3:$C$501,"",0)&amp;_xlfn.XLOOKUP(B223,'2627PR_Loading'!$K$3:$K$501,'2627PR_Loading'!$C$3:$C$501,"",0)&amp;_xlfn.XLOOKUP(B223,'2627PR_Loading'!$Q$3:$Q$501,'2627PR_Loading'!$C$3:$C$501,"",0),"")</f>
        <v/>
      </c>
      <c r="P223" s="248" t="str">
        <f>IF(B223&lt;&gt;"",_xlfn.XLOOKUP(B223,'2627PR_Loading'!$E$3:$E$501,'2627PR_Loading'!$J$3:$J$501,"",0)&amp;_xlfn.XLOOKUP(B223,'2627PR_Loading'!$K$3:$K$501,'2627PR_Loading'!$P$3:$P$501,"",0)&amp;_xlfn.XLOOKUP(B223,'2627PR_Loading'!$Q$3:$Q$501,'2627PR_Loading'!$V$3:$V$501,"",0),"")</f>
        <v/>
      </c>
      <c r="Q223" s="98" t="str">
        <f>IF(B223&lt;&gt;"",_xlfn.XLOOKUP(B223,TableDispatch[Uniq Id],TableDispatch[Delivery Date],"",0),"")</f>
        <v/>
      </c>
      <c r="R223" s="98" t="str">
        <f>IF(B223&lt;&gt;"",_xlfn.XLOOKUP(B223,TableDispatch[Uniq Id],TableDispatch[Our Ch No.],"",0),"")</f>
        <v/>
      </c>
      <c r="T223" s="26" t="str">
        <f>IF(B223&lt;&gt;"",_xlfn.XLOOKUP(B223,TableDispatch[Uniq Id],TableDispatch[Eway Bill Out],"",0),"")</f>
        <v/>
      </c>
    </row>
    <row r="224" spans="5:20" x14ac:dyDescent="0.25">
      <c r="E224" s="99"/>
      <c r="J224" s="211" t="str">
        <f>IF(B224&lt;&gt;"",_xlfn.XLOOKUP(B224,'2627PR_Loading'!$E$3:$E$501,'2627PR_Loading'!$B$3:$B$501,"",0)&amp;_xlfn.XLOOKUP(B224,'2627PR_Loading'!$K$3:$K$501,'2627PR_Loading'!$B$3:$B$501,"",0)&amp;_xlfn.XLOOKUP(B224,'2627PR_Loading'!$Q$3:$Q$501,'2627PR_Loading'!$B$3:$B$501,"",0),"")</f>
        <v/>
      </c>
      <c r="K224" s="211" t="str">
        <f>IF(B224&lt;&gt;"",_xlfn.XLOOKUP(B224,'2627PR_Loading'!$E$3:$E$501,'2627PR_Loading'!$C$3:$C$501,"",0)&amp;_xlfn.XLOOKUP(B224,'2627PR_Loading'!$K$3:$K$501,'2627PR_Loading'!$C$3:$C$501,"",0)&amp;_xlfn.XLOOKUP(B224,'2627PR_Loading'!$Q$3:$Q$501,'2627PR_Loading'!$C$3:$C$501,"",0),"")</f>
        <v/>
      </c>
      <c r="P224" s="248" t="str">
        <f>IF(B224&lt;&gt;"",_xlfn.XLOOKUP(B224,'2627PR_Loading'!$E$3:$E$501,'2627PR_Loading'!$J$3:$J$501,"",0)&amp;_xlfn.XLOOKUP(B224,'2627PR_Loading'!$K$3:$K$501,'2627PR_Loading'!$P$3:$P$501,"",0)&amp;_xlfn.XLOOKUP(B224,'2627PR_Loading'!$Q$3:$Q$501,'2627PR_Loading'!$V$3:$V$501,"",0),"")</f>
        <v/>
      </c>
      <c r="Q224" s="98" t="str">
        <f>IF(B224&lt;&gt;"",_xlfn.XLOOKUP(B224,TableDispatch[Uniq Id],TableDispatch[Delivery Date],"",0),"")</f>
        <v/>
      </c>
      <c r="R224" s="98" t="str">
        <f>IF(B224&lt;&gt;"",_xlfn.XLOOKUP(B224,TableDispatch[Uniq Id],TableDispatch[Our Ch No.],"",0),"")</f>
        <v/>
      </c>
      <c r="T224" s="26" t="str">
        <f>IF(B224&lt;&gt;"",_xlfn.XLOOKUP(B224,TableDispatch[Uniq Id],TableDispatch[Eway Bill Out],"",0),"")</f>
        <v/>
      </c>
    </row>
    <row r="225" spans="5:20" x14ac:dyDescent="0.25">
      <c r="E225" s="99"/>
      <c r="J225" s="211" t="str">
        <f>IF(B225&lt;&gt;"",_xlfn.XLOOKUP(B225,'2627PR_Loading'!$E$3:$E$501,'2627PR_Loading'!$B$3:$B$501,"",0)&amp;_xlfn.XLOOKUP(B225,'2627PR_Loading'!$K$3:$K$501,'2627PR_Loading'!$B$3:$B$501,"",0)&amp;_xlfn.XLOOKUP(B225,'2627PR_Loading'!$Q$3:$Q$501,'2627PR_Loading'!$B$3:$B$501,"",0),"")</f>
        <v/>
      </c>
      <c r="K225" s="211" t="str">
        <f>IF(B225&lt;&gt;"",_xlfn.XLOOKUP(B225,'2627PR_Loading'!$E$3:$E$501,'2627PR_Loading'!$C$3:$C$501,"",0)&amp;_xlfn.XLOOKUP(B225,'2627PR_Loading'!$K$3:$K$501,'2627PR_Loading'!$C$3:$C$501,"",0)&amp;_xlfn.XLOOKUP(B225,'2627PR_Loading'!$Q$3:$Q$501,'2627PR_Loading'!$C$3:$C$501,"",0),"")</f>
        <v/>
      </c>
      <c r="P225" s="248" t="str">
        <f>IF(B225&lt;&gt;"",_xlfn.XLOOKUP(B225,'2627PR_Loading'!$E$3:$E$501,'2627PR_Loading'!$J$3:$J$501,"",0)&amp;_xlfn.XLOOKUP(B225,'2627PR_Loading'!$K$3:$K$501,'2627PR_Loading'!$P$3:$P$501,"",0)&amp;_xlfn.XLOOKUP(B225,'2627PR_Loading'!$Q$3:$Q$501,'2627PR_Loading'!$V$3:$V$501,"",0),"")</f>
        <v/>
      </c>
      <c r="Q225" s="98" t="str">
        <f>IF(B225&lt;&gt;"",_xlfn.XLOOKUP(B225,TableDispatch[Uniq Id],TableDispatch[Delivery Date],"",0),"")</f>
        <v/>
      </c>
      <c r="R225" s="98" t="str">
        <f>IF(B225&lt;&gt;"",_xlfn.XLOOKUP(B225,TableDispatch[Uniq Id],TableDispatch[Our Ch No.],"",0),"")</f>
        <v/>
      </c>
      <c r="T225" s="26" t="str">
        <f>IF(B225&lt;&gt;"",_xlfn.XLOOKUP(B225,TableDispatch[Uniq Id],TableDispatch[Eway Bill Out],"",0),"")</f>
        <v/>
      </c>
    </row>
    <row r="226" spans="5:20" x14ac:dyDescent="0.25">
      <c r="E226" s="99"/>
      <c r="J226" s="211" t="str">
        <f>IF(B226&lt;&gt;"",_xlfn.XLOOKUP(B226,'2627PR_Loading'!$E$3:$E$501,'2627PR_Loading'!$B$3:$B$501,"",0)&amp;_xlfn.XLOOKUP(B226,'2627PR_Loading'!$K$3:$K$501,'2627PR_Loading'!$B$3:$B$501,"",0)&amp;_xlfn.XLOOKUP(B226,'2627PR_Loading'!$Q$3:$Q$501,'2627PR_Loading'!$B$3:$B$501,"",0),"")</f>
        <v/>
      </c>
      <c r="K226" s="211" t="str">
        <f>IF(B226&lt;&gt;"",_xlfn.XLOOKUP(B226,'2627PR_Loading'!$E$3:$E$501,'2627PR_Loading'!$C$3:$C$501,"",0)&amp;_xlfn.XLOOKUP(B226,'2627PR_Loading'!$K$3:$K$501,'2627PR_Loading'!$C$3:$C$501,"",0)&amp;_xlfn.XLOOKUP(B226,'2627PR_Loading'!$Q$3:$Q$501,'2627PR_Loading'!$C$3:$C$501,"",0),"")</f>
        <v/>
      </c>
      <c r="P226" s="248" t="str">
        <f>IF(B226&lt;&gt;"",_xlfn.XLOOKUP(B226,'2627PR_Loading'!$E$3:$E$501,'2627PR_Loading'!$J$3:$J$501,"",0)&amp;_xlfn.XLOOKUP(B226,'2627PR_Loading'!$K$3:$K$501,'2627PR_Loading'!$P$3:$P$501,"",0)&amp;_xlfn.XLOOKUP(B226,'2627PR_Loading'!$Q$3:$Q$501,'2627PR_Loading'!$V$3:$V$501,"",0),"")</f>
        <v/>
      </c>
      <c r="Q226" s="98" t="str">
        <f>IF(B226&lt;&gt;"",_xlfn.XLOOKUP(B226,TableDispatch[Uniq Id],TableDispatch[Delivery Date],"",0),"")</f>
        <v/>
      </c>
      <c r="R226" s="98" t="str">
        <f>IF(B226&lt;&gt;"",_xlfn.XLOOKUP(B226,TableDispatch[Uniq Id],TableDispatch[Our Ch No.],"",0),"")</f>
        <v/>
      </c>
      <c r="T226" s="26" t="str">
        <f>IF(B226&lt;&gt;"",_xlfn.XLOOKUP(B226,TableDispatch[Uniq Id],TableDispatch[Eway Bill Out],"",0),"")</f>
        <v/>
      </c>
    </row>
    <row r="227" spans="5:20" x14ac:dyDescent="0.25">
      <c r="E227" s="99"/>
      <c r="J227" s="211" t="str">
        <f>IF(B227&lt;&gt;"",_xlfn.XLOOKUP(B227,'2627PR_Loading'!$E$3:$E$501,'2627PR_Loading'!$B$3:$B$501,"",0)&amp;_xlfn.XLOOKUP(B227,'2627PR_Loading'!$K$3:$K$501,'2627PR_Loading'!$B$3:$B$501,"",0)&amp;_xlfn.XLOOKUP(B227,'2627PR_Loading'!$Q$3:$Q$501,'2627PR_Loading'!$B$3:$B$501,"",0),"")</f>
        <v/>
      </c>
      <c r="K227" s="211" t="str">
        <f>IF(B227&lt;&gt;"",_xlfn.XLOOKUP(B227,'2627PR_Loading'!$E$3:$E$501,'2627PR_Loading'!$C$3:$C$501,"",0)&amp;_xlfn.XLOOKUP(B227,'2627PR_Loading'!$K$3:$K$501,'2627PR_Loading'!$C$3:$C$501,"",0)&amp;_xlfn.XLOOKUP(B227,'2627PR_Loading'!$Q$3:$Q$501,'2627PR_Loading'!$C$3:$C$501,"",0),"")</f>
        <v/>
      </c>
      <c r="P227" s="248" t="str">
        <f>IF(B227&lt;&gt;"",_xlfn.XLOOKUP(B227,'2627PR_Loading'!$E$3:$E$501,'2627PR_Loading'!$J$3:$J$501,"",0)&amp;_xlfn.XLOOKUP(B227,'2627PR_Loading'!$K$3:$K$501,'2627PR_Loading'!$P$3:$P$501,"",0)&amp;_xlfn.XLOOKUP(B227,'2627PR_Loading'!$Q$3:$Q$501,'2627PR_Loading'!$V$3:$V$501,"",0),"")</f>
        <v/>
      </c>
      <c r="Q227" s="98" t="str">
        <f>IF(B227&lt;&gt;"",_xlfn.XLOOKUP(B227,TableDispatch[Uniq Id],TableDispatch[Delivery Date],"",0),"")</f>
        <v/>
      </c>
      <c r="R227" s="98" t="str">
        <f>IF(B227&lt;&gt;"",_xlfn.XLOOKUP(B227,TableDispatch[Uniq Id],TableDispatch[Our Ch No.],"",0),"")</f>
        <v/>
      </c>
      <c r="T227" s="26" t="str">
        <f>IF(B227&lt;&gt;"",_xlfn.XLOOKUP(B227,TableDispatch[Uniq Id],TableDispatch[Eway Bill Out],"",0),"")</f>
        <v/>
      </c>
    </row>
    <row r="228" spans="5:20" x14ac:dyDescent="0.25">
      <c r="E228" s="99"/>
      <c r="J228" s="211" t="str">
        <f>IF(B228&lt;&gt;"",_xlfn.XLOOKUP(B228,'2627PR_Loading'!$E$3:$E$501,'2627PR_Loading'!$B$3:$B$501,"",0)&amp;_xlfn.XLOOKUP(B228,'2627PR_Loading'!$K$3:$K$501,'2627PR_Loading'!$B$3:$B$501,"",0)&amp;_xlfn.XLOOKUP(B228,'2627PR_Loading'!$Q$3:$Q$501,'2627PR_Loading'!$B$3:$B$501,"",0),"")</f>
        <v/>
      </c>
      <c r="K228" s="211" t="str">
        <f>IF(B228&lt;&gt;"",_xlfn.XLOOKUP(B228,'2627PR_Loading'!$E$3:$E$501,'2627PR_Loading'!$C$3:$C$501,"",0)&amp;_xlfn.XLOOKUP(B228,'2627PR_Loading'!$K$3:$K$501,'2627PR_Loading'!$C$3:$C$501,"",0)&amp;_xlfn.XLOOKUP(B228,'2627PR_Loading'!$Q$3:$Q$501,'2627PR_Loading'!$C$3:$C$501,"",0),"")</f>
        <v/>
      </c>
      <c r="P228" s="248" t="str">
        <f>IF(B228&lt;&gt;"",_xlfn.XLOOKUP(B228,'2627PR_Loading'!$E$3:$E$501,'2627PR_Loading'!$J$3:$J$501,"",0)&amp;_xlfn.XLOOKUP(B228,'2627PR_Loading'!$K$3:$K$501,'2627PR_Loading'!$P$3:$P$501,"",0)&amp;_xlfn.XLOOKUP(B228,'2627PR_Loading'!$Q$3:$Q$501,'2627PR_Loading'!$V$3:$V$501,"",0),"")</f>
        <v/>
      </c>
      <c r="Q228" s="98" t="str">
        <f>IF(B228&lt;&gt;"",_xlfn.XLOOKUP(B228,TableDispatch[Uniq Id],TableDispatch[Delivery Date],"",0),"")</f>
        <v/>
      </c>
      <c r="R228" s="98" t="str">
        <f>IF(B228&lt;&gt;"",_xlfn.XLOOKUP(B228,TableDispatch[Uniq Id],TableDispatch[Our Ch No.],"",0),"")</f>
        <v/>
      </c>
      <c r="T228" s="26" t="str">
        <f>IF(B228&lt;&gt;"",_xlfn.XLOOKUP(B228,TableDispatch[Uniq Id],TableDispatch[Eway Bill Out],"",0),"")</f>
        <v/>
      </c>
    </row>
    <row r="229" spans="5:20" x14ac:dyDescent="0.25">
      <c r="E229" s="99"/>
      <c r="J229" s="211" t="str">
        <f>IF(B229&lt;&gt;"",_xlfn.XLOOKUP(B229,'2627PR_Loading'!$E$3:$E$501,'2627PR_Loading'!$B$3:$B$501,"",0)&amp;_xlfn.XLOOKUP(B229,'2627PR_Loading'!$K$3:$K$501,'2627PR_Loading'!$B$3:$B$501,"",0)&amp;_xlfn.XLOOKUP(B229,'2627PR_Loading'!$Q$3:$Q$501,'2627PR_Loading'!$B$3:$B$501,"",0),"")</f>
        <v/>
      </c>
      <c r="K229" s="211" t="str">
        <f>IF(B229&lt;&gt;"",_xlfn.XLOOKUP(B229,'2627PR_Loading'!$E$3:$E$501,'2627PR_Loading'!$C$3:$C$501,"",0)&amp;_xlfn.XLOOKUP(B229,'2627PR_Loading'!$K$3:$K$501,'2627PR_Loading'!$C$3:$C$501,"",0)&amp;_xlfn.XLOOKUP(B229,'2627PR_Loading'!$Q$3:$Q$501,'2627PR_Loading'!$C$3:$C$501,"",0),"")</f>
        <v/>
      </c>
      <c r="P229" s="248" t="str">
        <f>IF(B229&lt;&gt;"",_xlfn.XLOOKUP(B229,'2627PR_Loading'!$E$3:$E$501,'2627PR_Loading'!$J$3:$J$501,"",0)&amp;_xlfn.XLOOKUP(B229,'2627PR_Loading'!$K$3:$K$501,'2627PR_Loading'!$P$3:$P$501,"",0)&amp;_xlfn.XLOOKUP(B229,'2627PR_Loading'!$Q$3:$Q$501,'2627PR_Loading'!$V$3:$V$501,"",0),"")</f>
        <v/>
      </c>
      <c r="Q229" s="98" t="str">
        <f>IF(B229&lt;&gt;"",_xlfn.XLOOKUP(B229,TableDispatch[Uniq Id],TableDispatch[Delivery Date],"",0),"")</f>
        <v/>
      </c>
      <c r="R229" s="98" t="str">
        <f>IF(B229&lt;&gt;"",_xlfn.XLOOKUP(B229,TableDispatch[Uniq Id],TableDispatch[Our Ch No.],"",0),"")</f>
        <v/>
      </c>
      <c r="T229" s="26" t="str">
        <f>IF(B229&lt;&gt;"",_xlfn.XLOOKUP(B229,TableDispatch[Uniq Id],TableDispatch[Eway Bill Out],"",0),"")</f>
        <v/>
      </c>
    </row>
    <row r="230" spans="5:20" x14ac:dyDescent="0.25">
      <c r="E230" s="99"/>
      <c r="J230" s="211" t="str">
        <f>IF(B230&lt;&gt;"",_xlfn.XLOOKUP(B230,'2627PR_Loading'!$E$3:$E$501,'2627PR_Loading'!$B$3:$B$501,"",0)&amp;_xlfn.XLOOKUP(B230,'2627PR_Loading'!$K$3:$K$501,'2627PR_Loading'!$B$3:$B$501,"",0)&amp;_xlfn.XLOOKUP(B230,'2627PR_Loading'!$Q$3:$Q$501,'2627PR_Loading'!$B$3:$B$501,"",0),"")</f>
        <v/>
      </c>
      <c r="K230" s="211" t="str">
        <f>IF(B230&lt;&gt;"",_xlfn.XLOOKUP(B230,'2627PR_Loading'!$E$3:$E$501,'2627PR_Loading'!$C$3:$C$501,"",0)&amp;_xlfn.XLOOKUP(B230,'2627PR_Loading'!$K$3:$K$501,'2627PR_Loading'!$C$3:$C$501,"",0)&amp;_xlfn.XLOOKUP(B230,'2627PR_Loading'!$Q$3:$Q$501,'2627PR_Loading'!$C$3:$C$501,"",0),"")</f>
        <v/>
      </c>
      <c r="P230" s="248" t="str">
        <f>IF(B230&lt;&gt;"",_xlfn.XLOOKUP(B230,'2627PR_Loading'!$E$3:$E$501,'2627PR_Loading'!$J$3:$J$501,"",0)&amp;_xlfn.XLOOKUP(B230,'2627PR_Loading'!$K$3:$K$501,'2627PR_Loading'!$P$3:$P$501,"",0)&amp;_xlfn.XLOOKUP(B230,'2627PR_Loading'!$Q$3:$Q$501,'2627PR_Loading'!$V$3:$V$501,"",0),"")</f>
        <v/>
      </c>
      <c r="Q230" s="98" t="str">
        <f>IF(B230&lt;&gt;"",_xlfn.XLOOKUP(B230,TableDispatch[Uniq Id],TableDispatch[Delivery Date],"",0),"")</f>
        <v/>
      </c>
      <c r="R230" s="98" t="str">
        <f>IF(B230&lt;&gt;"",_xlfn.XLOOKUP(B230,TableDispatch[Uniq Id],TableDispatch[Our Ch No.],"",0),"")</f>
        <v/>
      </c>
      <c r="T230" s="26" t="str">
        <f>IF(B230&lt;&gt;"",_xlfn.XLOOKUP(B230,TableDispatch[Uniq Id],TableDispatch[Eway Bill Out],"",0),"")</f>
        <v/>
      </c>
    </row>
    <row r="231" spans="5:20" x14ac:dyDescent="0.25">
      <c r="E231" s="99"/>
      <c r="J231" s="211" t="str">
        <f>IF(B231&lt;&gt;"",_xlfn.XLOOKUP(B231,'2627PR_Loading'!$E$3:$E$501,'2627PR_Loading'!$B$3:$B$501,"",0)&amp;_xlfn.XLOOKUP(B231,'2627PR_Loading'!$K$3:$K$501,'2627PR_Loading'!$B$3:$B$501,"",0)&amp;_xlfn.XLOOKUP(B231,'2627PR_Loading'!$Q$3:$Q$501,'2627PR_Loading'!$B$3:$B$501,"",0),"")</f>
        <v/>
      </c>
      <c r="K231" s="211" t="str">
        <f>IF(B231&lt;&gt;"",_xlfn.XLOOKUP(B231,'2627PR_Loading'!$E$3:$E$501,'2627PR_Loading'!$C$3:$C$501,"",0)&amp;_xlfn.XLOOKUP(B231,'2627PR_Loading'!$K$3:$K$501,'2627PR_Loading'!$C$3:$C$501,"",0)&amp;_xlfn.XLOOKUP(B231,'2627PR_Loading'!$Q$3:$Q$501,'2627PR_Loading'!$C$3:$C$501,"",0),"")</f>
        <v/>
      </c>
      <c r="P231" s="248" t="str">
        <f>IF(B231&lt;&gt;"",_xlfn.XLOOKUP(B231,'2627PR_Loading'!$E$3:$E$501,'2627PR_Loading'!$J$3:$J$501,"",0)&amp;_xlfn.XLOOKUP(B231,'2627PR_Loading'!$K$3:$K$501,'2627PR_Loading'!$P$3:$P$501,"",0)&amp;_xlfn.XLOOKUP(B231,'2627PR_Loading'!$Q$3:$Q$501,'2627PR_Loading'!$V$3:$V$501,"",0),"")</f>
        <v/>
      </c>
      <c r="Q231" s="98" t="str">
        <f>IF(B231&lt;&gt;"",_xlfn.XLOOKUP(B231,TableDispatch[Uniq Id],TableDispatch[Delivery Date],"",0),"")</f>
        <v/>
      </c>
      <c r="R231" s="98" t="str">
        <f>IF(B231&lt;&gt;"",_xlfn.XLOOKUP(B231,TableDispatch[Uniq Id],TableDispatch[Our Ch No.],"",0),"")</f>
        <v/>
      </c>
      <c r="T231" s="26" t="str">
        <f>IF(B231&lt;&gt;"",_xlfn.XLOOKUP(B231,TableDispatch[Uniq Id],TableDispatch[Eway Bill Out],"",0),"")</f>
        <v/>
      </c>
    </row>
    <row r="232" spans="5:20" x14ac:dyDescent="0.25">
      <c r="E232" s="99"/>
      <c r="J232" s="211" t="str">
        <f>IF(B232&lt;&gt;"",_xlfn.XLOOKUP(B232,'2627PR_Loading'!$E$3:$E$501,'2627PR_Loading'!$B$3:$B$501,"",0)&amp;_xlfn.XLOOKUP(B232,'2627PR_Loading'!$K$3:$K$501,'2627PR_Loading'!$B$3:$B$501,"",0)&amp;_xlfn.XLOOKUP(B232,'2627PR_Loading'!$Q$3:$Q$501,'2627PR_Loading'!$B$3:$B$501,"",0),"")</f>
        <v/>
      </c>
      <c r="K232" s="211" t="str">
        <f>IF(B232&lt;&gt;"",_xlfn.XLOOKUP(B232,'2627PR_Loading'!$E$3:$E$501,'2627PR_Loading'!$C$3:$C$501,"",0)&amp;_xlfn.XLOOKUP(B232,'2627PR_Loading'!$K$3:$K$501,'2627PR_Loading'!$C$3:$C$501,"",0)&amp;_xlfn.XLOOKUP(B232,'2627PR_Loading'!$Q$3:$Q$501,'2627PR_Loading'!$C$3:$C$501,"",0),"")</f>
        <v/>
      </c>
      <c r="P232" s="248" t="str">
        <f>IF(B232&lt;&gt;"",_xlfn.XLOOKUP(B232,'2627PR_Loading'!$E$3:$E$501,'2627PR_Loading'!$J$3:$J$501,"",0)&amp;_xlfn.XLOOKUP(B232,'2627PR_Loading'!$K$3:$K$501,'2627PR_Loading'!$P$3:$P$501,"",0)&amp;_xlfn.XLOOKUP(B232,'2627PR_Loading'!$Q$3:$Q$501,'2627PR_Loading'!$V$3:$V$501,"",0),"")</f>
        <v/>
      </c>
      <c r="Q232" s="98" t="str">
        <f>IF(B232&lt;&gt;"",_xlfn.XLOOKUP(B232,TableDispatch[Uniq Id],TableDispatch[Delivery Date],"",0),"")</f>
        <v/>
      </c>
      <c r="R232" s="98" t="str">
        <f>IF(B232&lt;&gt;"",_xlfn.XLOOKUP(B232,TableDispatch[Uniq Id],TableDispatch[Our Ch No.],"",0),"")</f>
        <v/>
      </c>
      <c r="T232" s="26" t="str">
        <f>IF(B232&lt;&gt;"",_xlfn.XLOOKUP(B232,TableDispatch[Uniq Id],TableDispatch[Eway Bill Out],"",0),"")</f>
        <v/>
      </c>
    </row>
    <row r="233" spans="5:20" x14ac:dyDescent="0.25">
      <c r="E233" s="99"/>
      <c r="J233" s="211" t="str">
        <f>IF(B233&lt;&gt;"",_xlfn.XLOOKUP(B233,'2627PR_Loading'!$E$3:$E$501,'2627PR_Loading'!$B$3:$B$501,"",0)&amp;_xlfn.XLOOKUP(B233,'2627PR_Loading'!$K$3:$K$501,'2627PR_Loading'!$B$3:$B$501,"",0)&amp;_xlfn.XLOOKUP(B233,'2627PR_Loading'!$Q$3:$Q$501,'2627PR_Loading'!$B$3:$B$501,"",0),"")</f>
        <v/>
      </c>
      <c r="K233" s="211" t="str">
        <f>IF(B233&lt;&gt;"",_xlfn.XLOOKUP(B233,'2627PR_Loading'!$E$3:$E$501,'2627PR_Loading'!$C$3:$C$501,"",0)&amp;_xlfn.XLOOKUP(B233,'2627PR_Loading'!$K$3:$K$501,'2627PR_Loading'!$C$3:$C$501,"",0)&amp;_xlfn.XLOOKUP(B233,'2627PR_Loading'!$Q$3:$Q$501,'2627PR_Loading'!$C$3:$C$501,"",0),"")</f>
        <v/>
      </c>
      <c r="P233" s="248" t="str">
        <f>IF(B233&lt;&gt;"",_xlfn.XLOOKUP(B233,'2627PR_Loading'!$E$3:$E$501,'2627PR_Loading'!$J$3:$J$501,"",0)&amp;_xlfn.XLOOKUP(B233,'2627PR_Loading'!$K$3:$K$501,'2627PR_Loading'!$P$3:$P$501,"",0)&amp;_xlfn.XLOOKUP(B233,'2627PR_Loading'!$Q$3:$Q$501,'2627PR_Loading'!$V$3:$V$501,"",0),"")</f>
        <v/>
      </c>
      <c r="Q233" s="98" t="str">
        <f>IF(B233&lt;&gt;"",_xlfn.XLOOKUP(B233,TableDispatch[Uniq Id],TableDispatch[Delivery Date],"",0),"")</f>
        <v/>
      </c>
      <c r="R233" s="98" t="str">
        <f>IF(B233&lt;&gt;"",_xlfn.XLOOKUP(B233,TableDispatch[Uniq Id],TableDispatch[Our Ch No.],"",0),"")</f>
        <v/>
      </c>
      <c r="T233" s="26" t="str">
        <f>IF(B233&lt;&gt;"",_xlfn.XLOOKUP(B233,TableDispatch[Uniq Id],TableDispatch[Eway Bill Out],"",0),"")</f>
        <v/>
      </c>
    </row>
    <row r="234" spans="5:20" x14ac:dyDescent="0.25">
      <c r="E234" s="99"/>
      <c r="J234" s="211" t="str">
        <f>IF(B234&lt;&gt;"",_xlfn.XLOOKUP(B234,'2627PR_Loading'!$E$3:$E$501,'2627PR_Loading'!$B$3:$B$501,"",0)&amp;_xlfn.XLOOKUP(B234,'2627PR_Loading'!$K$3:$K$501,'2627PR_Loading'!$B$3:$B$501,"",0)&amp;_xlfn.XLOOKUP(B234,'2627PR_Loading'!$Q$3:$Q$501,'2627PR_Loading'!$B$3:$B$501,"",0),"")</f>
        <v/>
      </c>
      <c r="K234" s="211" t="str">
        <f>IF(B234&lt;&gt;"",_xlfn.XLOOKUP(B234,'2627PR_Loading'!$E$3:$E$501,'2627PR_Loading'!$C$3:$C$501,"",0)&amp;_xlfn.XLOOKUP(B234,'2627PR_Loading'!$K$3:$K$501,'2627PR_Loading'!$C$3:$C$501,"",0)&amp;_xlfn.XLOOKUP(B234,'2627PR_Loading'!$Q$3:$Q$501,'2627PR_Loading'!$C$3:$C$501,"",0),"")</f>
        <v/>
      </c>
      <c r="P234" s="248" t="str">
        <f>IF(B234&lt;&gt;"",_xlfn.XLOOKUP(B234,'2627PR_Loading'!$E$3:$E$501,'2627PR_Loading'!$J$3:$J$501,"",0)&amp;_xlfn.XLOOKUP(B234,'2627PR_Loading'!$K$3:$K$501,'2627PR_Loading'!$P$3:$P$501,"",0)&amp;_xlfn.XLOOKUP(B234,'2627PR_Loading'!$Q$3:$Q$501,'2627PR_Loading'!$V$3:$V$501,"",0),"")</f>
        <v/>
      </c>
      <c r="Q234" s="98" t="str">
        <f>IF(B234&lt;&gt;"",_xlfn.XLOOKUP(B234,TableDispatch[Uniq Id],TableDispatch[Delivery Date],"",0),"")</f>
        <v/>
      </c>
      <c r="R234" s="98" t="str">
        <f>IF(B234&lt;&gt;"",_xlfn.XLOOKUP(B234,TableDispatch[Uniq Id],TableDispatch[Our Ch No.],"",0),"")</f>
        <v/>
      </c>
      <c r="T234" s="26" t="str">
        <f>IF(B234&lt;&gt;"",_xlfn.XLOOKUP(B234,TableDispatch[Uniq Id],TableDispatch[Eway Bill Out],"",0),"")</f>
        <v/>
      </c>
    </row>
    <row r="235" spans="5:20" x14ac:dyDescent="0.25">
      <c r="E235" s="99"/>
      <c r="J235" s="211" t="str">
        <f>IF(B235&lt;&gt;"",_xlfn.XLOOKUP(B235,'2627PR_Loading'!$E$3:$E$501,'2627PR_Loading'!$B$3:$B$501,"",0)&amp;_xlfn.XLOOKUP(B235,'2627PR_Loading'!$K$3:$K$501,'2627PR_Loading'!$B$3:$B$501,"",0)&amp;_xlfn.XLOOKUP(B235,'2627PR_Loading'!$Q$3:$Q$501,'2627PR_Loading'!$B$3:$B$501,"",0),"")</f>
        <v/>
      </c>
      <c r="K235" s="211" t="str">
        <f>IF(B235&lt;&gt;"",_xlfn.XLOOKUP(B235,'2627PR_Loading'!$E$3:$E$501,'2627PR_Loading'!$C$3:$C$501,"",0)&amp;_xlfn.XLOOKUP(B235,'2627PR_Loading'!$K$3:$K$501,'2627PR_Loading'!$C$3:$C$501,"",0)&amp;_xlfn.XLOOKUP(B235,'2627PR_Loading'!$Q$3:$Q$501,'2627PR_Loading'!$C$3:$C$501,"",0),"")</f>
        <v/>
      </c>
      <c r="P235" s="248" t="str">
        <f>IF(B235&lt;&gt;"",_xlfn.XLOOKUP(B235,'2627PR_Loading'!$E$3:$E$501,'2627PR_Loading'!$J$3:$J$501,"",0)&amp;_xlfn.XLOOKUP(B235,'2627PR_Loading'!$K$3:$K$501,'2627PR_Loading'!$P$3:$P$501,"",0)&amp;_xlfn.XLOOKUP(B235,'2627PR_Loading'!$Q$3:$Q$501,'2627PR_Loading'!$V$3:$V$501,"",0),"")</f>
        <v/>
      </c>
      <c r="Q235" s="98" t="str">
        <f>IF(B235&lt;&gt;"",_xlfn.XLOOKUP(B235,TableDispatch[Uniq Id],TableDispatch[Delivery Date],"",0),"")</f>
        <v/>
      </c>
      <c r="R235" s="98" t="str">
        <f>IF(B235&lt;&gt;"",_xlfn.XLOOKUP(B235,TableDispatch[Uniq Id],TableDispatch[Our Ch No.],"",0),"")</f>
        <v/>
      </c>
      <c r="T235" s="26" t="str">
        <f>IF(B235&lt;&gt;"",_xlfn.XLOOKUP(B235,TableDispatch[Uniq Id],TableDispatch[Eway Bill Out],"",0),"")</f>
        <v/>
      </c>
    </row>
    <row r="236" spans="5:20" x14ac:dyDescent="0.25">
      <c r="E236" s="99"/>
      <c r="J236" s="211" t="str">
        <f>IF(B236&lt;&gt;"",_xlfn.XLOOKUP(B236,'2627PR_Loading'!$E$3:$E$501,'2627PR_Loading'!$B$3:$B$501,"",0)&amp;_xlfn.XLOOKUP(B236,'2627PR_Loading'!$K$3:$K$501,'2627PR_Loading'!$B$3:$B$501,"",0)&amp;_xlfn.XLOOKUP(B236,'2627PR_Loading'!$Q$3:$Q$501,'2627PR_Loading'!$B$3:$B$501,"",0),"")</f>
        <v/>
      </c>
      <c r="K236" s="211" t="str">
        <f>IF(B236&lt;&gt;"",_xlfn.XLOOKUP(B236,'2627PR_Loading'!$E$3:$E$501,'2627PR_Loading'!$C$3:$C$501,"",0)&amp;_xlfn.XLOOKUP(B236,'2627PR_Loading'!$K$3:$K$501,'2627PR_Loading'!$C$3:$C$501,"",0)&amp;_xlfn.XLOOKUP(B236,'2627PR_Loading'!$Q$3:$Q$501,'2627PR_Loading'!$C$3:$C$501,"",0),"")</f>
        <v/>
      </c>
      <c r="P236" s="248" t="str">
        <f>IF(B236&lt;&gt;"",_xlfn.XLOOKUP(B236,'2627PR_Loading'!$E$3:$E$501,'2627PR_Loading'!$J$3:$J$501,"",0)&amp;_xlfn.XLOOKUP(B236,'2627PR_Loading'!$K$3:$K$501,'2627PR_Loading'!$P$3:$P$501,"",0)&amp;_xlfn.XLOOKUP(B236,'2627PR_Loading'!$Q$3:$Q$501,'2627PR_Loading'!$V$3:$V$501,"",0),"")</f>
        <v/>
      </c>
      <c r="Q236" s="98" t="str">
        <f>IF(B236&lt;&gt;"",_xlfn.XLOOKUP(B236,TableDispatch[Uniq Id],TableDispatch[Delivery Date],"",0),"")</f>
        <v/>
      </c>
      <c r="R236" s="98" t="str">
        <f>IF(B236&lt;&gt;"",_xlfn.XLOOKUP(B236,TableDispatch[Uniq Id],TableDispatch[Our Ch No.],"",0),"")</f>
        <v/>
      </c>
      <c r="T236" s="26" t="str">
        <f>IF(B236&lt;&gt;"",_xlfn.XLOOKUP(B236,TableDispatch[Uniq Id],TableDispatch[Eway Bill Out],"",0),"")</f>
        <v/>
      </c>
    </row>
    <row r="237" spans="5:20" x14ac:dyDescent="0.25">
      <c r="E237" s="99"/>
      <c r="J237" s="211" t="str">
        <f>IF(B237&lt;&gt;"",_xlfn.XLOOKUP(B237,'2627PR_Loading'!$E$3:$E$501,'2627PR_Loading'!$B$3:$B$501,"",0)&amp;_xlfn.XLOOKUP(B237,'2627PR_Loading'!$K$3:$K$501,'2627PR_Loading'!$B$3:$B$501,"",0)&amp;_xlfn.XLOOKUP(B237,'2627PR_Loading'!$Q$3:$Q$501,'2627PR_Loading'!$B$3:$B$501,"",0),"")</f>
        <v/>
      </c>
      <c r="K237" s="211" t="str">
        <f>IF(B237&lt;&gt;"",_xlfn.XLOOKUP(B237,'2627PR_Loading'!$E$3:$E$501,'2627PR_Loading'!$C$3:$C$501,"",0)&amp;_xlfn.XLOOKUP(B237,'2627PR_Loading'!$K$3:$K$501,'2627PR_Loading'!$C$3:$C$501,"",0)&amp;_xlfn.XLOOKUP(B237,'2627PR_Loading'!$Q$3:$Q$501,'2627PR_Loading'!$C$3:$C$501,"",0),"")</f>
        <v/>
      </c>
      <c r="P237" s="248" t="str">
        <f>IF(B237&lt;&gt;"",_xlfn.XLOOKUP(B237,'2627PR_Loading'!$E$3:$E$501,'2627PR_Loading'!$J$3:$J$501,"",0)&amp;_xlfn.XLOOKUP(B237,'2627PR_Loading'!$K$3:$K$501,'2627PR_Loading'!$P$3:$P$501,"",0)&amp;_xlfn.XLOOKUP(B237,'2627PR_Loading'!$Q$3:$Q$501,'2627PR_Loading'!$V$3:$V$501,"",0),"")</f>
        <v/>
      </c>
      <c r="Q237" s="98" t="str">
        <f>IF(B237&lt;&gt;"",_xlfn.XLOOKUP(B237,TableDispatch[Uniq Id],TableDispatch[Delivery Date],"",0),"")</f>
        <v/>
      </c>
      <c r="R237" s="98" t="str">
        <f>IF(B237&lt;&gt;"",_xlfn.XLOOKUP(B237,TableDispatch[Uniq Id],TableDispatch[Our Ch No.],"",0),"")</f>
        <v/>
      </c>
      <c r="T237" s="26" t="str">
        <f>IF(B237&lt;&gt;"",_xlfn.XLOOKUP(B237,TableDispatch[Uniq Id],TableDispatch[Eway Bill Out],"",0),"")</f>
        <v/>
      </c>
    </row>
    <row r="238" spans="5:20" x14ac:dyDescent="0.25">
      <c r="E238" s="99"/>
      <c r="J238" s="211" t="str">
        <f>IF(B238&lt;&gt;"",_xlfn.XLOOKUP(B238,'2627PR_Loading'!$E$3:$E$501,'2627PR_Loading'!$B$3:$B$501,"",0)&amp;_xlfn.XLOOKUP(B238,'2627PR_Loading'!$K$3:$K$501,'2627PR_Loading'!$B$3:$B$501,"",0)&amp;_xlfn.XLOOKUP(B238,'2627PR_Loading'!$Q$3:$Q$501,'2627PR_Loading'!$B$3:$B$501,"",0),"")</f>
        <v/>
      </c>
      <c r="K238" s="211" t="str">
        <f>IF(B238&lt;&gt;"",_xlfn.XLOOKUP(B238,'2627PR_Loading'!$E$3:$E$501,'2627PR_Loading'!$C$3:$C$501,"",0)&amp;_xlfn.XLOOKUP(B238,'2627PR_Loading'!$K$3:$K$501,'2627PR_Loading'!$C$3:$C$501,"",0)&amp;_xlfn.XLOOKUP(B238,'2627PR_Loading'!$Q$3:$Q$501,'2627PR_Loading'!$C$3:$C$501,"",0),"")</f>
        <v/>
      </c>
      <c r="P238" s="248" t="str">
        <f>IF(B238&lt;&gt;"",_xlfn.XLOOKUP(B238,'2627PR_Loading'!$E$3:$E$501,'2627PR_Loading'!$J$3:$J$501,"",0)&amp;_xlfn.XLOOKUP(B238,'2627PR_Loading'!$K$3:$K$501,'2627PR_Loading'!$P$3:$P$501,"",0)&amp;_xlfn.XLOOKUP(B238,'2627PR_Loading'!$Q$3:$Q$501,'2627PR_Loading'!$V$3:$V$501,"",0),"")</f>
        <v/>
      </c>
      <c r="Q238" s="98" t="str">
        <f>IF(B238&lt;&gt;"",_xlfn.XLOOKUP(B238,TableDispatch[Uniq Id],TableDispatch[Delivery Date],"",0),"")</f>
        <v/>
      </c>
      <c r="R238" s="98" t="str">
        <f>IF(B238&lt;&gt;"",_xlfn.XLOOKUP(B238,TableDispatch[Uniq Id],TableDispatch[Our Ch No.],"",0),"")</f>
        <v/>
      </c>
      <c r="T238" s="26" t="str">
        <f>IF(B238&lt;&gt;"",_xlfn.XLOOKUP(B238,TableDispatch[Uniq Id],TableDispatch[Eway Bill Out],"",0),"")</f>
        <v/>
      </c>
    </row>
    <row r="239" spans="5:20" x14ac:dyDescent="0.25">
      <c r="E239" s="99"/>
      <c r="J239" s="211" t="str">
        <f>IF(B239&lt;&gt;"",_xlfn.XLOOKUP(B239,'2627PR_Loading'!$E$3:$E$501,'2627PR_Loading'!$B$3:$B$501,"",0)&amp;_xlfn.XLOOKUP(B239,'2627PR_Loading'!$K$3:$K$501,'2627PR_Loading'!$B$3:$B$501,"",0)&amp;_xlfn.XLOOKUP(B239,'2627PR_Loading'!$Q$3:$Q$501,'2627PR_Loading'!$B$3:$B$501,"",0),"")</f>
        <v/>
      </c>
      <c r="K239" s="211" t="str">
        <f>IF(B239&lt;&gt;"",_xlfn.XLOOKUP(B239,'2627PR_Loading'!$E$3:$E$501,'2627PR_Loading'!$C$3:$C$501,"",0)&amp;_xlfn.XLOOKUP(B239,'2627PR_Loading'!$K$3:$K$501,'2627PR_Loading'!$C$3:$C$501,"",0)&amp;_xlfn.XLOOKUP(B239,'2627PR_Loading'!$Q$3:$Q$501,'2627PR_Loading'!$C$3:$C$501,"",0),"")</f>
        <v/>
      </c>
      <c r="P239" s="248" t="str">
        <f>IF(B239&lt;&gt;"",_xlfn.XLOOKUP(B239,'2627PR_Loading'!$E$3:$E$501,'2627PR_Loading'!$J$3:$J$501,"",0)&amp;_xlfn.XLOOKUP(B239,'2627PR_Loading'!$K$3:$K$501,'2627PR_Loading'!$P$3:$P$501,"",0)&amp;_xlfn.XLOOKUP(B239,'2627PR_Loading'!$Q$3:$Q$501,'2627PR_Loading'!$V$3:$V$501,"",0),"")</f>
        <v/>
      </c>
      <c r="Q239" s="98" t="str">
        <f>IF(B239&lt;&gt;"",_xlfn.XLOOKUP(B239,TableDispatch[Uniq Id],TableDispatch[Delivery Date],"",0),"")</f>
        <v/>
      </c>
      <c r="R239" s="98" t="str">
        <f>IF(B239&lt;&gt;"",_xlfn.XLOOKUP(B239,TableDispatch[Uniq Id],TableDispatch[Our Ch No.],"",0),"")</f>
        <v/>
      </c>
      <c r="T239" s="26" t="str">
        <f>IF(B239&lt;&gt;"",_xlfn.XLOOKUP(B239,TableDispatch[Uniq Id],TableDispatch[Eway Bill Out],"",0),"")</f>
        <v/>
      </c>
    </row>
    <row r="240" spans="5:20" x14ac:dyDescent="0.25">
      <c r="E240" s="99"/>
      <c r="J240" s="211" t="str">
        <f>IF(B240&lt;&gt;"",_xlfn.XLOOKUP(B240,'2627PR_Loading'!$E$3:$E$501,'2627PR_Loading'!$B$3:$B$501,"",0)&amp;_xlfn.XLOOKUP(B240,'2627PR_Loading'!$K$3:$K$501,'2627PR_Loading'!$B$3:$B$501,"",0)&amp;_xlfn.XLOOKUP(B240,'2627PR_Loading'!$Q$3:$Q$501,'2627PR_Loading'!$B$3:$B$501,"",0),"")</f>
        <v/>
      </c>
      <c r="K240" s="211" t="str">
        <f>IF(B240&lt;&gt;"",_xlfn.XLOOKUP(B240,'2627PR_Loading'!$E$3:$E$501,'2627PR_Loading'!$C$3:$C$501,"",0)&amp;_xlfn.XLOOKUP(B240,'2627PR_Loading'!$K$3:$K$501,'2627PR_Loading'!$C$3:$C$501,"",0)&amp;_xlfn.XLOOKUP(B240,'2627PR_Loading'!$Q$3:$Q$501,'2627PR_Loading'!$C$3:$C$501,"",0),"")</f>
        <v/>
      </c>
      <c r="P240" s="248" t="str">
        <f>IF(B240&lt;&gt;"",_xlfn.XLOOKUP(B240,'2627PR_Loading'!$E$3:$E$501,'2627PR_Loading'!$J$3:$J$501,"",0)&amp;_xlfn.XLOOKUP(B240,'2627PR_Loading'!$K$3:$K$501,'2627PR_Loading'!$P$3:$P$501,"",0)&amp;_xlfn.XLOOKUP(B240,'2627PR_Loading'!$Q$3:$Q$501,'2627PR_Loading'!$V$3:$V$501,"",0),"")</f>
        <v/>
      </c>
      <c r="Q240" s="98" t="str">
        <f>IF(B240&lt;&gt;"",_xlfn.XLOOKUP(B240,TableDispatch[Uniq Id],TableDispatch[Delivery Date],"",0),"")</f>
        <v/>
      </c>
      <c r="R240" s="98" t="str">
        <f>IF(B240&lt;&gt;"",_xlfn.XLOOKUP(B240,TableDispatch[Uniq Id],TableDispatch[Our Ch No.],"",0),"")</f>
        <v/>
      </c>
      <c r="T240" s="26" t="str">
        <f>IF(B240&lt;&gt;"",_xlfn.XLOOKUP(B240,TableDispatch[Uniq Id],TableDispatch[Eway Bill Out],"",0),"")</f>
        <v/>
      </c>
    </row>
    <row r="241" spans="5:20" x14ac:dyDescent="0.25">
      <c r="E241" s="99"/>
      <c r="J241" s="211" t="str">
        <f>IF(B241&lt;&gt;"",_xlfn.XLOOKUP(B241,'2627PR_Loading'!$E$3:$E$501,'2627PR_Loading'!$B$3:$B$501,"",0)&amp;_xlfn.XLOOKUP(B241,'2627PR_Loading'!$K$3:$K$501,'2627PR_Loading'!$B$3:$B$501,"",0)&amp;_xlfn.XLOOKUP(B241,'2627PR_Loading'!$Q$3:$Q$501,'2627PR_Loading'!$B$3:$B$501,"",0),"")</f>
        <v/>
      </c>
      <c r="K241" s="211" t="str">
        <f>IF(B241&lt;&gt;"",_xlfn.XLOOKUP(B241,'2627PR_Loading'!$E$3:$E$501,'2627PR_Loading'!$C$3:$C$501,"",0)&amp;_xlfn.XLOOKUP(B241,'2627PR_Loading'!$K$3:$K$501,'2627PR_Loading'!$C$3:$C$501,"",0)&amp;_xlfn.XLOOKUP(B241,'2627PR_Loading'!$Q$3:$Q$501,'2627PR_Loading'!$C$3:$C$501,"",0),"")</f>
        <v/>
      </c>
      <c r="P241" s="248" t="str">
        <f>IF(B241&lt;&gt;"",_xlfn.XLOOKUP(B241,'2627PR_Loading'!$E$3:$E$501,'2627PR_Loading'!$J$3:$J$501,"",0)&amp;_xlfn.XLOOKUP(B241,'2627PR_Loading'!$K$3:$K$501,'2627PR_Loading'!$P$3:$P$501,"",0)&amp;_xlfn.XLOOKUP(B241,'2627PR_Loading'!$Q$3:$Q$501,'2627PR_Loading'!$V$3:$V$501,"",0),"")</f>
        <v/>
      </c>
      <c r="Q241" s="98" t="str">
        <f>IF(B241&lt;&gt;"",_xlfn.XLOOKUP(B241,TableDispatch[Uniq Id],TableDispatch[Delivery Date],"",0),"")</f>
        <v/>
      </c>
      <c r="R241" s="98" t="str">
        <f>IF(B241&lt;&gt;"",_xlfn.XLOOKUP(B241,TableDispatch[Uniq Id],TableDispatch[Our Ch No.],"",0),"")</f>
        <v/>
      </c>
      <c r="T241" s="26" t="str">
        <f>IF(B241&lt;&gt;"",_xlfn.XLOOKUP(B241,TableDispatch[Uniq Id],TableDispatch[Eway Bill Out],"",0),"")</f>
        <v/>
      </c>
    </row>
    <row r="242" spans="5:20" x14ac:dyDescent="0.25">
      <c r="E242" s="99"/>
      <c r="J242" s="211" t="str">
        <f>IF(B242&lt;&gt;"",_xlfn.XLOOKUP(B242,'2627PR_Loading'!$E$3:$E$501,'2627PR_Loading'!$B$3:$B$501,"",0)&amp;_xlfn.XLOOKUP(B242,'2627PR_Loading'!$K$3:$K$501,'2627PR_Loading'!$B$3:$B$501,"",0)&amp;_xlfn.XLOOKUP(B242,'2627PR_Loading'!$Q$3:$Q$501,'2627PR_Loading'!$B$3:$B$501,"",0),"")</f>
        <v/>
      </c>
      <c r="K242" s="211" t="str">
        <f>IF(B242&lt;&gt;"",_xlfn.XLOOKUP(B242,'2627PR_Loading'!$E$3:$E$501,'2627PR_Loading'!$C$3:$C$501,"",0)&amp;_xlfn.XLOOKUP(B242,'2627PR_Loading'!$K$3:$K$501,'2627PR_Loading'!$C$3:$C$501,"",0)&amp;_xlfn.XLOOKUP(B242,'2627PR_Loading'!$Q$3:$Q$501,'2627PR_Loading'!$C$3:$C$501,"",0),"")</f>
        <v/>
      </c>
      <c r="P242" s="248" t="str">
        <f>IF(B242&lt;&gt;"",_xlfn.XLOOKUP(B242,'2627PR_Loading'!$E$3:$E$501,'2627PR_Loading'!$J$3:$J$501,"",0)&amp;_xlfn.XLOOKUP(B242,'2627PR_Loading'!$K$3:$K$501,'2627PR_Loading'!$P$3:$P$501,"",0)&amp;_xlfn.XLOOKUP(B242,'2627PR_Loading'!$Q$3:$Q$501,'2627PR_Loading'!$V$3:$V$501,"",0),"")</f>
        <v/>
      </c>
      <c r="Q242" s="98" t="str">
        <f>IF(B242&lt;&gt;"",_xlfn.XLOOKUP(B242,TableDispatch[Uniq Id],TableDispatch[Delivery Date],"",0),"")</f>
        <v/>
      </c>
      <c r="R242" s="98" t="str">
        <f>IF(B242&lt;&gt;"",_xlfn.XLOOKUP(B242,TableDispatch[Uniq Id],TableDispatch[Our Ch No.],"",0),"")</f>
        <v/>
      </c>
      <c r="T242" s="26" t="str">
        <f>IF(B242&lt;&gt;"",_xlfn.XLOOKUP(B242,TableDispatch[Uniq Id],TableDispatch[Eway Bill Out],"",0),"")</f>
        <v/>
      </c>
    </row>
    <row r="243" spans="5:20" x14ac:dyDescent="0.25">
      <c r="E243" s="99"/>
      <c r="J243" s="211" t="str">
        <f>IF(B243&lt;&gt;"",_xlfn.XLOOKUP(B243,'2627PR_Loading'!$E$3:$E$501,'2627PR_Loading'!$B$3:$B$501,"",0)&amp;_xlfn.XLOOKUP(B243,'2627PR_Loading'!$K$3:$K$501,'2627PR_Loading'!$B$3:$B$501,"",0)&amp;_xlfn.XLOOKUP(B243,'2627PR_Loading'!$Q$3:$Q$501,'2627PR_Loading'!$B$3:$B$501,"",0),"")</f>
        <v/>
      </c>
      <c r="K243" s="211" t="str">
        <f>IF(B243&lt;&gt;"",_xlfn.XLOOKUP(B243,'2627PR_Loading'!$E$3:$E$501,'2627PR_Loading'!$C$3:$C$501,"",0)&amp;_xlfn.XLOOKUP(B243,'2627PR_Loading'!$K$3:$K$501,'2627PR_Loading'!$C$3:$C$501,"",0)&amp;_xlfn.XLOOKUP(B243,'2627PR_Loading'!$Q$3:$Q$501,'2627PR_Loading'!$C$3:$C$501,"",0),"")</f>
        <v/>
      </c>
      <c r="P243" s="248" t="str">
        <f>IF(B243&lt;&gt;"",_xlfn.XLOOKUP(B243,'2627PR_Loading'!$E$3:$E$501,'2627PR_Loading'!$J$3:$J$501,"",0)&amp;_xlfn.XLOOKUP(B243,'2627PR_Loading'!$K$3:$K$501,'2627PR_Loading'!$P$3:$P$501,"",0)&amp;_xlfn.XLOOKUP(B243,'2627PR_Loading'!$Q$3:$Q$501,'2627PR_Loading'!$V$3:$V$501,"",0),"")</f>
        <v/>
      </c>
      <c r="Q243" s="98" t="str">
        <f>IF(B243&lt;&gt;"",_xlfn.XLOOKUP(B243,TableDispatch[Uniq Id],TableDispatch[Delivery Date],"",0),"")</f>
        <v/>
      </c>
      <c r="R243" s="98" t="str">
        <f>IF(B243&lt;&gt;"",_xlfn.XLOOKUP(B243,TableDispatch[Uniq Id],TableDispatch[Our Ch No.],"",0),"")</f>
        <v/>
      </c>
      <c r="T243" s="26" t="str">
        <f>IF(B243&lt;&gt;"",_xlfn.XLOOKUP(B243,TableDispatch[Uniq Id],TableDispatch[Eway Bill Out],"",0),"")</f>
        <v/>
      </c>
    </row>
    <row r="244" spans="5:20" x14ac:dyDescent="0.25">
      <c r="E244" s="99"/>
      <c r="J244" s="211" t="str">
        <f>IF(B244&lt;&gt;"",_xlfn.XLOOKUP(B244,'2627PR_Loading'!$E$3:$E$501,'2627PR_Loading'!$B$3:$B$501,"",0)&amp;_xlfn.XLOOKUP(B244,'2627PR_Loading'!$K$3:$K$501,'2627PR_Loading'!$B$3:$B$501,"",0)&amp;_xlfn.XLOOKUP(B244,'2627PR_Loading'!$Q$3:$Q$501,'2627PR_Loading'!$B$3:$B$501,"",0),"")</f>
        <v/>
      </c>
      <c r="K244" s="211" t="str">
        <f>IF(B244&lt;&gt;"",_xlfn.XLOOKUP(B244,'2627PR_Loading'!$E$3:$E$501,'2627PR_Loading'!$C$3:$C$501,"",0)&amp;_xlfn.XLOOKUP(B244,'2627PR_Loading'!$K$3:$K$501,'2627PR_Loading'!$C$3:$C$501,"",0)&amp;_xlfn.XLOOKUP(B244,'2627PR_Loading'!$Q$3:$Q$501,'2627PR_Loading'!$C$3:$C$501,"",0),"")</f>
        <v/>
      </c>
      <c r="P244" s="248" t="str">
        <f>IF(B244&lt;&gt;"",_xlfn.XLOOKUP(B244,'2627PR_Loading'!$E$3:$E$501,'2627PR_Loading'!$J$3:$J$501,"",0)&amp;_xlfn.XLOOKUP(B244,'2627PR_Loading'!$K$3:$K$501,'2627PR_Loading'!$P$3:$P$501,"",0)&amp;_xlfn.XLOOKUP(B244,'2627PR_Loading'!$Q$3:$Q$501,'2627PR_Loading'!$V$3:$V$501,"",0),"")</f>
        <v/>
      </c>
      <c r="Q244" s="98" t="str">
        <f>IF(B244&lt;&gt;"",_xlfn.XLOOKUP(B244,TableDispatch[Uniq Id],TableDispatch[Delivery Date],"",0),"")</f>
        <v/>
      </c>
      <c r="R244" s="98" t="str">
        <f>IF(B244&lt;&gt;"",_xlfn.XLOOKUP(B244,TableDispatch[Uniq Id],TableDispatch[Our Ch No.],"",0),"")</f>
        <v/>
      </c>
      <c r="T244" s="26" t="str">
        <f>IF(B244&lt;&gt;"",_xlfn.XLOOKUP(B244,TableDispatch[Uniq Id],TableDispatch[Eway Bill Out],"",0),"")</f>
        <v/>
      </c>
    </row>
    <row r="245" spans="5:20" x14ac:dyDescent="0.25">
      <c r="E245" s="99"/>
      <c r="J245" s="211" t="str">
        <f>IF(B245&lt;&gt;"",_xlfn.XLOOKUP(B245,'2627PR_Loading'!$E$3:$E$501,'2627PR_Loading'!$B$3:$B$501,"",0)&amp;_xlfn.XLOOKUP(B245,'2627PR_Loading'!$K$3:$K$501,'2627PR_Loading'!$B$3:$B$501,"",0)&amp;_xlfn.XLOOKUP(B245,'2627PR_Loading'!$Q$3:$Q$501,'2627PR_Loading'!$B$3:$B$501,"",0),"")</f>
        <v/>
      </c>
      <c r="K245" s="211" t="str">
        <f>IF(B245&lt;&gt;"",_xlfn.XLOOKUP(B245,'2627PR_Loading'!$E$3:$E$501,'2627PR_Loading'!$C$3:$C$501,"",0)&amp;_xlfn.XLOOKUP(B245,'2627PR_Loading'!$K$3:$K$501,'2627PR_Loading'!$C$3:$C$501,"",0)&amp;_xlfn.XLOOKUP(B245,'2627PR_Loading'!$Q$3:$Q$501,'2627PR_Loading'!$C$3:$C$501,"",0),"")</f>
        <v/>
      </c>
      <c r="P245" s="248" t="str">
        <f>IF(B245&lt;&gt;"",_xlfn.XLOOKUP(B245,'2627PR_Loading'!$E$3:$E$501,'2627PR_Loading'!$J$3:$J$501,"",0)&amp;_xlfn.XLOOKUP(B245,'2627PR_Loading'!$K$3:$K$501,'2627PR_Loading'!$P$3:$P$501,"",0)&amp;_xlfn.XLOOKUP(B245,'2627PR_Loading'!$Q$3:$Q$501,'2627PR_Loading'!$V$3:$V$501,"",0),"")</f>
        <v/>
      </c>
      <c r="Q245" s="98" t="str">
        <f>IF(B245&lt;&gt;"",_xlfn.XLOOKUP(B245,TableDispatch[Uniq Id],TableDispatch[Delivery Date],"",0),"")</f>
        <v/>
      </c>
      <c r="R245" s="98" t="str">
        <f>IF(B245&lt;&gt;"",_xlfn.XLOOKUP(B245,TableDispatch[Uniq Id],TableDispatch[Our Ch No.],"",0),"")</f>
        <v/>
      </c>
      <c r="T245" s="26" t="str">
        <f>IF(B245&lt;&gt;"",_xlfn.XLOOKUP(B245,TableDispatch[Uniq Id],TableDispatch[Eway Bill Out],"",0),"")</f>
        <v/>
      </c>
    </row>
    <row r="246" spans="5:20" x14ac:dyDescent="0.25">
      <c r="E246" s="99"/>
      <c r="J246" s="211" t="str">
        <f>IF(B246&lt;&gt;"",_xlfn.XLOOKUP(B246,'2627PR_Loading'!$E$3:$E$501,'2627PR_Loading'!$B$3:$B$501,"",0)&amp;_xlfn.XLOOKUP(B246,'2627PR_Loading'!$K$3:$K$501,'2627PR_Loading'!$B$3:$B$501,"",0)&amp;_xlfn.XLOOKUP(B246,'2627PR_Loading'!$Q$3:$Q$501,'2627PR_Loading'!$B$3:$B$501,"",0),"")</f>
        <v/>
      </c>
      <c r="K246" s="211" t="str">
        <f>IF(B246&lt;&gt;"",_xlfn.XLOOKUP(B246,'2627PR_Loading'!$E$3:$E$501,'2627PR_Loading'!$C$3:$C$501,"",0)&amp;_xlfn.XLOOKUP(B246,'2627PR_Loading'!$K$3:$K$501,'2627PR_Loading'!$C$3:$C$501,"",0)&amp;_xlfn.XLOOKUP(B246,'2627PR_Loading'!$Q$3:$Q$501,'2627PR_Loading'!$C$3:$C$501,"",0),"")</f>
        <v/>
      </c>
      <c r="P246" s="248" t="str">
        <f>IF(B246&lt;&gt;"",_xlfn.XLOOKUP(B246,'2627PR_Loading'!$E$3:$E$501,'2627PR_Loading'!$J$3:$J$501,"",0)&amp;_xlfn.XLOOKUP(B246,'2627PR_Loading'!$K$3:$K$501,'2627PR_Loading'!$P$3:$P$501,"",0)&amp;_xlfn.XLOOKUP(B246,'2627PR_Loading'!$Q$3:$Q$501,'2627PR_Loading'!$V$3:$V$501,"",0),"")</f>
        <v/>
      </c>
      <c r="Q246" s="98" t="str">
        <f>IF(B246&lt;&gt;"",_xlfn.XLOOKUP(B246,TableDispatch[Uniq Id],TableDispatch[Delivery Date],"",0),"")</f>
        <v/>
      </c>
      <c r="R246" s="98" t="str">
        <f>IF(B246&lt;&gt;"",_xlfn.XLOOKUP(B246,TableDispatch[Uniq Id],TableDispatch[Our Ch No.],"",0),"")</f>
        <v/>
      </c>
      <c r="T246" s="26" t="str">
        <f>IF(B246&lt;&gt;"",_xlfn.XLOOKUP(B246,TableDispatch[Uniq Id],TableDispatch[Eway Bill Out],"",0),"")</f>
        <v/>
      </c>
    </row>
    <row r="247" spans="5:20" x14ac:dyDescent="0.25">
      <c r="E247" s="99"/>
      <c r="J247" s="211" t="str">
        <f>IF(B247&lt;&gt;"",_xlfn.XLOOKUP(B247,'2627PR_Loading'!$E$3:$E$501,'2627PR_Loading'!$B$3:$B$501,"",0)&amp;_xlfn.XLOOKUP(B247,'2627PR_Loading'!$K$3:$K$501,'2627PR_Loading'!$B$3:$B$501,"",0)&amp;_xlfn.XLOOKUP(B247,'2627PR_Loading'!$Q$3:$Q$501,'2627PR_Loading'!$B$3:$B$501,"",0),"")</f>
        <v/>
      </c>
      <c r="K247" s="211" t="str">
        <f>IF(B247&lt;&gt;"",_xlfn.XLOOKUP(B247,'2627PR_Loading'!$E$3:$E$501,'2627PR_Loading'!$C$3:$C$501,"",0)&amp;_xlfn.XLOOKUP(B247,'2627PR_Loading'!$K$3:$K$501,'2627PR_Loading'!$C$3:$C$501,"",0)&amp;_xlfn.XLOOKUP(B247,'2627PR_Loading'!$Q$3:$Q$501,'2627PR_Loading'!$C$3:$C$501,"",0),"")</f>
        <v/>
      </c>
      <c r="P247" s="248" t="str">
        <f>IF(B247&lt;&gt;"",_xlfn.XLOOKUP(B247,'2627PR_Loading'!$E$3:$E$501,'2627PR_Loading'!$J$3:$J$501,"",0)&amp;_xlfn.XLOOKUP(B247,'2627PR_Loading'!$K$3:$K$501,'2627PR_Loading'!$P$3:$P$501,"",0)&amp;_xlfn.XLOOKUP(B247,'2627PR_Loading'!$Q$3:$Q$501,'2627PR_Loading'!$V$3:$V$501,"",0),"")</f>
        <v/>
      </c>
      <c r="Q247" s="98" t="str">
        <f>IF(B247&lt;&gt;"",_xlfn.XLOOKUP(B247,TableDispatch[Uniq Id],TableDispatch[Delivery Date],"",0),"")</f>
        <v/>
      </c>
      <c r="R247" s="98" t="str">
        <f>IF(B247&lt;&gt;"",_xlfn.XLOOKUP(B247,TableDispatch[Uniq Id],TableDispatch[Our Ch No.],"",0),"")</f>
        <v/>
      </c>
      <c r="T247" s="26" t="str">
        <f>IF(B247&lt;&gt;"",_xlfn.XLOOKUP(B247,TableDispatch[Uniq Id],TableDispatch[Eway Bill Out],"",0),"")</f>
        <v/>
      </c>
    </row>
    <row r="248" spans="5:20" x14ac:dyDescent="0.25">
      <c r="E248" s="99"/>
      <c r="J248" s="211" t="str">
        <f>IF(B248&lt;&gt;"",_xlfn.XLOOKUP(B248,'2627PR_Loading'!$E$3:$E$501,'2627PR_Loading'!$B$3:$B$501,"",0)&amp;_xlfn.XLOOKUP(B248,'2627PR_Loading'!$K$3:$K$501,'2627PR_Loading'!$B$3:$B$501,"",0)&amp;_xlfn.XLOOKUP(B248,'2627PR_Loading'!$Q$3:$Q$501,'2627PR_Loading'!$B$3:$B$501,"",0),"")</f>
        <v/>
      </c>
      <c r="K248" s="211" t="str">
        <f>IF(B248&lt;&gt;"",_xlfn.XLOOKUP(B248,'2627PR_Loading'!$E$3:$E$501,'2627PR_Loading'!$C$3:$C$501,"",0)&amp;_xlfn.XLOOKUP(B248,'2627PR_Loading'!$K$3:$K$501,'2627PR_Loading'!$C$3:$C$501,"",0)&amp;_xlfn.XLOOKUP(B248,'2627PR_Loading'!$Q$3:$Q$501,'2627PR_Loading'!$C$3:$C$501,"",0),"")</f>
        <v/>
      </c>
      <c r="P248" s="248" t="str">
        <f>IF(B248&lt;&gt;"",_xlfn.XLOOKUP(B248,'2627PR_Loading'!$E$3:$E$501,'2627PR_Loading'!$J$3:$J$501,"",0)&amp;_xlfn.XLOOKUP(B248,'2627PR_Loading'!$K$3:$K$501,'2627PR_Loading'!$P$3:$P$501,"",0)&amp;_xlfn.XLOOKUP(B248,'2627PR_Loading'!$Q$3:$Q$501,'2627PR_Loading'!$V$3:$V$501,"",0),"")</f>
        <v/>
      </c>
      <c r="Q248" s="98" t="str">
        <f>IF(B248&lt;&gt;"",_xlfn.XLOOKUP(B248,TableDispatch[Uniq Id],TableDispatch[Delivery Date],"",0),"")</f>
        <v/>
      </c>
      <c r="R248" s="98" t="str">
        <f>IF(B248&lt;&gt;"",_xlfn.XLOOKUP(B248,TableDispatch[Uniq Id],TableDispatch[Our Ch No.],"",0),"")</f>
        <v/>
      </c>
      <c r="T248" s="26" t="str">
        <f>IF(B248&lt;&gt;"",_xlfn.XLOOKUP(B248,TableDispatch[Uniq Id],TableDispatch[Eway Bill Out],"",0),"")</f>
        <v/>
      </c>
    </row>
    <row r="249" spans="5:20" x14ac:dyDescent="0.25">
      <c r="E249" s="99"/>
      <c r="J249" s="211" t="str">
        <f>IF(B249&lt;&gt;"",_xlfn.XLOOKUP(B249,'2627PR_Loading'!$E$3:$E$501,'2627PR_Loading'!$B$3:$B$501,"",0)&amp;_xlfn.XLOOKUP(B249,'2627PR_Loading'!$K$3:$K$501,'2627PR_Loading'!$B$3:$B$501,"",0)&amp;_xlfn.XLOOKUP(B249,'2627PR_Loading'!$Q$3:$Q$501,'2627PR_Loading'!$B$3:$B$501,"",0),"")</f>
        <v/>
      </c>
      <c r="K249" s="211" t="str">
        <f>IF(B249&lt;&gt;"",_xlfn.XLOOKUP(B249,'2627PR_Loading'!$E$3:$E$501,'2627PR_Loading'!$C$3:$C$501,"",0)&amp;_xlfn.XLOOKUP(B249,'2627PR_Loading'!$K$3:$K$501,'2627PR_Loading'!$C$3:$C$501,"",0)&amp;_xlfn.XLOOKUP(B249,'2627PR_Loading'!$Q$3:$Q$501,'2627PR_Loading'!$C$3:$C$501,"",0),"")</f>
        <v/>
      </c>
      <c r="P249" s="248" t="str">
        <f>IF(B249&lt;&gt;"",_xlfn.XLOOKUP(B249,'2627PR_Loading'!$E$3:$E$501,'2627PR_Loading'!$J$3:$J$501,"",0)&amp;_xlfn.XLOOKUP(B249,'2627PR_Loading'!$K$3:$K$501,'2627PR_Loading'!$P$3:$P$501,"",0)&amp;_xlfn.XLOOKUP(B249,'2627PR_Loading'!$Q$3:$Q$501,'2627PR_Loading'!$V$3:$V$501,"",0),"")</f>
        <v/>
      </c>
      <c r="Q249" s="98" t="str">
        <f>IF(B249&lt;&gt;"",_xlfn.XLOOKUP(B249,TableDispatch[Uniq Id],TableDispatch[Delivery Date],"",0),"")</f>
        <v/>
      </c>
      <c r="R249" s="98" t="str">
        <f>IF(B249&lt;&gt;"",_xlfn.XLOOKUP(B249,TableDispatch[Uniq Id],TableDispatch[Our Ch No.],"",0),"")</f>
        <v/>
      </c>
      <c r="T249" s="26" t="str">
        <f>IF(B249&lt;&gt;"",_xlfn.XLOOKUP(B249,TableDispatch[Uniq Id],TableDispatch[Eway Bill Out],"",0),"")</f>
        <v/>
      </c>
    </row>
    <row r="250" spans="5:20" x14ac:dyDescent="0.25">
      <c r="E250" s="99"/>
      <c r="J250" s="211" t="str">
        <f>IF(B250&lt;&gt;"",_xlfn.XLOOKUP(B250,'2627PR_Loading'!$E$3:$E$501,'2627PR_Loading'!$B$3:$B$501,"",0)&amp;_xlfn.XLOOKUP(B250,'2627PR_Loading'!$K$3:$K$501,'2627PR_Loading'!$B$3:$B$501,"",0)&amp;_xlfn.XLOOKUP(B250,'2627PR_Loading'!$Q$3:$Q$501,'2627PR_Loading'!$B$3:$B$501,"",0),"")</f>
        <v/>
      </c>
      <c r="K250" s="211" t="str">
        <f>IF(B250&lt;&gt;"",_xlfn.XLOOKUP(B250,'2627PR_Loading'!$E$3:$E$501,'2627PR_Loading'!$C$3:$C$501,"",0)&amp;_xlfn.XLOOKUP(B250,'2627PR_Loading'!$K$3:$K$501,'2627PR_Loading'!$C$3:$C$501,"",0)&amp;_xlfn.XLOOKUP(B250,'2627PR_Loading'!$Q$3:$Q$501,'2627PR_Loading'!$C$3:$C$501,"",0),"")</f>
        <v/>
      </c>
      <c r="P250" s="248" t="str">
        <f>IF(B250&lt;&gt;"",_xlfn.XLOOKUP(B250,'2627PR_Loading'!$E$3:$E$501,'2627PR_Loading'!$J$3:$J$501,"",0)&amp;_xlfn.XLOOKUP(B250,'2627PR_Loading'!$K$3:$K$501,'2627PR_Loading'!$P$3:$P$501,"",0)&amp;_xlfn.XLOOKUP(B250,'2627PR_Loading'!$Q$3:$Q$501,'2627PR_Loading'!$V$3:$V$501,"",0),"")</f>
        <v/>
      </c>
      <c r="Q250" s="98" t="str">
        <f>IF(B250&lt;&gt;"",_xlfn.XLOOKUP(B250,TableDispatch[Uniq Id],TableDispatch[Delivery Date],"",0),"")</f>
        <v/>
      </c>
      <c r="R250" s="98" t="str">
        <f>IF(B250&lt;&gt;"",_xlfn.XLOOKUP(B250,TableDispatch[Uniq Id],TableDispatch[Our Ch No.],"",0),"")</f>
        <v/>
      </c>
      <c r="T250" s="26" t="str">
        <f>IF(B250&lt;&gt;"",_xlfn.XLOOKUP(B250,TableDispatch[Uniq Id],TableDispatch[Eway Bill Out],"",0),"")</f>
        <v/>
      </c>
    </row>
    <row r="251" spans="5:20" x14ac:dyDescent="0.25">
      <c r="E251" s="99"/>
      <c r="J251" s="211" t="str">
        <f>IF(B251&lt;&gt;"",_xlfn.XLOOKUP(B251,'2627PR_Loading'!$E$3:$E$501,'2627PR_Loading'!$B$3:$B$501,"",0)&amp;_xlfn.XLOOKUP(B251,'2627PR_Loading'!$K$3:$K$501,'2627PR_Loading'!$B$3:$B$501,"",0)&amp;_xlfn.XLOOKUP(B251,'2627PR_Loading'!$Q$3:$Q$501,'2627PR_Loading'!$B$3:$B$501,"",0),"")</f>
        <v/>
      </c>
      <c r="K251" s="211" t="str">
        <f>IF(B251&lt;&gt;"",_xlfn.XLOOKUP(B251,'2627PR_Loading'!$E$3:$E$501,'2627PR_Loading'!$C$3:$C$501,"",0)&amp;_xlfn.XLOOKUP(B251,'2627PR_Loading'!$K$3:$K$501,'2627PR_Loading'!$C$3:$C$501,"",0)&amp;_xlfn.XLOOKUP(B251,'2627PR_Loading'!$Q$3:$Q$501,'2627PR_Loading'!$C$3:$C$501,"",0),"")</f>
        <v/>
      </c>
      <c r="P251" s="248" t="str">
        <f>IF(B251&lt;&gt;"",_xlfn.XLOOKUP(B251,'2627PR_Loading'!$E$3:$E$501,'2627PR_Loading'!$J$3:$J$501,"",0)&amp;_xlfn.XLOOKUP(B251,'2627PR_Loading'!$K$3:$K$501,'2627PR_Loading'!$P$3:$P$501,"",0)&amp;_xlfn.XLOOKUP(B251,'2627PR_Loading'!$Q$3:$Q$501,'2627PR_Loading'!$V$3:$V$501,"",0),"")</f>
        <v/>
      </c>
      <c r="Q251" s="98" t="str">
        <f>IF(B251&lt;&gt;"",_xlfn.XLOOKUP(B251,TableDispatch[Uniq Id],TableDispatch[Delivery Date],"",0),"")</f>
        <v/>
      </c>
      <c r="R251" s="98" t="str">
        <f>IF(B251&lt;&gt;"",_xlfn.XLOOKUP(B251,TableDispatch[Uniq Id],TableDispatch[Our Ch No.],"",0),"")</f>
        <v/>
      </c>
      <c r="T251" s="26" t="str">
        <f>IF(B251&lt;&gt;"",_xlfn.XLOOKUP(B251,TableDispatch[Uniq Id],TableDispatch[Eway Bill Out],"",0),"")</f>
        <v/>
      </c>
    </row>
    <row r="252" spans="5:20" x14ac:dyDescent="0.25">
      <c r="E252" s="99"/>
      <c r="J252" s="211" t="str">
        <f>IF(B252&lt;&gt;"",_xlfn.XLOOKUP(B252,'2627PR_Loading'!$E$3:$E$501,'2627PR_Loading'!$B$3:$B$501,"",0)&amp;_xlfn.XLOOKUP(B252,'2627PR_Loading'!$K$3:$K$501,'2627PR_Loading'!$B$3:$B$501,"",0)&amp;_xlfn.XLOOKUP(B252,'2627PR_Loading'!$Q$3:$Q$501,'2627PR_Loading'!$B$3:$B$501,"",0),"")</f>
        <v/>
      </c>
      <c r="K252" s="211" t="str">
        <f>IF(B252&lt;&gt;"",_xlfn.XLOOKUP(B252,'2627PR_Loading'!$E$3:$E$501,'2627PR_Loading'!$C$3:$C$501,"",0)&amp;_xlfn.XLOOKUP(B252,'2627PR_Loading'!$K$3:$K$501,'2627PR_Loading'!$C$3:$C$501,"",0)&amp;_xlfn.XLOOKUP(B252,'2627PR_Loading'!$Q$3:$Q$501,'2627PR_Loading'!$C$3:$C$501,"",0),"")</f>
        <v/>
      </c>
      <c r="P252" s="248" t="str">
        <f>IF(B252&lt;&gt;"",_xlfn.XLOOKUP(B252,'2627PR_Loading'!$E$3:$E$501,'2627PR_Loading'!$J$3:$J$501,"",0)&amp;_xlfn.XLOOKUP(B252,'2627PR_Loading'!$K$3:$K$501,'2627PR_Loading'!$P$3:$P$501,"",0)&amp;_xlfn.XLOOKUP(B252,'2627PR_Loading'!$Q$3:$Q$501,'2627PR_Loading'!$V$3:$V$501,"",0),"")</f>
        <v/>
      </c>
      <c r="Q252" s="98" t="str">
        <f>IF(B252&lt;&gt;"",_xlfn.XLOOKUP(B252,TableDispatch[Uniq Id],TableDispatch[Delivery Date],"",0),"")</f>
        <v/>
      </c>
      <c r="R252" s="98" t="str">
        <f>IF(B252&lt;&gt;"",_xlfn.XLOOKUP(B252,TableDispatch[Uniq Id],TableDispatch[Our Ch No.],"",0),"")</f>
        <v/>
      </c>
      <c r="T252" s="26" t="str">
        <f>IF(B252&lt;&gt;"",_xlfn.XLOOKUP(B252,TableDispatch[Uniq Id],TableDispatch[Eway Bill Out],"",0),"")</f>
        <v/>
      </c>
    </row>
    <row r="253" spans="5:20" x14ac:dyDescent="0.25">
      <c r="E253" s="99"/>
      <c r="J253" s="211" t="str">
        <f>IF(B253&lt;&gt;"",_xlfn.XLOOKUP(B253,'2627PR_Loading'!$E$3:$E$501,'2627PR_Loading'!$B$3:$B$501,"",0)&amp;_xlfn.XLOOKUP(B253,'2627PR_Loading'!$K$3:$K$501,'2627PR_Loading'!$B$3:$B$501,"",0)&amp;_xlfn.XLOOKUP(B253,'2627PR_Loading'!$Q$3:$Q$501,'2627PR_Loading'!$B$3:$B$501,"",0),"")</f>
        <v/>
      </c>
      <c r="K253" s="211" t="str">
        <f>IF(B253&lt;&gt;"",_xlfn.XLOOKUP(B253,'2627PR_Loading'!$E$3:$E$501,'2627PR_Loading'!$C$3:$C$501,"",0)&amp;_xlfn.XLOOKUP(B253,'2627PR_Loading'!$K$3:$K$501,'2627PR_Loading'!$C$3:$C$501,"",0)&amp;_xlfn.XLOOKUP(B253,'2627PR_Loading'!$Q$3:$Q$501,'2627PR_Loading'!$C$3:$C$501,"",0),"")</f>
        <v/>
      </c>
      <c r="P253" s="248" t="str">
        <f>IF(B253&lt;&gt;"",_xlfn.XLOOKUP(B253,'2627PR_Loading'!$E$3:$E$501,'2627PR_Loading'!$J$3:$J$501,"",0)&amp;_xlfn.XLOOKUP(B253,'2627PR_Loading'!$K$3:$K$501,'2627PR_Loading'!$P$3:$P$501,"",0)&amp;_xlfn.XLOOKUP(B253,'2627PR_Loading'!$Q$3:$Q$501,'2627PR_Loading'!$V$3:$V$501,"",0),"")</f>
        <v/>
      </c>
      <c r="Q253" s="98" t="str">
        <f>IF(B253&lt;&gt;"",_xlfn.XLOOKUP(B253,TableDispatch[Uniq Id],TableDispatch[Delivery Date],"",0),"")</f>
        <v/>
      </c>
      <c r="R253" s="98" t="str">
        <f>IF(B253&lt;&gt;"",_xlfn.XLOOKUP(B253,TableDispatch[Uniq Id],TableDispatch[Our Ch No.],"",0),"")</f>
        <v/>
      </c>
      <c r="T253" s="26" t="str">
        <f>IF(B253&lt;&gt;"",_xlfn.XLOOKUP(B253,TableDispatch[Uniq Id],TableDispatch[Eway Bill Out],"",0),"")</f>
        <v/>
      </c>
    </row>
    <row r="254" spans="5:20" x14ac:dyDescent="0.25">
      <c r="E254" s="99"/>
      <c r="J254" s="211" t="str">
        <f>IF(B254&lt;&gt;"",_xlfn.XLOOKUP(B254,'2627PR_Loading'!$E$3:$E$501,'2627PR_Loading'!$B$3:$B$501,"",0)&amp;_xlfn.XLOOKUP(B254,'2627PR_Loading'!$K$3:$K$501,'2627PR_Loading'!$B$3:$B$501,"",0)&amp;_xlfn.XLOOKUP(B254,'2627PR_Loading'!$Q$3:$Q$501,'2627PR_Loading'!$B$3:$B$501,"",0),"")</f>
        <v/>
      </c>
      <c r="K254" s="211" t="str">
        <f>IF(B254&lt;&gt;"",_xlfn.XLOOKUP(B254,'2627PR_Loading'!$E$3:$E$501,'2627PR_Loading'!$C$3:$C$501,"",0)&amp;_xlfn.XLOOKUP(B254,'2627PR_Loading'!$K$3:$K$501,'2627PR_Loading'!$C$3:$C$501,"",0)&amp;_xlfn.XLOOKUP(B254,'2627PR_Loading'!$Q$3:$Q$501,'2627PR_Loading'!$C$3:$C$501,"",0),"")</f>
        <v/>
      </c>
      <c r="P254" s="248" t="str">
        <f>IF(B254&lt;&gt;"",_xlfn.XLOOKUP(B254,'2627PR_Loading'!$E$3:$E$501,'2627PR_Loading'!$J$3:$J$501,"",0)&amp;_xlfn.XLOOKUP(B254,'2627PR_Loading'!$K$3:$K$501,'2627PR_Loading'!$P$3:$P$501,"",0)&amp;_xlfn.XLOOKUP(B254,'2627PR_Loading'!$Q$3:$Q$501,'2627PR_Loading'!$V$3:$V$501,"",0),"")</f>
        <v/>
      </c>
      <c r="Q254" s="98" t="str">
        <f>IF(B254&lt;&gt;"",_xlfn.XLOOKUP(B254,TableDispatch[Uniq Id],TableDispatch[Delivery Date],"",0),"")</f>
        <v/>
      </c>
      <c r="R254" s="98" t="str">
        <f>IF(B254&lt;&gt;"",_xlfn.XLOOKUP(B254,TableDispatch[Uniq Id],TableDispatch[Our Ch No.],"",0),"")</f>
        <v/>
      </c>
      <c r="T254" s="26" t="str">
        <f>IF(B254&lt;&gt;"",_xlfn.XLOOKUP(B254,TableDispatch[Uniq Id],TableDispatch[Eway Bill Out],"",0),"")</f>
        <v/>
      </c>
    </row>
    <row r="255" spans="5:20" x14ac:dyDescent="0.25">
      <c r="E255" s="99"/>
      <c r="J255" s="211" t="str">
        <f>IF(B255&lt;&gt;"",_xlfn.XLOOKUP(B255,'2627PR_Loading'!$E$3:$E$501,'2627PR_Loading'!$B$3:$B$501,"",0)&amp;_xlfn.XLOOKUP(B255,'2627PR_Loading'!$K$3:$K$501,'2627PR_Loading'!$B$3:$B$501,"",0)&amp;_xlfn.XLOOKUP(B255,'2627PR_Loading'!$Q$3:$Q$501,'2627PR_Loading'!$B$3:$B$501,"",0),"")</f>
        <v/>
      </c>
      <c r="K255" s="211" t="str">
        <f>IF(B255&lt;&gt;"",_xlfn.XLOOKUP(B255,'2627PR_Loading'!$E$3:$E$501,'2627PR_Loading'!$C$3:$C$501,"",0)&amp;_xlfn.XLOOKUP(B255,'2627PR_Loading'!$K$3:$K$501,'2627PR_Loading'!$C$3:$C$501,"",0)&amp;_xlfn.XLOOKUP(B255,'2627PR_Loading'!$Q$3:$Q$501,'2627PR_Loading'!$C$3:$C$501,"",0),"")</f>
        <v/>
      </c>
      <c r="P255" s="248" t="str">
        <f>IF(B255&lt;&gt;"",_xlfn.XLOOKUP(B255,'2627PR_Loading'!$E$3:$E$501,'2627PR_Loading'!$J$3:$J$501,"",0)&amp;_xlfn.XLOOKUP(B255,'2627PR_Loading'!$K$3:$K$501,'2627PR_Loading'!$P$3:$P$501,"",0)&amp;_xlfn.XLOOKUP(B255,'2627PR_Loading'!$Q$3:$Q$501,'2627PR_Loading'!$V$3:$V$501,"",0),"")</f>
        <v/>
      </c>
      <c r="Q255" s="98" t="str">
        <f>IF(B255&lt;&gt;"",_xlfn.XLOOKUP(B255,TableDispatch[Uniq Id],TableDispatch[Delivery Date],"",0),"")</f>
        <v/>
      </c>
      <c r="R255" s="98" t="str">
        <f>IF(B255&lt;&gt;"",_xlfn.XLOOKUP(B255,TableDispatch[Uniq Id],TableDispatch[Our Ch No.],"",0),"")</f>
        <v/>
      </c>
      <c r="T255" s="26" t="str">
        <f>IF(B255&lt;&gt;"",_xlfn.XLOOKUP(B255,TableDispatch[Uniq Id],TableDispatch[Eway Bill Out],"",0),"")</f>
        <v/>
      </c>
    </row>
    <row r="256" spans="5:20" x14ac:dyDescent="0.25">
      <c r="E256" s="99"/>
      <c r="J256" s="211" t="str">
        <f>IF(B256&lt;&gt;"",_xlfn.XLOOKUP(B256,'2627PR_Loading'!$E$3:$E$501,'2627PR_Loading'!$B$3:$B$501,"",0)&amp;_xlfn.XLOOKUP(B256,'2627PR_Loading'!$K$3:$K$501,'2627PR_Loading'!$B$3:$B$501,"",0)&amp;_xlfn.XLOOKUP(B256,'2627PR_Loading'!$Q$3:$Q$501,'2627PR_Loading'!$B$3:$B$501,"",0),"")</f>
        <v/>
      </c>
      <c r="K256" s="211" t="str">
        <f>IF(B256&lt;&gt;"",_xlfn.XLOOKUP(B256,'2627PR_Loading'!$E$3:$E$501,'2627PR_Loading'!$C$3:$C$501,"",0)&amp;_xlfn.XLOOKUP(B256,'2627PR_Loading'!$K$3:$K$501,'2627PR_Loading'!$C$3:$C$501,"",0)&amp;_xlfn.XLOOKUP(B256,'2627PR_Loading'!$Q$3:$Q$501,'2627PR_Loading'!$C$3:$C$501,"",0),"")</f>
        <v/>
      </c>
      <c r="P256" s="248" t="str">
        <f>IF(B256&lt;&gt;"",_xlfn.XLOOKUP(B256,'2627PR_Loading'!$E$3:$E$501,'2627PR_Loading'!$J$3:$J$501,"",0)&amp;_xlfn.XLOOKUP(B256,'2627PR_Loading'!$K$3:$K$501,'2627PR_Loading'!$P$3:$P$501,"",0)&amp;_xlfn.XLOOKUP(B256,'2627PR_Loading'!$Q$3:$Q$501,'2627PR_Loading'!$V$3:$V$501,"",0),"")</f>
        <v/>
      </c>
      <c r="Q256" s="98" t="str">
        <f>IF(B256&lt;&gt;"",_xlfn.XLOOKUP(B256,TableDispatch[Uniq Id],TableDispatch[Delivery Date],"",0),"")</f>
        <v/>
      </c>
      <c r="R256" s="98" t="str">
        <f>IF(B256&lt;&gt;"",_xlfn.XLOOKUP(B256,TableDispatch[Uniq Id],TableDispatch[Our Ch No.],"",0),"")</f>
        <v/>
      </c>
      <c r="T256" s="26" t="str">
        <f>IF(B256&lt;&gt;"",_xlfn.XLOOKUP(B256,TableDispatch[Uniq Id],TableDispatch[Eway Bill Out],"",0),"")</f>
        <v/>
      </c>
    </row>
    <row r="257" spans="5:20" x14ac:dyDescent="0.25">
      <c r="E257" s="99"/>
      <c r="J257" s="211" t="str">
        <f>IF(B257&lt;&gt;"",_xlfn.XLOOKUP(B257,'2627PR_Loading'!$E$3:$E$501,'2627PR_Loading'!$B$3:$B$501,"",0)&amp;_xlfn.XLOOKUP(B257,'2627PR_Loading'!$K$3:$K$501,'2627PR_Loading'!$B$3:$B$501,"",0)&amp;_xlfn.XLOOKUP(B257,'2627PR_Loading'!$Q$3:$Q$501,'2627PR_Loading'!$B$3:$B$501,"",0),"")</f>
        <v/>
      </c>
      <c r="K257" s="211" t="str">
        <f>IF(B257&lt;&gt;"",_xlfn.XLOOKUP(B257,'2627PR_Loading'!$E$3:$E$501,'2627PR_Loading'!$C$3:$C$501,"",0)&amp;_xlfn.XLOOKUP(B257,'2627PR_Loading'!$K$3:$K$501,'2627PR_Loading'!$C$3:$C$501,"",0)&amp;_xlfn.XLOOKUP(B257,'2627PR_Loading'!$Q$3:$Q$501,'2627PR_Loading'!$C$3:$C$501,"",0),"")</f>
        <v/>
      </c>
      <c r="P257" s="248" t="str">
        <f>IF(B257&lt;&gt;"",_xlfn.XLOOKUP(B257,'2627PR_Loading'!$E$3:$E$501,'2627PR_Loading'!$J$3:$J$501,"",0)&amp;_xlfn.XLOOKUP(B257,'2627PR_Loading'!$K$3:$K$501,'2627PR_Loading'!$P$3:$P$501,"",0)&amp;_xlfn.XLOOKUP(B257,'2627PR_Loading'!$Q$3:$Q$501,'2627PR_Loading'!$V$3:$V$501,"",0),"")</f>
        <v/>
      </c>
      <c r="Q257" s="98" t="str">
        <f>IF(B257&lt;&gt;"",_xlfn.XLOOKUP(B257,TableDispatch[Uniq Id],TableDispatch[Delivery Date],"",0),"")</f>
        <v/>
      </c>
      <c r="R257" s="98" t="str">
        <f>IF(B257&lt;&gt;"",_xlfn.XLOOKUP(B257,TableDispatch[Uniq Id],TableDispatch[Our Ch No.],"",0),"")</f>
        <v/>
      </c>
      <c r="T257" s="26" t="str">
        <f>IF(B257&lt;&gt;"",_xlfn.XLOOKUP(B257,TableDispatch[Uniq Id],TableDispatch[Eway Bill Out],"",0),"")</f>
        <v/>
      </c>
    </row>
    <row r="258" spans="5:20" x14ac:dyDescent="0.25">
      <c r="E258" s="99"/>
      <c r="J258" s="211" t="str">
        <f>IF(B258&lt;&gt;"",_xlfn.XLOOKUP(B258,'2627PR_Loading'!$E$3:$E$501,'2627PR_Loading'!$B$3:$B$501,"",0)&amp;_xlfn.XLOOKUP(B258,'2627PR_Loading'!$K$3:$K$501,'2627PR_Loading'!$B$3:$B$501,"",0)&amp;_xlfn.XLOOKUP(B258,'2627PR_Loading'!$Q$3:$Q$501,'2627PR_Loading'!$B$3:$B$501,"",0),"")</f>
        <v/>
      </c>
      <c r="K258" s="211" t="str">
        <f>IF(B258&lt;&gt;"",_xlfn.XLOOKUP(B258,'2627PR_Loading'!$E$3:$E$501,'2627PR_Loading'!$C$3:$C$501,"",0)&amp;_xlfn.XLOOKUP(B258,'2627PR_Loading'!$K$3:$K$501,'2627PR_Loading'!$C$3:$C$501,"",0)&amp;_xlfn.XLOOKUP(B258,'2627PR_Loading'!$Q$3:$Q$501,'2627PR_Loading'!$C$3:$C$501,"",0),"")</f>
        <v/>
      </c>
      <c r="P258" s="248" t="str">
        <f>IF(B258&lt;&gt;"",_xlfn.XLOOKUP(B258,'2627PR_Loading'!$E$3:$E$501,'2627PR_Loading'!$J$3:$J$501,"",0)&amp;_xlfn.XLOOKUP(B258,'2627PR_Loading'!$K$3:$K$501,'2627PR_Loading'!$P$3:$P$501,"",0)&amp;_xlfn.XLOOKUP(B258,'2627PR_Loading'!$Q$3:$Q$501,'2627PR_Loading'!$V$3:$V$501,"",0),"")</f>
        <v/>
      </c>
      <c r="Q258" s="98" t="str">
        <f>IF(B258&lt;&gt;"",_xlfn.XLOOKUP(B258,TableDispatch[Uniq Id],TableDispatch[Delivery Date],"",0),"")</f>
        <v/>
      </c>
      <c r="R258" s="98" t="str">
        <f>IF(B258&lt;&gt;"",_xlfn.XLOOKUP(B258,TableDispatch[Uniq Id],TableDispatch[Our Ch No.],"",0),"")</f>
        <v/>
      </c>
      <c r="T258" s="26" t="str">
        <f>IF(B258&lt;&gt;"",_xlfn.XLOOKUP(B258,TableDispatch[Uniq Id],TableDispatch[Eway Bill Out],"",0),"")</f>
        <v/>
      </c>
    </row>
    <row r="259" spans="5:20" x14ac:dyDescent="0.25">
      <c r="E259" s="99"/>
      <c r="J259" s="211" t="str">
        <f>IF(B259&lt;&gt;"",_xlfn.XLOOKUP(B259,'2627PR_Loading'!$E$3:$E$501,'2627PR_Loading'!$B$3:$B$501,"",0)&amp;_xlfn.XLOOKUP(B259,'2627PR_Loading'!$K$3:$K$501,'2627PR_Loading'!$B$3:$B$501,"",0)&amp;_xlfn.XLOOKUP(B259,'2627PR_Loading'!$Q$3:$Q$501,'2627PR_Loading'!$B$3:$B$501,"",0),"")</f>
        <v/>
      </c>
      <c r="K259" s="211" t="str">
        <f>IF(B259&lt;&gt;"",_xlfn.XLOOKUP(B259,'2627PR_Loading'!$E$3:$E$501,'2627PR_Loading'!$C$3:$C$501,"",0)&amp;_xlfn.XLOOKUP(B259,'2627PR_Loading'!$K$3:$K$501,'2627PR_Loading'!$C$3:$C$501,"",0)&amp;_xlfn.XLOOKUP(B259,'2627PR_Loading'!$Q$3:$Q$501,'2627PR_Loading'!$C$3:$C$501,"",0),"")</f>
        <v/>
      </c>
      <c r="P259" s="248" t="str">
        <f>IF(B259&lt;&gt;"",_xlfn.XLOOKUP(B259,'2627PR_Loading'!$E$3:$E$501,'2627PR_Loading'!$J$3:$J$501,"",0)&amp;_xlfn.XLOOKUP(B259,'2627PR_Loading'!$K$3:$K$501,'2627PR_Loading'!$P$3:$P$501,"",0)&amp;_xlfn.XLOOKUP(B259,'2627PR_Loading'!$Q$3:$Q$501,'2627PR_Loading'!$V$3:$V$501,"",0),"")</f>
        <v/>
      </c>
      <c r="Q259" s="98" t="str">
        <f>IF(B259&lt;&gt;"",_xlfn.XLOOKUP(B259,TableDispatch[Uniq Id],TableDispatch[Delivery Date],"",0),"")</f>
        <v/>
      </c>
      <c r="R259" s="98" t="str">
        <f>IF(B259&lt;&gt;"",_xlfn.XLOOKUP(B259,TableDispatch[Uniq Id],TableDispatch[Our Ch No.],"",0),"")</f>
        <v/>
      </c>
      <c r="T259" s="26" t="str">
        <f>IF(B259&lt;&gt;"",_xlfn.XLOOKUP(B259,TableDispatch[Uniq Id],TableDispatch[Eway Bill Out],"",0),"")</f>
        <v/>
      </c>
    </row>
    <row r="260" spans="5:20" x14ac:dyDescent="0.25">
      <c r="E260" s="99"/>
      <c r="J260" s="211" t="str">
        <f>IF(B260&lt;&gt;"",_xlfn.XLOOKUP(B260,'2627PR_Loading'!$E$3:$E$501,'2627PR_Loading'!$B$3:$B$501,"",0)&amp;_xlfn.XLOOKUP(B260,'2627PR_Loading'!$K$3:$K$501,'2627PR_Loading'!$B$3:$B$501,"",0)&amp;_xlfn.XLOOKUP(B260,'2627PR_Loading'!$Q$3:$Q$501,'2627PR_Loading'!$B$3:$B$501,"",0),"")</f>
        <v/>
      </c>
      <c r="K260" s="211" t="str">
        <f>IF(B260&lt;&gt;"",_xlfn.XLOOKUP(B260,'2627PR_Loading'!$E$3:$E$501,'2627PR_Loading'!$C$3:$C$501,"",0)&amp;_xlfn.XLOOKUP(B260,'2627PR_Loading'!$K$3:$K$501,'2627PR_Loading'!$C$3:$C$501,"",0)&amp;_xlfn.XLOOKUP(B260,'2627PR_Loading'!$Q$3:$Q$501,'2627PR_Loading'!$C$3:$C$501,"",0),"")</f>
        <v/>
      </c>
      <c r="P260" s="248" t="str">
        <f>IF(B260&lt;&gt;"",_xlfn.XLOOKUP(B260,'2627PR_Loading'!$E$3:$E$501,'2627PR_Loading'!$J$3:$J$501,"",0)&amp;_xlfn.XLOOKUP(B260,'2627PR_Loading'!$K$3:$K$501,'2627PR_Loading'!$P$3:$P$501,"",0)&amp;_xlfn.XLOOKUP(B260,'2627PR_Loading'!$Q$3:$Q$501,'2627PR_Loading'!$V$3:$V$501,"",0),"")</f>
        <v/>
      </c>
      <c r="Q260" s="98" t="str">
        <f>IF(B260&lt;&gt;"",_xlfn.XLOOKUP(B260,TableDispatch[Uniq Id],TableDispatch[Delivery Date],"",0),"")</f>
        <v/>
      </c>
      <c r="R260" s="98" t="str">
        <f>IF(B260&lt;&gt;"",_xlfn.XLOOKUP(B260,TableDispatch[Uniq Id],TableDispatch[Our Ch No.],"",0),"")</f>
        <v/>
      </c>
      <c r="T260" s="26" t="str">
        <f>IF(B260&lt;&gt;"",_xlfn.XLOOKUP(B260,TableDispatch[Uniq Id],TableDispatch[Eway Bill Out],"",0),"")</f>
        <v/>
      </c>
    </row>
    <row r="261" spans="5:20" x14ac:dyDescent="0.25">
      <c r="E261" s="99"/>
      <c r="J261" s="211" t="str">
        <f>IF(B261&lt;&gt;"",_xlfn.XLOOKUP(B261,'2627PR_Loading'!$E$3:$E$501,'2627PR_Loading'!$B$3:$B$501,"",0)&amp;_xlfn.XLOOKUP(B261,'2627PR_Loading'!$K$3:$K$501,'2627PR_Loading'!$B$3:$B$501,"",0)&amp;_xlfn.XLOOKUP(B261,'2627PR_Loading'!$Q$3:$Q$501,'2627PR_Loading'!$B$3:$B$501,"",0),"")</f>
        <v/>
      </c>
      <c r="K261" s="211" t="str">
        <f>IF(B261&lt;&gt;"",_xlfn.XLOOKUP(B261,'2627PR_Loading'!$E$3:$E$501,'2627PR_Loading'!$C$3:$C$501,"",0)&amp;_xlfn.XLOOKUP(B261,'2627PR_Loading'!$K$3:$K$501,'2627PR_Loading'!$C$3:$C$501,"",0)&amp;_xlfn.XLOOKUP(B261,'2627PR_Loading'!$Q$3:$Q$501,'2627PR_Loading'!$C$3:$C$501,"",0),"")</f>
        <v/>
      </c>
      <c r="P261" s="248" t="str">
        <f>IF(B261&lt;&gt;"",_xlfn.XLOOKUP(B261,'2627PR_Loading'!$E$3:$E$501,'2627PR_Loading'!$J$3:$J$501,"",0)&amp;_xlfn.XLOOKUP(B261,'2627PR_Loading'!$K$3:$K$501,'2627PR_Loading'!$P$3:$P$501,"",0)&amp;_xlfn.XLOOKUP(B261,'2627PR_Loading'!$Q$3:$Q$501,'2627PR_Loading'!$V$3:$V$501,"",0),"")</f>
        <v/>
      </c>
      <c r="Q261" s="98" t="str">
        <f>IF(B261&lt;&gt;"",_xlfn.XLOOKUP(B261,TableDispatch[Uniq Id],TableDispatch[Delivery Date],"",0),"")</f>
        <v/>
      </c>
      <c r="R261" s="98" t="str">
        <f>IF(B261&lt;&gt;"",_xlfn.XLOOKUP(B261,TableDispatch[Uniq Id],TableDispatch[Our Ch No.],"",0),"")</f>
        <v/>
      </c>
      <c r="T261" s="26" t="str">
        <f>IF(B261&lt;&gt;"",_xlfn.XLOOKUP(B261,TableDispatch[Uniq Id],TableDispatch[Eway Bill Out],"",0),"")</f>
        <v/>
      </c>
    </row>
    <row r="262" spans="5:20" x14ac:dyDescent="0.25">
      <c r="E262" s="99"/>
      <c r="J262" s="211" t="str">
        <f>IF(B262&lt;&gt;"",_xlfn.XLOOKUP(B262,'2627PR_Loading'!$E$3:$E$501,'2627PR_Loading'!$B$3:$B$501,"",0)&amp;_xlfn.XLOOKUP(B262,'2627PR_Loading'!$K$3:$K$501,'2627PR_Loading'!$B$3:$B$501,"",0)&amp;_xlfn.XLOOKUP(B262,'2627PR_Loading'!$Q$3:$Q$501,'2627PR_Loading'!$B$3:$B$501,"",0),"")</f>
        <v/>
      </c>
      <c r="K262" s="211" t="str">
        <f>IF(B262&lt;&gt;"",_xlfn.XLOOKUP(B262,'2627PR_Loading'!$E$3:$E$501,'2627PR_Loading'!$C$3:$C$501,"",0)&amp;_xlfn.XLOOKUP(B262,'2627PR_Loading'!$K$3:$K$501,'2627PR_Loading'!$C$3:$C$501,"",0)&amp;_xlfn.XLOOKUP(B262,'2627PR_Loading'!$Q$3:$Q$501,'2627PR_Loading'!$C$3:$C$501,"",0),"")</f>
        <v/>
      </c>
      <c r="P262" s="248" t="str">
        <f>IF(B262&lt;&gt;"",_xlfn.XLOOKUP(B262,'2627PR_Loading'!$E$3:$E$501,'2627PR_Loading'!$J$3:$J$501,"",0)&amp;_xlfn.XLOOKUP(B262,'2627PR_Loading'!$K$3:$K$501,'2627PR_Loading'!$P$3:$P$501,"",0)&amp;_xlfn.XLOOKUP(B262,'2627PR_Loading'!$Q$3:$Q$501,'2627PR_Loading'!$V$3:$V$501,"",0),"")</f>
        <v/>
      </c>
      <c r="Q262" s="98" t="str">
        <f>IF(B262&lt;&gt;"",_xlfn.XLOOKUP(B262,TableDispatch[Uniq Id],TableDispatch[Delivery Date],"",0),"")</f>
        <v/>
      </c>
      <c r="R262" s="98" t="str">
        <f>IF(B262&lt;&gt;"",_xlfn.XLOOKUP(B262,TableDispatch[Uniq Id],TableDispatch[Our Ch No.],"",0),"")</f>
        <v/>
      </c>
      <c r="T262" s="26" t="str">
        <f>IF(B262&lt;&gt;"",_xlfn.XLOOKUP(B262,TableDispatch[Uniq Id],TableDispatch[Eway Bill Out],"",0),"")</f>
        <v/>
      </c>
    </row>
    <row r="263" spans="5:20" x14ac:dyDescent="0.25">
      <c r="E263" s="99"/>
      <c r="J263" s="211" t="str">
        <f>IF(B263&lt;&gt;"",_xlfn.XLOOKUP(B263,'2627PR_Loading'!$E$3:$E$501,'2627PR_Loading'!$B$3:$B$501,"",0)&amp;_xlfn.XLOOKUP(B263,'2627PR_Loading'!$K$3:$K$501,'2627PR_Loading'!$B$3:$B$501,"",0)&amp;_xlfn.XLOOKUP(B263,'2627PR_Loading'!$Q$3:$Q$501,'2627PR_Loading'!$B$3:$B$501,"",0),"")</f>
        <v/>
      </c>
      <c r="K263" s="211" t="str">
        <f>IF(B263&lt;&gt;"",_xlfn.XLOOKUP(B263,'2627PR_Loading'!$E$3:$E$501,'2627PR_Loading'!$C$3:$C$501,"",0)&amp;_xlfn.XLOOKUP(B263,'2627PR_Loading'!$K$3:$K$501,'2627PR_Loading'!$C$3:$C$501,"",0)&amp;_xlfn.XLOOKUP(B263,'2627PR_Loading'!$Q$3:$Q$501,'2627PR_Loading'!$C$3:$C$501,"",0),"")</f>
        <v/>
      </c>
      <c r="P263" s="248" t="str">
        <f>IF(B263&lt;&gt;"",_xlfn.XLOOKUP(B263,'2627PR_Loading'!$E$3:$E$501,'2627PR_Loading'!$J$3:$J$501,"",0)&amp;_xlfn.XLOOKUP(B263,'2627PR_Loading'!$K$3:$K$501,'2627PR_Loading'!$P$3:$P$501,"",0)&amp;_xlfn.XLOOKUP(B263,'2627PR_Loading'!$Q$3:$Q$501,'2627PR_Loading'!$V$3:$V$501,"",0),"")</f>
        <v/>
      </c>
      <c r="Q263" s="98" t="str">
        <f>IF(B263&lt;&gt;"",_xlfn.XLOOKUP(B263,TableDispatch[Uniq Id],TableDispatch[Delivery Date],"",0),"")</f>
        <v/>
      </c>
      <c r="R263" s="98" t="str">
        <f>IF(B263&lt;&gt;"",_xlfn.XLOOKUP(B263,TableDispatch[Uniq Id],TableDispatch[Our Ch No.],"",0),"")</f>
        <v/>
      </c>
      <c r="T263" s="26" t="str">
        <f>IF(B263&lt;&gt;"",_xlfn.XLOOKUP(B263,TableDispatch[Uniq Id],TableDispatch[Eway Bill Out],"",0),"")</f>
        <v/>
      </c>
    </row>
    <row r="264" spans="5:20" x14ac:dyDescent="0.25">
      <c r="E264" s="99"/>
      <c r="J264" s="211" t="str">
        <f>IF(B264&lt;&gt;"",_xlfn.XLOOKUP(B264,'2627PR_Loading'!$E$3:$E$501,'2627PR_Loading'!$B$3:$B$501,"",0)&amp;_xlfn.XLOOKUP(B264,'2627PR_Loading'!$K$3:$K$501,'2627PR_Loading'!$B$3:$B$501,"",0)&amp;_xlfn.XLOOKUP(B264,'2627PR_Loading'!$Q$3:$Q$501,'2627PR_Loading'!$B$3:$B$501,"",0),"")</f>
        <v/>
      </c>
      <c r="K264" s="211" t="str">
        <f>IF(B264&lt;&gt;"",_xlfn.XLOOKUP(B264,'2627PR_Loading'!$E$3:$E$501,'2627PR_Loading'!$C$3:$C$501,"",0)&amp;_xlfn.XLOOKUP(B264,'2627PR_Loading'!$K$3:$K$501,'2627PR_Loading'!$C$3:$C$501,"",0)&amp;_xlfn.XLOOKUP(B264,'2627PR_Loading'!$Q$3:$Q$501,'2627PR_Loading'!$C$3:$C$501,"",0),"")</f>
        <v/>
      </c>
      <c r="P264" s="248" t="str">
        <f>IF(B264&lt;&gt;"",_xlfn.XLOOKUP(B264,'2627PR_Loading'!$E$3:$E$501,'2627PR_Loading'!$J$3:$J$501,"",0)&amp;_xlfn.XLOOKUP(B264,'2627PR_Loading'!$K$3:$K$501,'2627PR_Loading'!$P$3:$P$501,"",0)&amp;_xlfn.XLOOKUP(B264,'2627PR_Loading'!$Q$3:$Q$501,'2627PR_Loading'!$V$3:$V$501,"",0),"")</f>
        <v/>
      </c>
      <c r="Q264" s="98" t="str">
        <f>IF(B264&lt;&gt;"",_xlfn.XLOOKUP(B264,TableDispatch[Uniq Id],TableDispatch[Delivery Date],"",0),"")</f>
        <v/>
      </c>
      <c r="R264" s="98" t="str">
        <f>IF(B264&lt;&gt;"",_xlfn.XLOOKUP(B264,TableDispatch[Uniq Id],TableDispatch[Our Ch No.],"",0),"")</f>
        <v/>
      </c>
      <c r="T264" s="26" t="str">
        <f>IF(B264&lt;&gt;"",_xlfn.XLOOKUP(B264,TableDispatch[Uniq Id],TableDispatch[Eway Bill Out],"",0),"")</f>
        <v/>
      </c>
    </row>
    <row r="265" spans="5:20" x14ac:dyDescent="0.25">
      <c r="E265" s="99"/>
      <c r="J265" s="211" t="str">
        <f>IF(B265&lt;&gt;"",_xlfn.XLOOKUP(B265,'2627PR_Loading'!$E$3:$E$501,'2627PR_Loading'!$B$3:$B$501,"",0)&amp;_xlfn.XLOOKUP(B265,'2627PR_Loading'!$K$3:$K$501,'2627PR_Loading'!$B$3:$B$501,"",0)&amp;_xlfn.XLOOKUP(B265,'2627PR_Loading'!$Q$3:$Q$501,'2627PR_Loading'!$B$3:$B$501,"",0),"")</f>
        <v/>
      </c>
      <c r="K265" s="211" t="str">
        <f>IF(B265&lt;&gt;"",_xlfn.XLOOKUP(B265,'2627PR_Loading'!$E$3:$E$501,'2627PR_Loading'!$C$3:$C$501,"",0)&amp;_xlfn.XLOOKUP(B265,'2627PR_Loading'!$K$3:$K$501,'2627PR_Loading'!$C$3:$C$501,"",0)&amp;_xlfn.XLOOKUP(B265,'2627PR_Loading'!$Q$3:$Q$501,'2627PR_Loading'!$C$3:$C$501,"",0),"")</f>
        <v/>
      </c>
      <c r="P265" s="248" t="str">
        <f>IF(B265&lt;&gt;"",_xlfn.XLOOKUP(B265,'2627PR_Loading'!$E$3:$E$501,'2627PR_Loading'!$J$3:$J$501,"",0)&amp;_xlfn.XLOOKUP(B265,'2627PR_Loading'!$K$3:$K$501,'2627PR_Loading'!$P$3:$P$501,"",0)&amp;_xlfn.XLOOKUP(B265,'2627PR_Loading'!$Q$3:$Q$501,'2627PR_Loading'!$V$3:$V$501,"",0),"")</f>
        <v/>
      </c>
      <c r="Q265" s="98" t="str">
        <f>IF(B265&lt;&gt;"",_xlfn.XLOOKUP(B265,TableDispatch[Uniq Id],TableDispatch[Delivery Date],"",0),"")</f>
        <v/>
      </c>
      <c r="R265" s="98" t="str">
        <f>IF(B265&lt;&gt;"",_xlfn.XLOOKUP(B265,TableDispatch[Uniq Id],TableDispatch[Our Ch No.],"",0),"")</f>
        <v/>
      </c>
      <c r="T265" s="26" t="str">
        <f>IF(B265&lt;&gt;"",_xlfn.XLOOKUP(B265,TableDispatch[Uniq Id],TableDispatch[Eway Bill Out],"",0),"")</f>
        <v/>
      </c>
    </row>
    <row r="266" spans="5:20" x14ac:dyDescent="0.25">
      <c r="E266" s="99"/>
      <c r="J266" s="211" t="str">
        <f>IF(B266&lt;&gt;"",_xlfn.XLOOKUP(B266,'2627PR_Loading'!$E$3:$E$501,'2627PR_Loading'!$B$3:$B$501,"",0)&amp;_xlfn.XLOOKUP(B266,'2627PR_Loading'!$K$3:$K$501,'2627PR_Loading'!$B$3:$B$501,"",0)&amp;_xlfn.XLOOKUP(B266,'2627PR_Loading'!$Q$3:$Q$501,'2627PR_Loading'!$B$3:$B$501,"",0),"")</f>
        <v/>
      </c>
      <c r="K266" s="211" t="str">
        <f>IF(B266&lt;&gt;"",_xlfn.XLOOKUP(B266,'2627PR_Loading'!$E$3:$E$501,'2627PR_Loading'!$C$3:$C$501,"",0)&amp;_xlfn.XLOOKUP(B266,'2627PR_Loading'!$K$3:$K$501,'2627PR_Loading'!$C$3:$C$501,"",0)&amp;_xlfn.XLOOKUP(B266,'2627PR_Loading'!$Q$3:$Q$501,'2627PR_Loading'!$C$3:$C$501,"",0),"")</f>
        <v/>
      </c>
      <c r="P266" s="248" t="str">
        <f>IF(B266&lt;&gt;"",_xlfn.XLOOKUP(B266,'2627PR_Loading'!$E$3:$E$501,'2627PR_Loading'!$J$3:$J$501,"",0)&amp;_xlfn.XLOOKUP(B266,'2627PR_Loading'!$K$3:$K$501,'2627PR_Loading'!$P$3:$P$501,"",0)&amp;_xlfn.XLOOKUP(B266,'2627PR_Loading'!$Q$3:$Q$501,'2627PR_Loading'!$V$3:$V$501,"",0),"")</f>
        <v/>
      </c>
      <c r="Q266" s="98" t="str">
        <f>IF(B266&lt;&gt;"",_xlfn.XLOOKUP(B266,TableDispatch[Uniq Id],TableDispatch[Delivery Date],"",0),"")</f>
        <v/>
      </c>
      <c r="R266" s="98" t="str">
        <f>IF(B266&lt;&gt;"",_xlfn.XLOOKUP(B266,TableDispatch[Uniq Id],TableDispatch[Our Ch No.],"",0),"")</f>
        <v/>
      </c>
      <c r="T266" s="26" t="str">
        <f>IF(B266&lt;&gt;"",_xlfn.XLOOKUP(B266,TableDispatch[Uniq Id],TableDispatch[Eway Bill Out],"",0),"")</f>
        <v/>
      </c>
    </row>
    <row r="267" spans="5:20" x14ac:dyDescent="0.25">
      <c r="E267" s="99"/>
      <c r="J267" s="211" t="str">
        <f>IF(B267&lt;&gt;"",_xlfn.XLOOKUP(B267,'2627PR_Loading'!$E$3:$E$501,'2627PR_Loading'!$B$3:$B$501,"",0)&amp;_xlfn.XLOOKUP(B267,'2627PR_Loading'!$K$3:$K$501,'2627PR_Loading'!$B$3:$B$501,"",0)&amp;_xlfn.XLOOKUP(B267,'2627PR_Loading'!$Q$3:$Q$501,'2627PR_Loading'!$B$3:$B$501,"",0),"")</f>
        <v/>
      </c>
      <c r="K267" s="211" t="str">
        <f>IF(B267&lt;&gt;"",_xlfn.XLOOKUP(B267,'2627PR_Loading'!$E$3:$E$501,'2627PR_Loading'!$C$3:$C$501,"",0)&amp;_xlfn.XLOOKUP(B267,'2627PR_Loading'!$K$3:$K$501,'2627PR_Loading'!$C$3:$C$501,"",0)&amp;_xlfn.XLOOKUP(B267,'2627PR_Loading'!$Q$3:$Q$501,'2627PR_Loading'!$C$3:$C$501,"",0),"")</f>
        <v/>
      </c>
      <c r="P267" s="248" t="str">
        <f>IF(B267&lt;&gt;"",_xlfn.XLOOKUP(B267,'2627PR_Loading'!$E$3:$E$501,'2627PR_Loading'!$J$3:$J$501,"",0)&amp;_xlfn.XLOOKUP(B267,'2627PR_Loading'!$K$3:$K$501,'2627PR_Loading'!$P$3:$P$501,"",0)&amp;_xlfn.XLOOKUP(B267,'2627PR_Loading'!$Q$3:$Q$501,'2627PR_Loading'!$V$3:$V$501,"",0),"")</f>
        <v/>
      </c>
      <c r="Q267" s="98" t="str">
        <f>IF(B267&lt;&gt;"",_xlfn.XLOOKUP(B267,TableDispatch[Uniq Id],TableDispatch[Delivery Date],"",0),"")</f>
        <v/>
      </c>
      <c r="R267" s="98" t="str">
        <f>IF(B267&lt;&gt;"",_xlfn.XLOOKUP(B267,TableDispatch[Uniq Id],TableDispatch[Our Ch No.],"",0),"")</f>
        <v/>
      </c>
      <c r="T267" s="26" t="str">
        <f>IF(B267&lt;&gt;"",_xlfn.XLOOKUP(B267,TableDispatch[Uniq Id],TableDispatch[Eway Bill Out],"",0),"")</f>
        <v/>
      </c>
    </row>
    <row r="268" spans="5:20" x14ac:dyDescent="0.25">
      <c r="E268" s="99"/>
      <c r="J268" s="211" t="str">
        <f>IF(B268&lt;&gt;"",_xlfn.XLOOKUP(B268,'2627PR_Loading'!$E$3:$E$501,'2627PR_Loading'!$B$3:$B$501,"",0)&amp;_xlfn.XLOOKUP(B268,'2627PR_Loading'!$K$3:$K$501,'2627PR_Loading'!$B$3:$B$501,"",0)&amp;_xlfn.XLOOKUP(B268,'2627PR_Loading'!$Q$3:$Q$501,'2627PR_Loading'!$B$3:$B$501,"",0),"")</f>
        <v/>
      </c>
      <c r="K268" s="211" t="str">
        <f>IF(B268&lt;&gt;"",_xlfn.XLOOKUP(B268,'2627PR_Loading'!$E$3:$E$501,'2627PR_Loading'!$C$3:$C$501,"",0)&amp;_xlfn.XLOOKUP(B268,'2627PR_Loading'!$K$3:$K$501,'2627PR_Loading'!$C$3:$C$501,"",0)&amp;_xlfn.XLOOKUP(B268,'2627PR_Loading'!$Q$3:$Q$501,'2627PR_Loading'!$C$3:$C$501,"",0),"")</f>
        <v/>
      </c>
      <c r="P268" s="248" t="str">
        <f>IF(B268&lt;&gt;"",_xlfn.XLOOKUP(B268,'2627PR_Loading'!$E$3:$E$501,'2627PR_Loading'!$J$3:$J$501,"",0)&amp;_xlfn.XLOOKUP(B268,'2627PR_Loading'!$K$3:$K$501,'2627PR_Loading'!$P$3:$P$501,"",0)&amp;_xlfn.XLOOKUP(B268,'2627PR_Loading'!$Q$3:$Q$501,'2627PR_Loading'!$V$3:$V$501,"",0),"")</f>
        <v/>
      </c>
      <c r="Q268" s="98" t="str">
        <f>IF(B268&lt;&gt;"",_xlfn.XLOOKUP(B268,TableDispatch[Uniq Id],TableDispatch[Delivery Date],"",0),"")</f>
        <v/>
      </c>
      <c r="R268" s="98" t="str">
        <f>IF(B268&lt;&gt;"",_xlfn.XLOOKUP(B268,TableDispatch[Uniq Id],TableDispatch[Our Ch No.],"",0),"")</f>
        <v/>
      </c>
      <c r="T268" s="26" t="str">
        <f>IF(B268&lt;&gt;"",_xlfn.XLOOKUP(B268,TableDispatch[Uniq Id],TableDispatch[Eway Bill Out],"",0),"")</f>
        <v/>
      </c>
    </row>
    <row r="269" spans="5:20" x14ac:dyDescent="0.25">
      <c r="E269" s="99"/>
      <c r="J269" s="211" t="str">
        <f>IF(B269&lt;&gt;"",_xlfn.XLOOKUP(B269,'2627PR_Loading'!$E$3:$E$501,'2627PR_Loading'!$B$3:$B$501,"",0)&amp;_xlfn.XLOOKUP(B269,'2627PR_Loading'!$K$3:$K$501,'2627PR_Loading'!$B$3:$B$501,"",0)&amp;_xlfn.XLOOKUP(B269,'2627PR_Loading'!$Q$3:$Q$501,'2627PR_Loading'!$B$3:$B$501,"",0),"")</f>
        <v/>
      </c>
      <c r="K269" s="211" t="str">
        <f>IF(B269&lt;&gt;"",_xlfn.XLOOKUP(B269,'2627PR_Loading'!$E$3:$E$501,'2627PR_Loading'!$C$3:$C$501,"",0)&amp;_xlfn.XLOOKUP(B269,'2627PR_Loading'!$K$3:$K$501,'2627PR_Loading'!$C$3:$C$501,"",0)&amp;_xlfn.XLOOKUP(B269,'2627PR_Loading'!$Q$3:$Q$501,'2627PR_Loading'!$C$3:$C$501,"",0),"")</f>
        <v/>
      </c>
      <c r="P269" s="248" t="str">
        <f>IF(B269&lt;&gt;"",_xlfn.XLOOKUP(B269,'2627PR_Loading'!$E$3:$E$501,'2627PR_Loading'!$J$3:$J$501,"",0)&amp;_xlfn.XLOOKUP(B269,'2627PR_Loading'!$K$3:$K$501,'2627PR_Loading'!$P$3:$P$501,"",0)&amp;_xlfn.XLOOKUP(B269,'2627PR_Loading'!$Q$3:$Q$501,'2627PR_Loading'!$V$3:$V$501,"",0),"")</f>
        <v/>
      </c>
      <c r="Q269" s="98" t="str">
        <f>IF(B269&lt;&gt;"",_xlfn.XLOOKUP(B269,TableDispatch[Uniq Id],TableDispatch[Delivery Date],"",0),"")</f>
        <v/>
      </c>
      <c r="R269" s="98" t="str">
        <f>IF(B269&lt;&gt;"",_xlfn.XLOOKUP(B269,TableDispatch[Uniq Id],TableDispatch[Our Ch No.],"",0),"")</f>
        <v/>
      </c>
      <c r="T269" s="26" t="str">
        <f>IF(B269&lt;&gt;"",_xlfn.XLOOKUP(B269,TableDispatch[Uniq Id],TableDispatch[Eway Bill Out],"",0),"")</f>
        <v/>
      </c>
    </row>
    <row r="270" spans="5:20" x14ac:dyDescent="0.25">
      <c r="E270" s="99"/>
      <c r="J270" s="211" t="str">
        <f>IF(B270&lt;&gt;"",_xlfn.XLOOKUP(B270,'2627PR_Loading'!$E$3:$E$501,'2627PR_Loading'!$B$3:$B$501,"",0)&amp;_xlfn.XLOOKUP(B270,'2627PR_Loading'!$K$3:$K$501,'2627PR_Loading'!$B$3:$B$501,"",0)&amp;_xlfn.XLOOKUP(B270,'2627PR_Loading'!$Q$3:$Q$501,'2627PR_Loading'!$B$3:$B$501,"",0),"")</f>
        <v/>
      </c>
      <c r="K270" s="211" t="str">
        <f>IF(B270&lt;&gt;"",_xlfn.XLOOKUP(B270,'2627PR_Loading'!$E$3:$E$501,'2627PR_Loading'!$C$3:$C$501,"",0)&amp;_xlfn.XLOOKUP(B270,'2627PR_Loading'!$K$3:$K$501,'2627PR_Loading'!$C$3:$C$501,"",0)&amp;_xlfn.XLOOKUP(B270,'2627PR_Loading'!$Q$3:$Q$501,'2627PR_Loading'!$C$3:$C$501,"",0),"")</f>
        <v/>
      </c>
      <c r="P270" s="248" t="str">
        <f>IF(B270&lt;&gt;"",_xlfn.XLOOKUP(B270,'2627PR_Loading'!$E$3:$E$501,'2627PR_Loading'!$J$3:$J$501,"",0)&amp;_xlfn.XLOOKUP(B270,'2627PR_Loading'!$K$3:$K$501,'2627PR_Loading'!$P$3:$P$501,"",0)&amp;_xlfn.XLOOKUP(B270,'2627PR_Loading'!$Q$3:$Q$501,'2627PR_Loading'!$V$3:$V$501,"",0),"")</f>
        <v/>
      </c>
      <c r="Q270" s="98" t="str">
        <f>IF(B270&lt;&gt;"",_xlfn.XLOOKUP(B270,TableDispatch[Uniq Id],TableDispatch[Delivery Date],"",0),"")</f>
        <v/>
      </c>
      <c r="R270" s="98" t="str">
        <f>IF(B270&lt;&gt;"",_xlfn.XLOOKUP(B270,TableDispatch[Uniq Id],TableDispatch[Our Ch No.],"",0),"")</f>
        <v/>
      </c>
      <c r="T270" s="26" t="str">
        <f>IF(B270&lt;&gt;"",_xlfn.XLOOKUP(B270,TableDispatch[Uniq Id],TableDispatch[Eway Bill Out],"",0),"")</f>
        <v/>
      </c>
    </row>
    <row r="271" spans="5:20" x14ac:dyDescent="0.25">
      <c r="E271" s="99"/>
      <c r="J271" s="211" t="str">
        <f>IF(B271&lt;&gt;"",_xlfn.XLOOKUP(B271,'2627PR_Loading'!$E$3:$E$501,'2627PR_Loading'!$B$3:$B$501,"",0)&amp;_xlfn.XLOOKUP(B271,'2627PR_Loading'!$K$3:$K$501,'2627PR_Loading'!$B$3:$B$501,"",0)&amp;_xlfn.XLOOKUP(B271,'2627PR_Loading'!$Q$3:$Q$501,'2627PR_Loading'!$B$3:$B$501,"",0),"")</f>
        <v/>
      </c>
      <c r="K271" s="211" t="str">
        <f>IF(B271&lt;&gt;"",_xlfn.XLOOKUP(B271,'2627PR_Loading'!$E$3:$E$501,'2627PR_Loading'!$C$3:$C$501,"",0)&amp;_xlfn.XLOOKUP(B271,'2627PR_Loading'!$K$3:$K$501,'2627PR_Loading'!$C$3:$C$501,"",0)&amp;_xlfn.XLOOKUP(B271,'2627PR_Loading'!$Q$3:$Q$501,'2627PR_Loading'!$C$3:$C$501,"",0),"")</f>
        <v/>
      </c>
      <c r="P271" s="248" t="str">
        <f>IF(B271&lt;&gt;"",_xlfn.XLOOKUP(B271,'2627PR_Loading'!$E$3:$E$501,'2627PR_Loading'!$J$3:$J$501,"",0)&amp;_xlfn.XLOOKUP(B271,'2627PR_Loading'!$K$3:$K$501,'2627PR_Loading'!$P$3:$P$501,"",0)&amp;_xlfn.XLOOKUP(B271,'2627PR_Loading'!$Q$3:$Q$501,'2627PR_Loading'!$V$3:$V$501,"",0),"")</f>
        <v/>
      </c>
      <c r="Q271" s="98" t="str">
        <f>IF(B271&lt;&gt;"",_xlfn.XLOOKUP(B271,TableDispatch[Uniq Id],TableDispatch[Delivery Date],"",0),"")</f>
        <v/>
      </c>
      <c r="R271" s="98" t="str">
        <f>IF(B271&lt;&gt;"",_xlfn.XLOOKUP(B271,TableDispatch[Uniq Id],TableDispatch[Our Ch No.],"",0),"")</f>
        <v/>
      </c>
      <c r="T271" s="26" t="str">
        <f>IF(B271&lt;&gt;"",_xlfn.XLOOKUP(B271,TableDispatch[Uniq Id],TableDispatch[Eway Bill Out],"",0),"")</f>
        <v/>
      </c>
    </row>
    <row r="272" spans="5:20" x14ac:dyDescent="0.25">
      <c r="E272" s="99"/>
      <c r="J272" s="211" t="str">
        <f>IF(B272&lt;&gt;"",_xlfn.XLOOKUP(B272,'2627PR_Loading'!$E$3:$E$501,'2627PR_Loading'!$B$3:$B$501,"",0)&amp;_xlfn.XLOOKUP(B272,'2627PR_Loading'!$K$3:$K$501,'2627PR_Loading'!$B$3:$B$501,"",0)&amp;_xlfn.XLOOKUP(B272,'2627PR_Loading'!$Q$3:$Q$501,'2627PR_Loading'!$B$3:$B$501,"",0),"")</f>
        <v/>
      </c>
      <c r="K272" s="211" t="str">
        <f>IF(B272&lt;&gt;"",_xlfn.XLOOKUP(B272,'2627PR_Loading'!$E$3:$E$501,'2627PR_Loading'!$C$3:$C$501,"",0)&amp;_xlfn.XLOOKUP(B272,'2627PR_Loading'!$K$3:$K$501,'2627PR_Loading'!$C$3:$C$501,"",0)&amp;_xlfn.XLOOKUP(B272,'2627PR_Loading'!$Q$3:$Q$501,'2627PR_Loading'!$C$3:$C$501,"",0),"")</f>
        <v/>
      </c>
      <c r="P272" s="248" t="str">
        <f>IF(B272&lt;&gt;"",_xlfn.XLOOKUP(B272,'2627PR_Loading'!$E$3:$E$501,'2627PR_Loading'!$J$3:$J$501,"",0)&amp;_xlfn.XLOOKUP(B272,'2627PR_Loading'!$K$3:$K$501,'2627PR_Loading'!$P$3:$P$501,"",0)&amp;_xlfn.XLOOKUP(B272,'2627PR_Loading'!$Q$3:$Q$501,'2627PR_Loading'!$V$3:$V$501,"",0),"")</f>
        <v/>
      </c>
      <c r="Q272" s="98" t="str">
        <f>IF(B272&lt;&gt;"",_xlfn.XLOOKUP(B272,TableDispatch[Uniq Id],TableDispatch[Delivery Date],"",0),"")</f>
        <v/>
      </c>
      <c r="R272" s="98" t="str">
        <f>IF(B272&lt;&gt;"",_xlfn.XLOOKUP(B272,TableDispatch[Uniq Id],TableDispatch[Our Ch No.],"",0),"")</f>
        <v/>
      </c>
      <c r="T272" s="26" t="str">
        <f>IF(B272&lt;&gt;"",_xlfn.XLOOKUP(B272,TableDispatch[Uniq Id],TableDispatch[Eway Bill Out],"",0),"")</f>
        <v/>
      </c>
    </row>
    <row r="273" spans="5:20" x14ac:dyDescent="0.25">
      <c r="E273" s="99"/>
      <c r="J273" s="211" t="str">
        <f>IF(B273&lt;&gt;"",_xlfn.XLOOKUP(B273,'2627PR_Loading'!$E$3:$E$501,'2627PR_Loading'!$B$3:$B$501,"",0)&amp;_xlfn.XLOOKUP(B273,'2627PR_Loading'!$K$3:$K$501,'2627PR_Loading'!$B$3:$B$501,"",0)&amp;_xlfn.XLOOKUP(B273,'2627PR_Loading'!$Q$3:$Q$501,'2627PR_Loading'!$B$3:$B$501,"",0),"")</f>
        <v/>
      </c>
      <c r="K273" s="211" t="str">
        <f>IF(B273&lt;&gt;"",_xlfn.XLOOKUP(B273,'2627PR_Loading'!$E$3:$E$501,'2627PR_Loading'!$C$3:$C$501,"",0)&amp;_xlfn.XLOOKUP(B273,'2627PR_Loading'!$K$3:$K$501,'2627PR_Loading'!$C$3:$C$501,"",0)&amp;_xlfn.XLOOKUP(B273,'2627PR_Loading'!$Q$3:$Q$501,'2627PR_Loading'!$C$3:$C$501,"",0),"")</f>
        <v/>
      </c>
      <c r="P273" s="248" t="str">
        <f>IF(B273&lt;&gt;"",_xlfn.XLOOKUP(B273,'2627PR_Loading'!$E$3:$E$501,'2627PR_Loading'!$J$3:$J$501,"",0)&amp;_xlfn.XLOOKUP(B273,'2627PR_Loading'!$K$3:$K$501,'2627PR_Loading'!$P$3:$P$501,"",0)&amp;_xlfn.XLOOKUP(B273,'2627PR_Loading'!$Q$3:$Q$501,'2627PR_Loading'!$V$3:$V$501,"",0),"")</f>
        <v/>
      </c>
      <c r="Q273" s="98" t="str">
        <f>IF(B273&lt;&gt;"",_xlfn.XLOOKUP(B273,TableDispatch[Uniq Id],TableDispatch[Delivery Date],"",0),"")</f>
        <v/>
      </c>
      <c r="R273" s="98" t="str">
        <f>IF(B273&lt;&gt;"",_xlfn.XLOOKUP(B273,TableDispatch[Uniq Id],TableDispatch[Our Ch No.],"",0),"")</f>
        <v/>
      </c>
      <c r="T273" s="26" t="str">
        <f>IF(B273&lt;&gt;"",_xlfn.XLOOKUP(B273,TableDispatch[Uniq Id],TableDispatch[Eway Bill Out],"",0),"")</f>
        <v/>
      </c>
    </row>
    <row r="274" spans="5:20" x14ac:dyDescent="0.25">
      <c r="E274" s="99"/>
      <c r="J274" s="211" t="str">
        <f>IF(B274&lt;&gt;"",_xlfn.XLOOKUP(B274,'2627PR_Loading'!$E$3:$E$501,'2627PR_Loading'!$B$3:$B$501,"",0)&amp;_xlfn.XLOOKUP(B274,'2627PR_Loading'!$K$3:$K$501,'2627PR_Loading'!$B$3:$B$501,"",0)&amp;_xlfn.XLOOKUP(B274,'2627PR_Loading'!$Q$3:$Q$501,'2627PR_Loading'!$B$3:$B$501,"",0),"")</f>
        <v/>
      </c>
      <c r="K274" s="211" t="str">
        <f>IF(B274&lt;&gt;"",_xlfn.XLOOKUP(B274,'2627PR_Loading'!$E$3:$E$501,'2627PR_Loading'!$C$3:$C$501,"",0)&amp;_xlfn.XLOOKUP(B274,'2627PR_Loading'!$K$3:$K$501,'2627PR_Loading'!$C$3:$C$501,"",0)&amp;_xlfn.XLOOKUP(B274,'2627PR_Loading'!$Q$3:$Q$501,'2627PR_Loading'!$C$3:$C$501,"",0),"")</f>
        <v/>
      </c>
      <c r="P274" s="248" t="str">
        <f>IF(B274&lt;&gt;"",_xlfn.XLOOKUP(B274,'2627PR_Loading'!$E$3:$E$501,'2627PR_Loading'!$J$3:$J$501,"",0)&amp;_xlfn.XLOOKUP(B274,'2627PR_Loading'!$K$3:$K$501,'2627PR_Loading'!$P$3:$P$501,"",0)&amp;_xlfn.XLOOKUP(B274,'2627PR_Loading'!$Q$3:$Q$501,'2627PR_Loading'!$V$3:$V$501,"",0),"")</f>
        <v/>
      </c>
      <c r="Q274" s="98" t="str">
        <f>IF(B274&lt;&gt;"",_xlfn.XLOOKUP(B274,TableDispatch[Uniq Id],TableDispatch[Delivery Date],"",0),"")</f>
        <v/>
      </c>
      <c r="R274" s="98" t="str">
        <f>IF(B274&lt;&gt;"",_xlfn.XLOOKUP(B274,TableDispatch[Uniq Id],TableDispatch[Our Ch No.],"",0),"")</f>
        <v/>
      </c>
      <c r="T274" s="26" t="str">
        <f>IF(B274&lt;&gt;"",_xlfn.XLOOKUP(B274,TableDispatch[Uniq Id],TableDispatch[Eway Bill Out],"",0),"")</f>
        <v/>
      </c>
    </row>
    <row r="275" spans="5:20" x14ac:dyDescent="0.25">
      <c r="E275" s="99"/>
      <c r="J275" s="211" t="str">
        <f>IF(B275&lt;&gt;"",_xlfn.XLOOKUP(B275,'2627PR_Loading'!$E$3:$E$501,'2627PR_Loading'!$B$3:$B$501,"",0)&amp;_xlfn.XLOOKUP(B275,'2627PR_Loading'!$K$3:$K$501,'2627PR_Loading'!$B$3:$B$501,"",0)&amp;_xlfn.XLOOKUP(B275,'2627PR_Loading'!$Q$3:$Q$501,'2627PR_Loading'!$B$3:$B$501,"",0),"")</f>
        <v/>
      </c>
      <c r="K275" s="211" t="str">
        <f>IF(B275&lt;&gt;"",_xlfn.XLOOKUP(B275,'2627PR_Loading'!$E$3:$E$501,'2627PR_Loading'!$C$3:$C$501,"",0)&amp;_xlfn.XLOOKUP(B275,'2627PR_Loading'!$K$3:$K$501,'2627PR_Loading'!$C$3:$C$501,"",0)&amp;_xlfn.XLOOKUP(B275,'2627PR_Loading'!$Q$3:$Q$501,'2627PR_Loading'!$C$3:$C$501,"",0),"")</f>
        <v/>
      </c>
      <c r="P275" s="248" t="str">
        <f>IF(B275&lt;&gt;"",_xlfn.XLOOKUP(B275,'2627PR_Loading'!$E$3:$E$501,'2627PR_Loading'!$J$3:$J$501,"",0)&amp;_xlfn.XLOOKUP(B275,'2627PR_Loading'!$K$3:$K$501,'2627PR_Loading'!$P$3:$P$501,"",0)&amp;_xlfn.XLOOKUP(B275,'2627PR_Loading'!$Q$3:$Q$501,'2627PR_Loading'!$V$3:$V$501,"",0),"")</f>
        <v/>
      </c>
      <c r="Q275" s="98" t="str">
        <f>IF(B275&lt;&gt;"",_xlfn.XLOOKUP(B275,TableDispatch[Uniq Id],TableDispatch[Delivery Date],"",0),"")</f>
        <v/>
      </c>
      <c r="R275" s="98" t="str">
        <f>IF(B275&lt;&gt;"",_xlfn.XLOOKUP(B275,TableDispatch[Uniq Id],TableDispatch[Our Ch No.],"",0),"")</f>
        <v/>
      </c>
      <c r="T275" s="26" t="str">
        <f>IF(B275&lt;&gt;"",_xlfn.XLOOKUP(B275,TableDispatch[Uniq Id],TableDispatch[Eway Bill Out],"",0),"")</f>
        <v/>
      </c>
    </row>
    <row r="276" spans="5:20" x14ac:dyDescent="0.25">
      <c r="E276" s="99"/>
      <c r="J276" s="211" t="str">
        <f>IF(B276&lt;&gt;"",_xlfn.XLOOKUP(B276,'2627PR_Loading'!$E$3:$E$501,'2627PR_Loading'!$B$3:$B$501,"",0)&amp;_xlfn.XLOOKUP(B276,'2627PR_Loading'!$K$3:$K$501,'2627PR_Loading'!$B$3:$B$501,"",0)&amp;_xlfn.XLOOKUP(B276,'2627PR_Loading'!$Q$3:$Q$501,'2627PR_Loading'!$B$3:$B$501,"",0),"")</f>
        <v/>
      </c>
      <c r="K276" s="211" t="str">
        <f>IF(B276&lt;&gt;"",_xlfn.XLOOKUP(B276,'2627PR_Loading'!$E$3:$E$501,'2627PR_Loading'!$C$3:$C$501,"",0)&amp;_xlfn.XLOOKUP(B276,'2627PR_Loading'!$K$3:$K$501,'2627PR_Loading'!$C$3:$C$501,"",0)&amp;_xlfn.XLOOKUP(B276,'2627PR_Loading'!$Q$3:$Q$501,'2627PR_Loading'!$C$3:$C$501,"",0),"")</f>
        <v/>
      </c>
      <c r="P276" s="248" t="str">
        <f>IF(B276&lt;&gt;"",_xlfn.XLOOKUP(B276,'2627PR_Loading'!$E$3:$E$501,'2627PR_Loading'!$J$3:$J$501,"",0)&amp;_xlfn.XLOOKUP(B276,'2627PR_Loading'!$K$3:$K$501,'2627PR_Loading'!$P$3:$P$501,"",0)&amp;_xlfn.XLOOKUP(B276,'2627PR_Loading'!$Q$3:$Q$501,'2627PR_Loading'!$V$3:$V$501,"",0),"")</f>
        <v/>
      </c>
      <c r="Q276" s="98" t="str">
        <f>IF(B276&lt;&gt;"",_xlfn.XLOOKUP(B276,TableDispatch[Uniq Id],TableDispatch[Delivery Date],"",0),"")</f>
        <v/>
      </c>
      <c r="R276" s="98" t="str">
        <f>IF(B276&lt;&gt;"",_xlfn.XLOOKUP(B276,TableDispatch[Uniq Id],TableDispatch[Our Ch No.],"",0),"")</f>
        <v/>
      </c>
      <c r="T276" s="26" t="str">
        <f>IF(B276&lt;&gt;"",_xlfn.XLOOKUP(B276,TableDispatch[Uniq Id],TableDispatch[Eway Bill Out],"",0),"")</f>
        <v/>
      </c>
    </row>
    <row r="277" spans="5:20" x14ac:dyDescent="0.25">
      <c r="E277" s="99"/>
      <c r="J277" s="211" t="str">
        <f>IF(B277&lt;&gt;"",_xlfn.XLOOKUP(B277,'2627PR_Loading'!$E$3:$E$501,'2627PR_Loading'!$B$3:$B$501,"",0)&amp;_xlfn.XLOOKUP(B277,'2627PR_Loading'!$K$3:$K$501,'2627PR_Loading'!$B$3:$B$501,"",0)&amp;_xlfn.XLOOKUP(B277,'2627PR_Loading'!$Q$3:$Q$501,'2627PR_Loading'!$B$3:$B$501,"",0),"")</f>
        <v/>
      </c>
      <c r="K277" s="211" t="str">
        <f>IF(B277&lt;&gt;"",_xlfn.XLOOKUP(B277,'2627PR_Loading'!$E$3:$E$501,'2627PR_Loading'!$C$3:$C$501,"",0)&amp;_xlfn.XLOOKUP(B277,'2627PR_Loading'!$K$3:$K$501,'2627PR_Loading'!$C$3:$C$501,"",0)&amp;_xlfn.XLOOKUP(B277,'2627PR_Loading'!$Q$3:$Q$501,'2627PR_Loading'!$C$3:$C$501,"",0),"")</f>
        <v/>
      </c>
      <c r="P277" s="248" t="str">
        <f>IF(B277&lt;&gt;"",_xlfn.XLOOKUP(B277,'2627PR_Loading'!$E$3:$E$501,'2627PR_Loading'!$J$3:$J$501,"",0)&amp;_xlfn.XLOOKUP(B277,'2627PR_Loading'!$K$3:$K$501,'2627PR_Loading'!$P$3:$P$501,"",0)&amp;_xlfn.XLOOKUP(B277,'2627PR_Loading'!$Q$3:$Q$501,'2627PR_Loading'!$V$3:$V$501,"",0),"")</f>
        <v/>
      </c>
      <c r="Q277" s="98" t="str">
        <f>IF(B277&lt;&gt;"",_xlfn.XLOOKUP(B277,TableDispatch[Uniq Id],TableDispatch[Delivery Date],"",0),"")</f>
        <v/>
      </c>
      <c r="R277" s="98" t="str">
        <f>IF(B277&lt;&gt;"",_xlfn.XLOOKUP(B277,TableDispatch[Uniq Id],TableDispatch[Our Ch No.],"",0),"")</f>
        <v/>
      </c>
      <c r="T277" s="26" t="str">
        <f>IF(B277&lt;&gt;"",_xlfn.XLOOKUP(B277,TableDispatch[Uniq Id],TableDispatch[Eway Bill Out],"",0),"")</f>
        <v/>
      </c>
    </row>
    <row r="278" spans="5:20" x14ac:dyDescent="0.25">
      <c r="E278" s="99"/>
      <c r="J278" s="211" t="str">
        <f>IF(B278&lt;&gt;"",_xlfn.XLOOKUP(B278,'2627PR_Loading'!$E$3:$E$501,'2627PR_Loading'!$B$3:$B$501,"",0)&amp;_xlfn.XLOOKUP(B278,'2627PR_Loading'!$K$3:$K$501,'2627PR_Loading'!$B$3:$B$501,"",0)&amp;_xlfn.XLOOKUP(B278,'2627PR_Loading'!$Q$3:$Q$501,'2627PR_Loading'!$B$3:$B$501,"",0),"")</f>
        <v/>
      </c>
      <c r="K278" s="211" t="str">
        <f>IF(B278&lt;&gt;"",_xlfn.XLOOKUP(B278,'2627PR_Loading'!$E$3:$E$501,'2627PR_Loading'!$C$3:$C$501,"",0)&amp;_xlfn.XLOOKUP(B278,'2627PR_Loading'!$K$3:$K$501,'2627PR_Loading'!$C$3:$C$501,"",0)&amp;_xlfn.XLOOKUP(B278,'2627PR_Loading'!$Q$3:$Q$501,'2627PR_Loading'!$C$3:$C$501,"",0),"")</f>
        <v/>
      </c>
      <c r="P278" s="248" t="str">
        <f>IF(B278&lt;&gt;"",_xlfn.XLOOKUP(B278,'2627PR_Loading'!$E$3:$E$501,'2627PR_Loading'!$J$3:$J$501,"",0)&amp;_xlfn.XLOOKUP(B278,'2627PR_Loading'!$K$3:$K$501,'2627PR_Loading'!$P$3:$P$501,"",0)&amp;_xlfn.XLOOKUP(B278,'2627PR_Loading'!$Q$3:$Q$501,'2627PR_Loading'!$V$3:$V$501,"",0),"")</f>
        <v/>
      </c>
      <c r="Q278" s="98" t="str">
        <f>IF(B278&lt;&gt;"",_xlfn.XLOOKUP(B278,TableDispatch[Uniq Id],TableDispatch[Delivery Date],"",0),"")</f>
        <v/>
      </c>
      <c r="R278" s="98" t="str">
        <f>IF(B278&lt;&gt;"",_xlfn.XLOOKUP(B278,TableDispatch[Uniq Id],TableDispatch[Our Ch No.],"",0),"")</f>
        <v/>
      </c>
      <c r="T278" s="26" t="str">
        <f>IF(B278&lt;&gt;"",_xlfn.XLOOKUP(B278,TableDispatch[Uniq Id],TableDispatch[Eway Bill Out],"",0),"")</f>
        <v/>
      </c>
    </row>
    <row r="279" spans="5:20" x14ac:dyDescent="0.25">
      <c r="E279" s="99"/>
      <c r="J279" s="211" t="str">
        <f>IF(B279&lt;&gt;"",_xlfn.XLOOKUP(B279,'2627PR_Loading'!$E$3:$E$501,'2627PR_Loading'!$B$3:$B$501,"",0)&amp;_xlfn.XLOOKUP(B279,'2627PR_Loading'!$K$3:$K$501,'2627PR_Loading'!$B$3:$B$501,"",0)&amp;_xlfn.XLOOKUP(B279,'2627PR_Loading'!$Q$3:$Q$501,'2627PR_Loading'!$B$3:$B$501,"",0),"")</f>
        <v/>
      </c>
      <c r="K279" s="211" t="str">
        <f>IF(B279&lt;&gt;"",_xlfn.XLOOKUP(B279,'2627PR_Loading'!$E$3:$E$501,'2627PR_Loading'!$C$3:$C$501,"",0)&amp;_xlfn.XLOOKUP(B279,'2627PR_Loading'!$K$3:$K$501,'2627PR_Loading'!$C$3:$C$501,"",0)&amp;_xlfn.XLOOKUP(B279,'2627PR_Loading'!$Q$3:$Q$501,'2627PR_Loading'!$C$3:$C$501,"",0),"")</f>
        <v/>
      </c>
      <c r="P279" s="248" t="str">
        <f>IF(B279&lt;&gt;"",_xlfn.XLOOKUP(B279,'2627PR_Loading'!$E$3:$E$501,'2627PR_Loading'!$J$3:$J$501,"",0)&amp;_xlfn.XLOOKUP(B279,'2627PR_Loading'!$K$3:$K$501,'2627PR_Loading'!$P$3:$P$501,"",0)&amp;_xlfn.XLOOKUP(B279,'2627PR_Loading'!$Q$3:$Q$501,'2627PR_Loading'!$V$3:$V$501,"",0),"")</f>
        <v/>
      </c>
      <c r="Q279" s="98" t="str">
        <f>IF(B279&lt;&gt;"",_xlfn.XLOOKUP(B279,TableDispatch[Uniq Id],TableDispatch[Delivery Date],"",0),"")</f>
        <v/>
      </c>
      <c r="R279" s="98" t="str">
        <f>IF(B279&lt;&gt;"",_xlfn.XLOOKUP(B279,TableDispatch[Uniq Id],TableDispatch[Our Ch No.],"",0),"")</f>
        <v/>
      </c>
      <c r="T279" s="26" t="str">
        <f>IF(B279&lt;&gt;"",_xlfn.XLOOKUP(B279,TableDispatch[Uniq Id],TableDispatch[Eway Bill Out],"",0),"")</f>
        <v/>
      </c>
    </row>
    <row r="280" spans="5:20" x14ac:dyDescent="0.25">
      <c r="E280" s="99"/>
      <c r="J280" s="211" t="str">
        <f>IF(B280&lt;&gt;"",_xlfn.XLOOKUP(B280,'2627PR_Loading'!$E$3:$E$501,'2627PR_Loading'!$B$3:$B$501,"",0)&amp;_xlfn.XLOOKUP(B280,'2627PR_Loading'!$K$3:$K$501,'2627PR_Loading'!$B$3:$B$501,"",0)&amp;_xlfn.XLOOKUP(B280,'2627PR_Loading'!$Q$3:$Q$501,'2627PR_Loading'!$B$3:$B$501,"",0),"")</f>
        <v/>
      </c>
      <c r="K280" s="211" t="str">
        <f>IF(B280&lt;&gt;"",_xlfn.XLOOKUP(B280,'2627PR_Loading'!$E$3:$E$501,'2627PR_Loading'!$C$3:$C$501,"",0)&amp;_xlfn.XLOOKUP(B280,'2627PR_Loading'!$K$3:$K$501,'2627PR_Loading'!$C$3:$C$501,"",0)&amp;_xlfn.XLOOKUP(B280,'2627PR_Loading'!$Q$3:$Q$501,'2627PR_Loading'!$C$3:$C$501,"",0),"")</f>
        <v/>
      </c>
      <c r="P280" s="248" t="str">
        <f>IF(B280&lt;&gt;"",_xlfn.XLOOKUP(B280,'2627PR_Loading'!$E$3:$E$501,'2627PR_Loading'!$J$3:$J$501,"",0)&amp;_xlfn.XLOOKUP(B280,'2627PR_Loading'!$K$3:$K$501,'2627PR_Loading'!$P$3:$P$501,"",0)&amp;_xlfn.XLOOKUP(B280,'2627PR_Loading'!$Q$3:$Q$501,'2627PR_Loading'!$V$3:$V$501,"",0),"")</f>
        <v/>
      </c>
      <c r="Q280" s="98" t="str">
        <f>IF(B280&lt;&gt;"",_xlfn.XLOOKUP(B280,TableDispatch[Uniq Id],TableDispatch[Delivery Date],"",0),"")</f>
        <v/>
      </c>
      <c r="R280" s="98" t="str">
        <f>IF(B280&lt;&gt;"",_xlfn.XLOOKUP(B280,TableDispatch[Uniq Id],TableDispatch[Our Ch No.],"",0),"")</f>
        <v/>
      </c>
      <c r="T280" s="26" t="str">
        <f>IF(B280&lt;&gt;"",_xlfn.XLOOKUP(B280,TableDispatch[Uniq Id],TableDispatch[Eway Bill Out],"",0),"")</f>
        <v/>
      </c>
    </row>
    <row r="281" spans="5:20" x14ac:dyDescent="0.25">
      <c r="E281" s="99"/>
      <c r="J281" s="211" t="str">
        <f>IF(B281&lt;&gt;"",_xlfn.XLOOKUP(B281,'2627PR_Loading'!$E$3:$E$501,'2627PR_Loading'!$B$3:$B$501,"",0)&amp;_xlfn.XLOOKUP(B281,'2627PR_Loading'!$K$3:$K$501,'2627PR_Loading'!$B$3:$B$501,"",0)&amp;_xlfn.XLOOKUP(B281,'2627PR_Loading'!$Q$3:$Q$501,'2627PR_Loading'!$B$3:$B$501,"",0),"")</f>
        <v/>
      </c>
      <c r="K281" s="211" t="str">
        <f>IF(B281&lt;&gt;"",_xlfn.XLOOKUP(B281,'2627PR_Loading'!$E$3:$E$501,'2627PR_Loading'!$C$3:$C$501,"",0)&amp;_xlfn.XLOOKUP(B281,'2627PR_Loading'!$K$3:$K$501,'2627PR_Loading'!$C$3:$C$501,"",0)&amp;_xlfn.XLOOKUP(B281,'2627PR_Loading'!$Q$3:$Q$501,'2627PR_Loading'!$C$3:$C$501,"",0),"")</f>
        <v/>
      </c>
      <c r="P281" s="248" t="str">
        <f>IF(B281&lt;&gt;"",_xlfn.XLOOKUP(B281,'2627PR_Loading'!$E$3:$E$501,'2627PR_Loading'!$J$3:$J$501,"",0)&amp;_xlfn.XLOOKUP(B281,'2627PR_Loading'!$K$3:$K$501,'2627PR_Loading'!$P$3:$P$501,"",0)&amp;_xlfn.XLOOKUP(B281,'2627PR_Loading'!$Q$3:$Q$501,'2627PR_Loading'!$V$3:$V$501,"",0),"")</f>
        <v/>
      </c>
      <c r="Q281" s="98" t="str">
        <f>IF(B281&lt;&gt;"",_xlfn.XLOOKUP(B281,TableDispatch[Uniq Id],TableDispatch[Delivery Date],"",0),"")</f>
        <v/>
      </c>
      <c r="R281" s="98" t="str">
        <f>IF(B281&lt;&gt;"",_xlfn.XLOOKUP(B281,TableDispatch[Uniq Id],TableDispatch[Our Ch No.],"",0),"")</f>
        <v/>
      </c>
      <c r="T281" s="26" t="str">
        <f>IF(B281&lt;&gt;"",_xlfn.XLOOKUP(B281,TableDispatch[Uniq Id],TableDispatch[Eway Bill Out],"",0),"")</f>
        <v/>
      </c>
    </row>
    <row r="282" spans="5:20" x14ac:dyDescent="0.25">
      <c r="E282" s="99"/>
      <c r="J282" s="211" t="str">
        <f>IF(B282&lt;&gt;"",_xlfn.XLOOKUP(B282,'2627PR_Loading'!$E$3:$E$501,'2627PR_Loading'!$B$3:$B$501,"",0)&amp;_xlfn.XLOOKUP(B282,'2627PR_Loading'!$K$3:$K$501,'2627PR_Loading'!$B$3:$B$501,"",0)&amp;_xlfn.XLOOKUP(B282,'2627PR_Loading'!$Q$3:$Q$501,'2627PR_Loading'!$B$3:$B$501,"",0),"")</f>
        <v/>
      </c>
      <c r="K282" s="211" t="str">
        <f>IF(B282&lt;&gt;"",_xlfn.XLOOKUP(B282,'2627PR_Loading'!$E$3:$E$501,'2627PR_Loading'!$C$3:$C$501,"",0)&amp;_xlfn.XLOOKUP(B282,'2627PR_Loading'!$K$3:$K$501,'2627PR_Loading'!$C$3:$C$501,"",0)&amp;_xlfn.XLOOKUP(B282,'2627PR_Loading'!$Q$3:$Q$501,'2627PR_Loading'!$C$3:$C$501,"",0),"")</f>
        <v/>
      </c>
      <c r="P282" s="248" t="str">
        <f>IF(B282&lt;&gt;"",_xlfn.XLOOKUP(B282,'2627PR_Loading'!$E$3:$E$501,'2627PR_Loading'!$J$3:$J$501,"",0)&amp;_xlfn.XLOOKUP(B282,'2627PR_Loading'!$K$3:$K$501,'2627PR_Loading'!$P$3:$P$501,"",0)&amp;_xlfn.XLOOKUP(B282,'2627PR_Loading'!$Q$3:$Q$501,'2627PR_Loading'!$V$3:$V$501,"",0),"")</f>
        <v/>
      </c>
      <c r="Q282" s="98" t="str">
        <f>IF(B282&lt;&gt;"",_xlfn.XLOOKUP(B282,TableDispatch[Uniq Id],TableDispatch[Delivery Date],"",0),"")</f>
        <v/>
      </c>
      <c r="R282" s="98" t="str">
        <f>IF(B282&lt;&gt;"",_xlfn.XLOOKUP(B282,TableDispatch[Uniq Id],TableDispatch[Our Ch No.],"",0),"")</f>
        <v/>
      </c>
      <c r="T282" s="26" t="str">
        <f>IF(B282&lt;&gt;"",_xlfn.XLOOKUP(B282,TableDispatch[Uniq Id],TableDispatch[Eway Bill Out],"",0),"")</f>
        <v/>
      </c>
    </row>
    <row r="283" spans="5:20" x14ac:dyDescent="0.25">
      <c r="E283" s="99"/>
      <c r="J283" s="211" t="str">
        <f>IF(B283&lt;&gt;"",_xlfn.XLOOKUP(B283,'2627PR_Loading'!$E$3:$E$501,'2627PR_Loading'!$B$3:$B$501,"",0)&amp;_xlfn.XLOOKUP(B283,'2627PR_Loading'!$K$3:$K$501,'2627PR_Loading'!$B$3:$B$501,"",0)&amp;_xlfn.XLOOKUP(B283,'2627PR_Loading'!$Q$3:$Q$501,'2627PR_Loading'!$B$3:$B$501,"",0),"")</f>
        <v/>
      </c>
      <c r="K283" s="211" t="str">
        <f>IF(B283&lt;&gt;"",_xlfn.XLOOKUP(B283,'2627PR_Loading'!$E$3:$E$501,'2627PR_Loading'!$C$3:$C$501,"",0)&amp;_xlfn.XLOOKUP(B283,'2627PR_Loading'!$K$3:$K$501,'2627PR_Loading'!$C$3:$C$501,"",0)&amp;_xlfn.XLOOKUP(B283,'2627PR_Loading'!$Q$3:$Q$501,'2627PR_Loading'!$C$3:$C$501,"",0),"")</f>
        <v/>
      </c>
      <c r="P283" s="248" t="str">
        <f>IF(B283&lt;&gt;"",_xlfn.XLOOKUP(B283,'2627PR_Loading'!$E$3:$E$501,'2627PR_Loading'!$J$3:$J$501,"",0)&amp;_xlfn.XLOOKUP(B283,'2627PR_Loading'!$K$3:$K$501,'2627PR_Loading'!$P$3:$P$501,"",0)&amp;_xlfn.XLOOKUP(B283,'2627PR_Loading'!$Q$3:$Q$501,'2627PR_Loading'!$V$3:$V$501,"",0),"")</f>
        <v/>
      </c>
      <c r="Q283" s="98" t="str">
        <f>IF(B283&lt;&gt;"",_xlfn.XLOOKUP(B283,TableDispatch[Uniq Id],TableDispatch[Delivery Date],"",0),"")</f>
        <v/>
      </c>
      <c r="R283" s="98" t="str">
        <f>IF(B283&lt;&gt;"",_xlfn.XLOOKUP(B283,TableDispatch[Uniq Id],TableDispatch[Our Ch No.],"",0),"")</f>
        <v/>
      </c>
      <c r="T283" s="26" t="str">
        <f>IF(B283&lt;&gt;"",_xlfn.XLOOKUP(B283,TableDispatch[Uniq Id],TableDispatch[Eway Bill Out],"",0),"")</f>
        <v/>
      </c>
    </row>
    <row r="284" spans="5:20" x14ac:dyDescent="0.25">
      <c r="E284" s="99"/>
      <c r="J284" s="211" t="str">
        <f>IF(B284&lt;&gt;"",_xlfn.XLOOKUP(B284,'2627PR_Loading'!$E$3:$E$501,'2627PR_Loading'!$B$3:$B$501,"",0)&amp;_xlfn.XLOOKUP(B284,'2627PR_Loading'!$K$3:$K$501,'2627PR_Loading'!$B$3:$B$501,"",0)&amp;_xlfn.XLOOKUP(B284,'2627PR_Loading'!$Q$3:$Q$501,'2627PR_Loading'!$B$3:$B$501,"",0),"")</f>
        <v/>
      </c>
      <c r="K284" s="211" t="str">
        <f>IF(B284&lt;&gt;"",_xlfn.XLOOKUP(B284,'2627PR_Loading'!$E$3:$E$501,'2627PR_Loading'!$C$3:$C$501,"",0)&amp;_xlfn.XLOOKUP(B284,'2627PR_Loading'!$K$3:$K$501,'2627PR_Loading'!$C$3:$C$501,"",0)&amp;_xlfn.XLOOKUP(B284,'2627PR_Loading'!$Q$3:$Q$501,'2627PR_Loading'!$C$3:$C$501,"",0),"")</f>
        <v/>
      </c>
      <c r="P284" s="248" t="str">
        <f>IF(B284&lt;&gt;"",_xlfn.XLOOKUP(B284,'2627PR_Loading'!$E$3:$E$501,'2627PR_Loading'!$J$3:$J$501,"",0)&amp;_xlfn.XLOOKUP(B284,'2627PR_Loading'!$K$3:$K$501,'2627PR_Loading'!$P$3:$P$501,"",0)&amp;_xlfn.XLOOKUP(B284,'2627PR_Loading'!$Q$3:$Q$501,'2627PR_Loading'!$V$3:$V$501,"",0),"")</f>
        <v/>
      </c>
      <c r="Q284" s="98" t="str">
        <f>IF(B284&lt;&gt;"",_xlfn.XLOOKUP(B284,TableDispatch[Uniq Id],TableDispatch[Delivery Date],"",0),"")</f>
        <v/>
      </c>
      <c r="R284" s="98" t="str">
        <f>IF(B284&lt;&gt;"",_xlfn.XLOOKUP(B284,TableDispatch[Uniq Id],TableDispatch[Our Ch No.],"",0),"")</f>
        <v/>
      </c>
      <c r="T284" s="26" t="str">
        <f>IF(B284&lt;&gt;"",_xlfn.XLOOKUP(B284,TableDispatch[Uniq Id],TableDispatch[Eway Bill Out],"",0),"")</f>
        <v/>
      </c>
    </row>
    <row r="285" spans="5:20" x14ac:dyDescent="0.25">
      <c r="E285" s="99"/>
      <c r="J285" s="211" t="str">
        <f>IF(B285&lt;&gt;"",_xlfn.XLOOKUP(B285,'2627PR_Loading'!$E$3:$E$501,'2627PR_Loading'!$B$3:$B$501,"",0)&amp;_xlfn.XLOOKUP(B285,'2627PR_Loading'!$K$3:$K$501,'2627PR_Loading'!$B$3:$B$501,"",0)&amp;_xlfn.XLOOKUP(B285,'2627PR_Loading'!$Q$3:$Q$501,'2627PR_Loading'!$B$3:$B$501,"",0),"")</f>
        <v/>
      </c>
      <c r="K285" s="211" t="str">
        <f>IF(B285&lt;&gt;"",_xlfn.XLOOKUP(B285,'2627PR_Loading'!$E$3:$E$501,'2627PR_Loading'!$C$3:$C$501,"",0)&amp;_xlfn.XLOOKUP(B285,'2627PR_Loading'!$K$3:$K$501,'2627PR_Loading'!$C$3:$C$501,"",0)&amp;_xlfn.XLOOKUP(B285,'2627PR_Loading'!$Q$3:$Q$501,'2627PR_Loading'!$C$3:$C$501,"",0),"")</f>
        <v/>
      </c>
      <c r="P285" s="248" t="str">
        <f>IF(B285&lt;&gt;"",_xlfn.XLOOKUP(B285,'2627PR_Loading'!$E$3:$E$501,'2627PR_Loading'!$J$3:$J$501,"",0)&amp;_xlfn.XLOOKUP(B285,'2627PR_Loading'!$K$3:$K$501,'2627PR_Loading'!$P$3:$P$501,"",0)&amp;_xlfn.XLOOKUP(B285,'2627PR_Loading'!$Q$3:$Q$501,'2627PR_Loading'!$V$3:$V$501,"",0),"")</f>
        <v/>
      </c>
      <c r="Q285" s="98" t="str">
        <f>IF(B285&lt;&gt;"",_xlfn.XLOOKUP(B285,TableDispatch[Uniq Id],TableDispatch[Delivery Date],"",0),"")</f>
        <v/>
      </c>
      <c r="R285" s="98" t="str">
        <f>IF(B285&lt;&gt;"",_xlfn.XLOOKUP(B285,TableDispatch[Uniq Id],TableDispatch[Our Ch No.],"",0),"")</f>
        <v/>
      </c>
      <c r="T285" s="26" t="str">
        <f>IF(B285&lt;&gt;"",_xlfn.XLOOKUP(B285,TableDispatch[Uniq Id],TableDispatch[Eway Bill Out],"",0),"")</f>
        <v/>
      </c>
    </row>
    <row r="286" spans="5:20" x14ac:dyDescent="0.25">
      <c r="E286" s="99"/>
      <c r="J286" s="211" t="str">
        <f>IF(B286&lt;&gt;"",_xlfn.XLOOKUP(B286,'2627PR_Loading'!$E$3:$E$501,'2627PR_Loading'!$B$3:$B$501,"",0)&amp;_xlfn.XLOOKUP(B286,'2627PR_Loading'!$K$3:$K$501,'2627PR_Loading'!$B$3:$B$501,"",0)&amp;_xlfn.XLOOKUP(B286,'2627PR_Loading'!$Q$3:$Q$501,'2627PR_Loading'!$B$3:$B$501,"",0),"")</f>
        <v/>
      </c>
      <c r="K286" s="211" t="str">
        <f>IF(B286&lt;&gt;"",_xlfn.XLOOKUP(B286,'2627PR_Loading'!$E$3:$E$501,'2627PR_Loading'!$C$3:$C$501,"",0)&amp;_xlfn.XLOOKUP(B286,'2627PR_Loading'!$K$3:$K$501,'2627PR_Loading'!$C$3:$C$501,"",0)&amp;_xlfn.XLOOKUP(B286,'2627PR_Loading'!$Q$3:$Q$501,'2627PR_Loading'!$C$3:$C$501,"",0),"")</f>
        <v/>
      </c>
      <c r="P286" s="248" t="str">
        <f>IF(B286&lt;&gt;"",_xlfn.XLOOKUP(B286,'2627PR_Loading'!$E$3:$E$501,'2627PR_Loading'!$J$3:$J$501,"",0)&amp;_xlfn.XLOOKUP(B286,'2627PR_Loading'!$K$3:$K$501,'2627PR_Loading'!$P$3:$P$501,"",0)&amp;_xlfn.XLOOKUP(B286,'2627PR_Loading'!$Q$3:$Q$501,'2627PR_Loading'!$V$3:$V$501,"",0),"")</f>
        <v/>
      </c>
      <c r="Q286" s="98" t="str">
        <f>IF(B286&lt;&gt;"",_xlfn.XLOOKUP(B286,TableDispatch[Uniq Id],TableDispatch[Delivery Date],"",0),"")</f>
        <v/>
      </c>
      <c r="R286" s="98" t="str">
        <f>IF(B286&lt;&gt;"",_xlfn.XLOOKUP(B286,TableDispatch[Uniq Id],TableDispatch[Our Ch No.],"",0),"")</f>
        <v/>
      </c>
      <c r="T286" s="26" t="str">
        <f>IF(B286&lt;&gt;"",_xlfn.XLOOKUP(B286,TableDispatch[Uniq Id],TableDispatch[Eway Bill Out],"",0),"")</f>
        <v/>
      </c>
    </row>
    <row r="287" spans="5:20" x14ac:dyDescent="0.25">
      <c r="E287" s="99"/>
      <c r="J287" s="211" t="str">
        <f>IF(B287&lt;&gt;"",_xlfn.XLOOKUP(B287,'2627PR_Loading'!$E$3:$E$501,'2627PR_Loading'!$B$3:$B$501,"",0)&amp;_xlfn.XLOOKUP(B287,'2627PR_Loading'!$K$3:$K$501,'2627PR_Loading'!$B$3:$B$501,"",0)&amp;_xlfn.XLOOKUP(B287,'2627PR_Loading'!$Q$3:$Q$501,'2627PR_Loading'!$B$3:$B$501,"",0),"")</f>
        <v/>
      </c>
      <c r="K287" s="211" t="str">
        <f>IF(B287&lt;&gt;"",_xlfn.XLOOKUP(B287,'2627PR_Loading'!$E$3:$E$501,'2627PR_Loading'!$C$3:$C$501,"",0)&amp;_xlfn.XLOOKUP(B287,'2627PR_Loading'!$K$3:$K$501,'2627PR_Loading'!$C$3:$C$501,"",0)&amp;_xlfn.XLOOKUP(B287,'2627PR_Loading'!$Q$3:$Q$501,'2627PR_Loading'!$C$3:$C$501,"",0),"")</f>
        <v/>
      </c>
      <c r="P287" s="248" t="str">
        <f>IF(B287&lt;&gt;"",_xlfn.XLOOKUP(B287,'2627PR_Loading'!$E$3:$E$501,'2627PR_Loading'!$J$3:$J$501,"",0)&amp;_xlfn.XLOOKUP(B287,'2627PR_Loading'!$K$3:$K$501,'2627PR_Loading'!$P$3:$P$501,"",0)&amp;_xlfn.XLOOKUP(B287,'2627PR_Loading'!$Q$3:$Q$501,'2627PR_Loading'!$V$3:$V$501,"",0),"")</f>
        <v/>
      </c>
      <c r="Q287" s="98" t="str">
        <f>IF(B287&lt;&gt;"",_xlfn.XLOOKUP(B287,TableDispatch[Uniq Id],TableDispatch[Delivery Date],"",0),"")</f>
        <v/>
      </c>
      <c r="R287" s="98" t="str">
        <f>IF(B287&lt;&gt;"",_xlfn.XLOOKUP(B287,TableDispatch[Uniq Id],TableDispatch[Our Ch No.],"",0),"")</f>
        <v/>
      </c>
      <c r="T287" s="26" t="str">
        <f>IF(B287&lt;&gt;"",_xlfn.XLOOKUP(B287,TableDispatch[Uniq Id],TableDispatch[Eway Bill Out],"",0),"")</f>
        <v/>
      </c>
    </row>
    <row r="288" spans="5:20" x14ac:dyDescent="0.25">
      <c r="E288" s="99"/>
      <c r="J288" s="211" t="str">
        <f>IF(B288&lt;&gt;"",_xlfn.XLOOKUP(B288,'2627PR_Loading'!$E$3:$E$501,'2627PR_Loading'!$B$3:$B$501,"",0)&amp;_xlfn.XLOOKUP(B288,'2627PR_Loading'!$K$3:$K$501,'2627PR_Loading'!$B$3:$B$501,"",0)&amp;_xlfn.XLOOKUP(B288,'2627PR_Loading'!$Q$3:$Q$501,'2627PR_Loading'!$B$3:$B$501,"",0),"")</f>
        <v/>
      </c>
      <c r="K288" s="211" t="str">
        <f>IF(B288&lt;&gt;"",_xlfn.XLOOKUP(B288,'2627PR_Loading'!$E$3:$E$501,'2627PR_Loading'!$C$3:$C$501,"",0)&amp;_xlfn.XLOOKUP(B288,'2627PR_Loading'!$K$3:$K$501,'2627PR_Loading'!$C$3:$C$501,"",0)&amp;_xlfn.XLOOKUP(B288,'2627PR_Loading'!$Q$3:$Q$501,'2627PR_Loading'!$C$3:$C$501,"",0),"")</f>
        <v/>
      </c>
      <c r="P288" s="248" t="str">
        <f>IF(B288&lt;&gt;"",_xlfn.XLOOKUP(B288,'2627PR_Loading'!$E$3:$E$501,'2627PR_Loading'!$J$3:$J$501,"",0)&amp;_xlfn.XLOOKUP(B288,'2627PR_Loading'!$K$3:$K$501,'2627PR_Loading'!$P$3:$P$501,"",0)&amp;_xlfn.XLOOKUP(B288,'2627PR_Loading'!$Q$3:$Q$501,'2627PR_Loading'!$V$3:$V$501,"",0),"")</f>
        <v/>
      </c>
      <c r="Q288" s="98" t="str">
        <f>IF(B288&lt;&gt;"",_xlfn.XLOOKUP(B288,TableDispatch[Uniq Id],TableDispatch[Delivery Date],"",0),"")</f>
        <v/>
      </c>
      <c r="R288" s="98" t="str">
        <f>IF(B288&lt;&gt;"",_xlfn.XLOOKUP(B288,TableDispatch[Uniq Id],TableDispatch[Our Ch No.],"",0),"")</f>
        <v/>
      </c>
      <c r="T288" s="26" t="str">
        <f>IF(B288&lt;&gt;"",_xlfn.XLOOKUP(B288,TableDispatch[Uniq Id],TableDispatch[Eway Bill Out],"",0),"")</f>
        <v/>
      </c>
    </row>
    <row r="289" spans="5:20" x14ac:dyDescent="0.25">
      <c r="E289" s="99"/>
      <c r="J289" s="211" t="str">
        <f>IF(B289&lt;&gt;"",_xlfn.XLOOKUP(B289,'2627PR_Loading'!$E$3:$E$501,'2627PR_Loading'!$B$3:$B$501,"",0)&amp;_xlfn.XLOOKUP(B289,'2627PR_Loading'!$K$3:$K$501,'2627PR_Loading'!$B$3:$B$501,"",0)&amp;_xlfn.XLOOKUP(B289,'2627PR_Loading'!$Q$3:$Q$501,'2627PR_Loading'!$B$3:$B$501,"",0),"")</f>
        <v/>
      </c>
      <c r="K289" s="211" t="str">
        <f>IF(B289&lt;&gt;"",_xlfn.XLOOKUP(B289,'2627PR_Loading'!$E$3:$E$501,'2627PR_Loading'!$C$3:$C$501,"",0)&amp;_xlfn.XLOOKUP(B289,'2627PR_Loading'!$K$3:$K$501,'2627PR_Loading'!$C$3:$C$501,"",0)&amp;_xlfn.XLOOKUP(B289,'2627PR_Loading'!$Q$3:$Q$501,'2627PR_Loading'!$C$3:$C$501,"",0),"")</f>
        <v/>
      </c>
      <c r="P289" s="248" t="str">
        <f>IF(B289&lt;&gt;"",_xlfn.XLOOKUP(B289,'2627PR_Loading'!$E$3:$E$501,'2627PR_Loading'!$J$3:$J$501,"",0)&amp;_xlfn.XLOOKUP(B289,'2627PR_Loading'!$K$3:$K$501,'2627PR_Loading'!$P$3:$P$501,"",0)&amp;_xlfn.XLOOKUP(B289,'2627PR_Loading'!$Q$3:$Q$501,'2627PR_Loading'!$V$3:$V$501,"",0),"")</f>
        <v/>
      </c>
      <c r="Q289" s="98" t="str">
        <f>IF(B289&lt;&gt;"",_xlfn.XLOOKUP(B289,TableDispatch[Uniq Id],TableDispatch[Delivery Date],"",0),"")</f>
        <v/>
      </c>
      <c r="R289" s="98" t="str">
        <f>IF(B289&lt;&gt;"",_xlfn.XLOOKUP(B289,TableDispatch[Uniq Id],TableDispatch[Our Ch No.],"",0),"")</f>
        <v/>
      </c>
      <c r="T289" s="26" t="str">
        <f>IF(B289&lt;&gt;"",_xlfn.XLOOKUP(B289,TableDispatch[Uniq Id],TableDispatch[Eway Bill Out],"",0),"")</f>
        <v/>
      </c>
    </row>
    <row r="290" spans="5:20" x14ac:dyDescent="0.25">
      <c r="E290" s="99"/>
      <c r="J290" s="211" t="str">
        <f>IF(B290&lt;&gt;"",_xlfn.XLOOKUP(B290,'2627PR_Loading'!$E$3:$E$501,'2627PR_Loading'!$B$3:$B$501,"",0)&amp;_xlfn.XLOOKUP(B290,'2627PR_Loading'!$K$3:$K$501,'2627PR_Loading'!$B$3:$B$501,"",0)&amp;_xlfn.XLOOKUP(B290,'2627PR_Loading'!$Q$3:$Q$501,'2627PR_Loading'!$B$3:$B$501,"",0),"")</f>
        <v/>
      </c>
      <c r="K290" s="211" t="str">
        <f>IF(B290&lt;&gt;"",_xlfn.XLOOKUP(B290,'2627PR_Loading'!$E$3:$E$501,'2627PR_Loading'!$C$3:$C$501,"",0)&amp;_xlfn.XLOOKUP(B290,'2627PR_Loading'!$K$3:$K$501,'2627PR_Loading'!$C$3:$C$501,"",0)&amp;_xlfn.XLOOKUP(B290,'2627PR_Loading'!$Q$3:$Q$501,'2627PR_Loading'!$C$3:$C$501,"",0),"")</f>
        <v/>
      </c>
      <c r="P290" s="248" t="str">
        <f>IF(B290&lt;&gt;"",_xlfn.XLOOKUP(B290,'2627PR_Loading'!$E$3:$E$501,'2627PR_Loading'!$J$3:$J$501,"",0)&amp;_xlfn.XLOOKUP(B290,'2627PR_Loading'!$K$3:$K$501,'2627PR_Loading'!$P$3:$P$501,"",0)&amp;_xlfn.XLOOKUP(B290,'2627PR_Loading'!$Q$3:$Q$501,'2627PR_Loading'!$V$3:$V$501,"",0),"")</f>
        <v/>
      </c>
      <c r="Q290" s="98" t="str">
        <f>IF(B290&lt;&gt;"",_xlfn.XLOOKUP(B290,TableDispatch[Uniq Id],TableDispatch[Delivery Date],"",0),"")</f>
        <v/>
      </c>
      <c r="R290" s="98" t="str">
        <f>IF(B290&lt;&gt;"",_xlfn.XLOOKUP(B290,TableDispatch[Uniq Id],TableDispatch[Our Ch No.],"",0),"")</f>
        <v/>
      </c>
      <c r="T290" s="26" t="str">
        <f>IF(B290&lt;&gt;"",_xlfn.XLOOKUP(B290,TableDispatch[Uniq Id],TableDispatch[Eway Bill Out],"",0),"")</f>
        <v/>
      </c>
    </row>
    <row r="291" spans="5:20" x14ac:dyDescent="0.25">
      <c r="E291" s="99"/>
      <c r="J291" s="211" t="str">
        <f>IF(B291&lt;&gt;"",_xlfn.XLOOKUP(B291,'2627PR_Loading'!$E$3:$E$501,'2627PR_Loading'!$B$3:$B$501,"",0)&amp;_xlfn.XLOOKUP(B291,'2627PR_Loading'!$K$3:$K$501,'2627PR_Loading'!$B$3:$B$501,"",0)&amp;_xlfn.XLOOKUP(B291,'2627PR_Loading'!$Q$3:$Q$501,'2627PR_Loading'!$B$3:$B$501,"",0),"")</f>
        <v/>
      </c>
      <c r="K291" s="211" t="str">
        <f>IF(B291&lt;&gt;"",_xlfn.XLOOKUP(B291,'2627PR_Loading'!$E$3:$E$501,'2627PR_Loading'!$C$3:$C$501,"",0)&amp;_xlfn.XLOOKUP(B291,'2627PR_Loading'!$K$3:$K$501,'2627PR_Loading'!$C$3:$C$501,"",0)&amp;_xlfn.XLOOKUP(B291,'2627PR_Loading'!$Q$3:$Q$501,'2627PR_Loading'!$C$3:$C$501,"",0),"")</f>
        <v/>
      </c>
      <c r="P291" s="248" t="str">
        <f>IF(B291&lt;&gt;"",_xlfn.XLOOKUP(B291,'2627PR_Loading'!$E$3:$E$501,'2627PR_Loading'!$J$3:$J$501,"",0)&amp;_xlfn.XLOOKUP(B291,'2627PR_Loading'!$K$3:$K$501,'2627PR_Loading'!$P$3:$P$501,"",0)&amp;_xlfn.XLOOKUP(B291,'2627PR_Loading'!$Q$3:$Q$501,'2627PR_Loading'!$V$3:$V$501,"",0),"")</f>
        <v/>
      </c>
      <c r="Q291" s="98" t="str">
        <f>IF(B291&lt;&gt;"",_xlfn.XLOOKUP(B291,TableDispatch[Uniq Id],TableDispatch[Delivery Date],"",0),"")</f>
        <v/>
      </c>
      <c r="R291" s="98" t="str">
        <f>IF(B291&lt;&gt;"",_xlfn.XLOOKUP(B291,TableDispatch[Uniq Id],TableDispatch[Our Ch No.],"",0),"")</f>
        <v/>
      </c>
      <c r="T291" s="26" t="str">
        <f>IF(B291&lt;&gt;"",_xlfn.XLOOKUP(B291,TableDispatch[Uniq Id],TableDispatch[Eway Bill Out],"",0),"")</f>
        <v/>
      </c>
    </row>
    <row r="292" spans="5:20" x14ac:dyDescent="0.25">
      <c r="E292" s="99"/>
      <c r="J292" s="211" t="str">
        <f>IF(B292&lt;&gt;"",_xlfn.XLOOKUP(B292,'2627PR_Loading'!$E$3:$E$501,'2627PR_Loading'!$B$3:$B$501,"",0)&amp;_xlfn.XLOOKUP(B292,'2627PR_Loading'!$K$3:$K$501,'2627PR_Loading'!$B$3:$B$501,"",0)&amp;_xlfn.XLOOKUP(B292,'2627PR_Loading'!$Q$3:$Q$501,'2627PR_Loading'!$B$3:$B$501,"",0),"")</f>
        <v/>
      </c>
      <c r="K292" s="211" t="str">
        <f>IF(B292&lt;&gt;"",_xlfn.XLOOKUP(B292,'2627PR_Loading'!$E$3:$E$501,'2627PR_Loading'!$C$3:$C$501,"",0)&amp;_xlfn.XLOOKUP(B292,'2627PR_Loading'!$K$3:$K$501,'2627PR_Loading'!$C$3:$C$501,"",0)&amp;_xlfn.XLOOKUP(B292,'2627PR_Loading'!$Q$3:$Q$501,'2627PR_Loading'!$C$3:$C$501,"",0),"")</f>
        <v/>
      </c>
      <c r="P292" s="248" t="str">
        <f>IF(B292&lt;&gt;"",_xlfn.XLOOKUP(B292,'2627PR_Loading'!$E$3:$E$501,'2627PR_Loading'!$J$3:$J$501,"",0)&amp;_xlfn.XLOOKUP(B292,'2627PR_Loading'!$K$3:$K$501,'2627PR_Loading'!$P$3:$P$501,"",0)&amp;_xlfn.XLOOKUP(B292,'2627PR_Loading'!$Q$3:$Q$501,'2627PR_Loading'!$V$3:$V$501,"",0),"")</f>
        <v/>
      </c>
      <c r="Q292" s="98" t="str">
        <f>IF(B292&lt;&gt;"",_xlfn.XLOOKUP(B292,TableDispatch[Uniq Id],TableDispatch[Delivery Date],"",0),"")</f>
        <v/>
      </c>
      <c r="R292" s="98" t="str">
        <f>IF(B292&lt;&gt;"",_xlfn.XLOOKUP(B292,TableDispatch[Uniq Id],TableDispatch[Our Ch No.],"",0),"")</f>
        <v/>
      </c>
      <c r="T292" s="26" t="str">
        <f>IF(B292&lt;&gt;"",_xlfn.XLOOKUP(B292,TableDispatch[Uniq Id],TableDispatch[Eway Bill Out],"",0),"")</f>
        <v/>
      </c>
    </row>
    <row r="293" spans="5:20" x14ac:dyDescent="0.25">
      <c r="E293" s="99"/>
      <c r="J293" s="211" t="str">
        <f>IF(B293&lt;&gt;"",_xlfn.XLOOKUP(B293,'2627PR_Loading'!$E$3:$E$501,'2627PR_Loading'!$B$3:$B$501,"",0)&amp;_xlfn.XLOOKUP(B293,'2627PR_Loading'!$K$3:$K$501,'2627PR_Loading'!$B$3:$B$501,"",0)&amp;_xlfn.XLOOKUP(B293,'2627PR_Loading'!$Q$3:$Q$501,'2627PR_Loading'!$B$3:$B$501,"",0),"")</f>
        <v/>
      </c>
      <c r="K293" s="211" t="str">
        <f>IF(B293&lt;&gt;"",_xlfn.XLOOKUP(B293,'2627PR_Loading'!$E$3:$E$501,'2627PR_Loading'!$C$3:$C$501,"",0)&amp;_xlfn.XLOOKUP(B293,'2627PR_Loading'!$K$3:$K$501,'2627PR_Loading'!$C$3:$C$501,"",0)&amp;_xlfn.XLOOKUP(B293,'2627PR_Loading'!$Q$3:$Q$501,'2627PR_Loading'!$C$3:$C$501,"",0),"")</f>
        <v/>
      </c>
      <c r="P293" s="248" t="str">
        <f>IF(B293&lt;&gt;"",_xlfn.XLOOKUP(B293,'2627PR_Loading'!$E$3:$E$501,'2627PR_Loading'!$J$3:$J$501,"",0)&amp;_xlfn.XLOOKUP(B293,'2627PR_Loading'!$K$3:$K$501,'2627PR_Loading'!$P$3:$P$501,"",0)&amp;_xlfn.XLOOKUP(B293,'2627PR_Loading'!$Q$3:$Q$501,'2627PR_Loading'!$V$3:$V$501,"",0),"")</f>
        <v/>
      </c>
      <c r="Q293" s="98" t="str">
        <f>IF(B293&lt;&gt;"",_xlfn.XLOOKUP(B293,TableDispatch[Uniq Id],TableDispatch[Delivery Date],"",0),"")</f>
        <v/>
      </c>
      <c r="R293" s="98" t="str">
        <f>IF(B293&lt;&gt;"",_xlfn.XLOOKUP(B293,TableDispatch[Uniq Id],TableDispatch[Our Ch No.],"",0),"")</f>
        <v/>
      </c>
      <c r="T293" s="26" t="str">
        <f>IF(B293&lt;&gt;"",_xlfn.XLOOKUP(B293,TableDispatch[Uniq Id],TableDispatch[Eway Bill Out],"",0),"")</f>
        <v/>
      </c>
    </row>
    <row r="294" spans="5:20" x14ac:dyDescent="0.25">
      <c r="E294" s="99"/>
      <c r="J294" s="211" t="str">
        <f>IF(B294&lt;&gt;"",_xlfn.XLOOKUP(B294,'2627PR_Loading'!$E$3:$E$501,'2627PR_Loading'!$B$3:$B$501,"",0)&amp;_xlfn.XLOOKUP(B294,'2627PR_Loading'!$K$3:$K$501,'2627PR_Loading'!$B$3:$B$501,"",0)&amp;_xlfn.XLOOKUP(B294,'2627PR_Loading'!$Q$3:$Q$501,'2627PR_Loading'!$B$3:$B$501,"",0),"")</f>
        <v/>
      </c>
      <c r="K294" s="211" t="str">
        <f>IF(B294&lt;&gt;"",_xlfn.XLOOKUP(B294,'2627PR_Loading'!$E$3:$E$501,'2627PR_Loading'!$C$3:$C$501,"",0)&amp;_xlfn.XLOOKUP(B294,'2627PR_Loading'!$K$3:$K$501,'2627PR_Loading'!$C$3:$C$501,"",0)&amp;_xlfn.XLOOKUP(B294,'2627PR_Loading'!$Q$3:$Q$501,'2627PR_Loading'!$C$3:$C$501,"",0),"")</f>
        <v/>
      </c>
      <c r="P294" s="248" t="str">
        <f>IF(B294&lt;&gt;"",_xlfn.XLOOKUP(B294,'2627PR_Loading'!$E$3:$E$501,'2627PR_Loading'!$J$3:$J$501,"",0)&amp;_xlfn.XLOOKUP(B294,'2627PR_Loading'!$K$3:$K$501,'2627PR_Loading'!$P$3:$P$501,"",0)&amp;_xlfn.XLOOKUP(B294,'2627PR_Loading'!$Q$3:$Q$501,'2627PR_Loading'!$V$3:$V$501,"",0),"")</f>
        <v/>
      </c>
      <c r="Q294" s="98" t="str">
        <f>IF(B294&lt;&gt;"",_xlfn.XLOOKUP(B294,TableDispatch[Uniq Id],TableDispatch[Delivery Date],"",0),"")</f>
        <v/>
      </c>
      <c r="R294" s="98" t="str">
        <f>IF(B294&lt;&gt;"",_xlfn.XLOOKUP(B294,TableDispatch[Uniq Id],TableDispatch[Our Ch No.],"",0),"")</f>
        <v/>
      </c>
      <c r="T294" s="26" t="str">
        <f>IF(B294&lt;&gt;"",_xlfn.XLOOKUP(B294,TableDispatch[Uniq Id],TableDispatch[Eway Bill Out],"",0),"")</f>
        <v/>
      </c>
    </row>
    <row r="295" spans="5:20" x14ac:dyDescent="0.25">
      <c r="E295" s="99"/>
      <c r="J295" s="211" t="str">
        <f>IF(B295&lt;&gt;"",_xlfn.XLOOKUP(B295,'2627PR_Loading'!$E$3:$E$501,'2627PR_Loading'!$B$3:$B$501,"",0)&amp;_xlfn.XLOOKUP(B295,'2627PR_Loading'!$K$3:$K$501,'2627PR_Loading'!$B$3:$B$501,"",0)&amp;_xlfn.XLOOKUP(B295,'2627PR_Loading'!$Q$3:$Q$501,'2627PR_Loading'!$B$3:$B$501,"",0),"")</f>
        <v/>
      </c>
      <c r="K295" s="211" t="str">
        <f>IF(B295&lt;&gt;"",_xlfn.XLOOKUP(B295,'2627PR_Loading'!$E$3:$E$501,'2627PR_Loading'!$C$3:$C$501,"",0)&amp;_xlfn.XLOOKUP(B295,'2627PR_Loading'!$K$3:$K$501,'2627PR_Loading'!$C$3:$C$501,"",0)&amp;_xlfn.XLOOKUP(B295,'2627PR_Loading'!$Q$3:$Q$501,'2627PR_Loading'!$C$3:$C$501,"",0),"")</f>
        <v/>
      </c>
      <c r="P295" s="248" t="str">
        <f>IF(B295&lt;&gt;"",_xlfn.XLOOKUP(B295,'2627PR_Loading'!$E$3:$E$501,'2627PR_Loading'!$J$3:$J$501,"",0)&amp;_xlfn.XLOOKUP(B295,'2627PR_Loading'!$K$3:$K$501,'2627PR_Loading'!$P$3:$P$501,"",0)&amp;_xlfn.XLOOKUP(B295,'2627PR_Loading'!$Q$3:$Q$501,'2627PR_Loading'!$V$3:$V$501,"",0),"")</f>
        <v/>
      </c>
      <c r="Q295" s="98" t="str">
        <f>IF(B295&lt;&gt;"",_xlfn.XLOOKUP(B295,TableDispatch[Uniq Id],TableDispatch[Delivery Date],"",0),"")</f>
        <v/>
      </c>
      <c r="R295" s="98" t="str">
        <f>IF(B295&lt;&gt;"",_xlfn.XLOOKUP(B295,TableDispatch[Uniq Id],TableDispatch[Our Ch No.],"",0),"")</f>
        <v/>
      </c>
      <c r="T295" s="26" t="str">
        <f>IF(B295&lt;&gt;"",_xlfn.XLOOKUP(B295,TableDispatch[Uniq Id],TableDispatch[Eway Bill Out],"",0),"")</f>
        <v/>
      </c>
    </row>
    <row r="296" spans="5:20" x14ac:dyDescent="0.25">
      <c r="E296" s="99"/>
      <c r="J296" s="211" t="str">
        <f>IF(B296&lt;&gt;"",_xlfn.XLOOKUP(B296,'2627PR_Loading'!$E$3:$E$501,'2627PR_Loading'!$B$3:$B$501,"",0)&amp;_xlfn.XLOOKUP(B296,'2627PR_Loading'!$K$3:$K$501,'2627PR_Loading'!$B$3:$B$501,"",0)&amp;_xlfn.XLOOKUP(B296,'2627PR_Loading'!$Q$3:$Q$501,'2627PR_Loading'!$B$3:$B$501,"",0),"")</f>
        <v/>
      </c>
      <c r="K296" s="211" t="str">
        <f>IF(B296&lt;&gt;"",_xlfn.XLOOKUP(B296,'2627PR_Loading'!$E$3:$E$501,'2627PR_Loading'!$C$3:$C$501,"",0)&amp;_xlfn.XLOOKUP(B296,'2627PR_Loading'!$K$3:$K$501,'2627PR_Loading'!$C$3:$C$501,"",0)&amp;_xlfn.XLOOKUP(B296,'2627PR_Loading'!$Q$3:$Q$501,'2627PR_Loading'!$C$3:$C$501,"",0),"")</f>
        <v/>
      </c>
      <c r="P296" s="248" t="str">
        <f>IF(B296&lt;&gt;"",_xlfn.XLOOKUP(B296,'2627PR_Loading'!$E$3:$E$501,'2627PR_Loading'!$J$3:$J$501,"",0)&amp;_xlfn.XLOOKUP(B296,'2627PR_Loading'!$K$3:$K$501,'2627PR_Loading'!$P$3:$P$501,"",0)&amp;_xlfn.XLOOKUP(B296,'2627PR_Loading'!$Q$3:$Q$501,'2627PR_Loading'!$V$3:$V$501,"",0),"")</f>
        <v/>
      </c>
      <c r="Q296" s="98" t="str">
        <f>IF(B296&lt;&gt;"",_xlfn.XLOOKUP(B296,TableDispatch[Uniq Id],TableDispatch[Delivery Date],"",0),"")</f>
        <v/>
      </c>
      <c r="R296" s="98" t="str">
        <f>IF(B296&lt;&gt;"",_xlfn.XLOOKUP(B296,TableDispatch[Uniq Id],TableDispatch[Our Ch No.],"",0),"")</f>
        <v/>
      </c>
      <c r="T296" s="26" t="str">
        <f>IF(B296&lt;&gt;"",_xlfn.XLOOKUP(B296,TableDispatch[Uniq Id],TableDispatch[Eway Bill Out],"",0),"")</f>
        <v/>
      </c>
    </row>
    <row r="297" spans="5:20" x14ac:dyDescent="0.25">
      <c r="E297" s="99"/>
      <c r="J297" s="211" t="str">
        <f>IF(B297&lt;&gt;"",_xlfn.XLOOKUP(B297,'2627PR_Loading'!$E$3:$E$501,'2627PR_Loading'!$B$3:$B$501,"",0)&amp;_xlfn.XLOOKUP(B297,'2627PR_Loading'!$K$3:$K$501,'2627PR_Loading'!$B$3:$B$501,"",0)&amp;_xlfn.XLOOKUP(B297,'2627PR_Loading'!$Q$3:$Q$501,'2627PR_Loading'!$B$3:$B$501,"",0),"")</f>
        <v/>
      </c>
      <c r="K297" s="211" t="str">
        <f>IF(B297&lt;&gt;"",_xlfn.XLOOKUP(B297,'2627PR_Loading'!$E$3:$E$501,'2627PR_Loading'!$C$3:$C$501,"",0)&amp;_xlfn.XLOOKUP(B297,'2627PR_Loading'!$K$3:$K$501,'2627PR_Loading'!$C$3:$C$501,"",0)&amp;_xlfn.XLOOKUP(B297,'2627PR_Loading'!$Q$3:$Q$501,'2627PR_Loading'!$C$3:$C$501,"",0),"")</f>
        <v/>
      </c>
      <c r="P297" s="248" t="str">
        <f>IF(B297&lt;&gt;"",_xlfn.XLOOKUP(B297,'2627PR_Loading'!$E$3:$E$501,'2627PR_Loading'!$J$3:$J$501,"",0)&amp;_xlfn.XLOOKUP(B297,'2627PR_Loading'!$K$3:$K$501,'2627PR_Loading'!$P$3:$P$501,"",0)&amp;_xlfn.XLOOKUP(B297,'2627PR_Loading'!$Q$3:$Q$501,'2627PR_Loading'!$V$3:$V$501,"",0),"")</f>
        <v/>
      </c>
      <c r="Q297" s="98" t="str">
        <f>IF(B297&lt;&gt;"",_xlfn.XLOOKUP(B297,TableDispatch[Uniq Id],TableDispatch[Delivery Date],"",0),"")</f>
        <v/>
      </c>
      <c r="R297" s="98" t="str">
        <f>IF(B297&lt;&gt;"",_xlfn.XLOOKUP(B297,TableDispatch[Uniq Id],TableDispatch[Our Ch No.],"",0),"")</f>
        <v/>
      </c>
      <c r="T297" s="26" t="str">
        <f>IF(B297&lt;&gt;"",_xlfn.XLOOKUP(B297,TableDispatch[Uniq Id],TableDispatch[Eway Bill Out],"",0),"")</f>
        <v/>
      </c>
    </row>
    <row r="298" spans="5:20" x14ac:dyDescent="0.25">
      <c r="E298" s="99"/>
      <c r="J298" s="211" t="str">
        <f>IF(B298&lt;&gt;"",_xlfn.XLOOKUP(B298,'2627PR_Loading'!$E$3:$E$501,'2627PR_Loading'!$B$3:$B$501,"",0)&amp;_xlfn.XLOOKUP(B298,'2627PR_Loading'!$K$3:$K$501,'2627PR_Loading'!$B$3:$B$501,"",0)&amp;_xlfn.XLOOKUP(B298,'2627PR_Loading'!$Q$3:$Q$501,'2627PR_Loading'!$B$3:$B$501,"",0),"")</f>
        <v/>
      </c>
      <c r="K298" s="211" t="str">
        <f>IF(B298&lt;&gt;"",_xlfn.XLOOKUP(B298,'2627PR_Loading'!$E$3:$E$501,'2627PR_Loading'!$C$3:$C$501,"",0)&amp;_xlfn.XLOOKUP(B298,'2627PR_Loading'!$K$3:$K$501,'2627PR_Loading'!$C$3:$C$501,"",0)&amp;_xlfn.XLOOKUP(B298,'2627PR_Loading'!$Q$3:$Q$501,'2627PR_Loading'!$C$3:$C$501,"",0),"")</f>
        <v/>
      </c>
      <c r="P298" s="248" t="str">
        <f>IF(B298&lt;&gt;"",_xlfn.XLOOKUP(B298,'2627PR_Loading'!$E$3:$E$501,'2627PR_Loading'!$J$3:$J$501,"",0)&amp;_xlfn.XLOOKUP(B298,'2627PR_Loading'!$K$3:$K$501,'2627PR_Loading'!$P$3:$P$501,"",0)&amp;_xlfn.XLOOKUP(B298,'2627PR_Loading'!$Q$3:$Q$501,'2627PR_Loading'!$V$3:$V$501,"",0),"")</f>
        <v/>
      </c>
      <c r="Q298" s="98" t="str">
        <f>IF(B298&lt;&gt;"",_xlfn.XLOOKUP(B298,TableDispatch[Uniq Id],TableDispatch[Delivery Date],"",0),"")</f>
        <v/>
      </c>
      <c r="R298" s="98" t="str">
        <f>IF(B298&lt;&gt;"",_xlfn.XLOOKUP(B298,TableDispatch[Uniq Id],TableDispatch[Our Ch No.],"",0),"")</f>
        <v/>
      </c>
      <c r="T298" s="26" t="str">
        <f>IF(B298&lt;&gt;"",_xlfn.XLOOKUP(B298,TableDispatch[Uniq Id],TableDispatch[Eway Bill Out],"",0),"")</f>
        <v/>
      </c>
    </row>
    <row r="299" spans="5:20" x14ac:dyDescent="0.25">
      <c r="E299" s="99"/>
      <c r="J299" s="211" t="str">
        <f>IF(B299&lt;&gt;"",_xlfn.XLOOKUP(B299,'2627PR_Loading'!$E$3:$E$501,'2627PR_Loading'!$B$3:$B$501,"",0)&amp;_xlfn.XLOOKUP(B299,'2627PR_Loading'!$K$3:$K$501,'2627PR_Loading'!$B$3:$B$501,"",0)&amp;_xlfn.XLOOKUP(B299,'2627PR_Loading'!$Q$3:$Q$501,'2627PR_Loading'!$B$3:$B$501,"",0),"")</f>
        <v/>
      </c>
      <c r="K299" s="211" t="str">
        <f>IF(B299&lt;&gt;"",_xlfn.XLOOKUP(B299,'2627PR_Loading'!$E$3:$E$501,'2627PR_Loading'!$C$3:$C$501,"",0)&amp;_xlfn.XLOOKUP(B299,'2627PR_Loading'!$K$3:$K$501,'2627PR_Loading'!$C$3:$C$501,"",0)&amp;_xlfn.XLOOKUP(B299,'2627PR_Loading'!$Q$3:$Q$501,'2627PR_Loading'!$C$3:$C$501,"",0),"")</f>
        <v/>
      </c>
      <c r="P299" s="248" t="str">
        <f>IF(B299&lt;&gt;"",_xlfn.XLOOKUP(B299,'2627PR_Loading'!$E$3:$E$501,'2627PR_Loading'!$J$3:$J$501,"",0)&amp;_xlfn.XLOOKUP(B299,'2627PR_Loading'!$K$3:$K$501,'2627PR_Loading'!$P$3:$P$501,"",0)&amp;_xlfn.XLOOKUP(B299,'2627PR_Loading'!$Q$3:$Q$501,'2627PR_Loading'!$V$3:$V$501,"",0),"")</f>
        <v/>
      </c>
      <c r="Q299" s="98" t="str">
        <f>IF(B299&lt;&gt;"",_xlfn.XLOOKUP(B299,TableDispatch[Uniq Id],TableDispatch[Delivery Date],"",0),"")</f>
        <v/>
      </c>
      <c r="R299" s="98" t="str">
        <f>IF(B299&lt;&gt;"",_xlfn.XLOOKUP(B299,TableDispatch[Uniq Id],TableDispatch[Our Ch No.],"",0),"")</f>
        <v/>
      </c>
      <c r="T299" s="26" t="str">
        <f>IF(B299&lt;&gt;"",_xlfn.XLOOKUP(B299,TableDispatch[Uniq Id],TableDispatch[Eway Bill Out],"",0),"")</f>
        <v/>
      </c>
    </row>
    <row r="300" spans="5:20" x14ac:dyDescent="0.25">
      <c r="E300" s="99"/>
      <c r="J300" s="211" t="str">
        <f>IF(B300&lt;&gt;"",_xlfn.XLOOKUP(B300,'2627PR_Loading'!$E$3:$E$501,'2627PR_Loading'!$B$3:$B$501,"",0)&amp;_xlfn.XLOOKUP(B300,'2627PR_Loading'!$K$3:$K$501,'2627PR_Loading'!$B$3:$B$501,"",0)&amp;_xlfn.XLOOKUP(B300,'2627PR_Loading'!$Q$3:$Q$501,'2627PR_Loading'!$B$3:$B$501,"",0),"")</f>
        <v/>
      </c>
      <c r="K300" s="211" t="str">
        <f>IF(B300&lt;&gt;"",_xlfn.XLOOKUP(B300,'2627PR_Loading'!$E$3:$E$501,'2627PR_Loading'!$C$3:$C$501,"",0)&amp;_xlfn.XLOOKUP(B300,'2627PR_Loading'!$K$3:$K$501,'2627PR_Loading'!$C$3:$C$501,"",0)&amp;_xlfn.XLOOKUP(B300,'2627PR_Loading'!$Q$3:$Q$501,'2627PR_Loading'!$C$3:$C$501,"",0),"")</f>
        <v/>
      </c>
      <c r="P300" s="248" t="str">
        <f>IF(B300&lt;&gt;"",_xlfn.XLOOKUP(B300,'2627PR_Loading'!$E$3:$E$501,'2627PR_Loading'!$J$3:$J$501,"",0)&amp;_xlfn.XLOOKUP(B300,'2627PR_Loading'!$K$3:$K$501,'2627PR_Loading'!$P$3:$P$501,"",0)&amp;_xlfn.XLOOKUP(B300,'2627PR_Loading'!$Q$3:$Q$501,'2627PR_Loading'!$V$3:$V$501,"",0),"")</f>
        <v/>
      </c>
      <c r="Q300" s="98" t="str">
        <f>IF(B300&lt;&gt;"",_xlfn.XLOOKUP(B300,TableDispatch[Uniq Id],TableDispatch[Delivery Date],"",0),"")</f>
        <v/>
      </c>
      <c r="R300" s="98" t="str">
        <f>IF(B300&lt;&gt;"",_xlfn.XLOOKUP(B300,TableDispatch[Uniq Id],TableDispatch[Our Ch No.],"",0),"")</f>
        <v/>
      </c>
      <c r="T300" s="26" t="str">
        <f>IF(B300&lt;&gt;"",_xlfn.XLOOKUP(B300,TableDispatch[Uniq Id],TableDispatch[Eway Bill Out],"",0),"")</f>
        <v/>
      </c>
    </row>
    <row r="301" spans="5:20" x14ac:dyDescent="0.25">
      <c r="E301" s="99"/>
      <c r="J301" s="211" t="str">
        <f>IF(B301&lt;&gt;"",_xlfn.XLOOKUP(B301,'2627PR_Loading'!$E$3:$E$501,'2627PR_Loading'!$B$3:$B$501,"",0)&amp;_xlfn.XLOOKUP(B301,'2627PR_Loading'!$K$3:$K$501,'2627PR_Loading'!$B$3:$B$501,"",0)&amp;_xlfn.XLOOKUP(B301,'2627PR_Loading'!$Q$3:$Q$501,'2627PR_Loading'!$B$3:$B$501,"",0),"")</f>
        <v/>
      </c>
      <c r="K301" s="211" t="str">
        <f>IF(B301&lt;&gt;"",_xlfn.XLOOKUP(B301,'2627PR_Loading'!$E$3:$E$501,'2627PR_Loading'!$C$3:$C$501,"",0)&amp;_xlfn.XLOOKUP(B301,'2627PR_Loading'!$K$3:$K$501,'2627PR_Loading'!$C$3:$C$501,"",0)&amp;_xlfn.XLOOKUP(B301,'2627PR_Loading'!$Q$3:$Q$501,'2627PR_Loading'!$C$3:$C$501,"",0),"")</f>
        <v/>
      </c>
      <c r="P301" s="248" t="str">
        <f>IF(B301&lt;&gt;"",_xlfn.XLOOKUP(B301,'2627PR_Loading'!$E$3:$E$501,'2627PR_Loading'!$J$3:$J$501,"",0)&amp;_xlfn.XLOOKUP(B301,'2627PR_Loading'!$K$3:$K$501,'2627PR_Loading'!$P$3:$P$501,"",0)&amp;_xlfn.XLOOKUP(B301,'2627PR_Loading'!$Q$3:$Q$501,'2627PR_Loading'!$V$3:$V$501,"",0),"")</f>
        <v/>
      </c>
      <c r="Q301" s="98" t="str">
        <f>IF(B301&lt;&gt;"",_xlfn.XLOOKUP(B301,TableDispatch[Uniq Id],TableDispatch[Delivery Date],"",0),"")</f>
        <v/>
      </c>
      <c r="R301" s="98" t="str">
        <f>IF(B301&lt;&gt;"",_xlfn.XLOOKUP(B301,TableDispatch[Uniq Id],TableDispatch[Our Ch No.],"",0),"")</f>
        <v/>
      </c>
      <c r="T301" s="26" t="str">
        <f>IF(B301&lt;&gt;"",_xlfn.XLOOKUP(B301,TableDispatch[Uniq Id],TableDispatch[Eway Bill Out],"",0),"")</f>
        <v/>
      </c>
    </row>
    <row r="302" spans="5:20" x14ac:dyDescent="0.25">
      <c r="E302" s="99"/>
      <c r="J302" s="211" t="str">
        <f>IF(B302&lt;&gt;"",_xlfn.XLOOKUP(B302,'2627PR_Loading'!$E$3:$E$501,'2627PR_Loading'!$B$3:$B$501,"",0)&amp;_xlfn.XLOOKUP(B302,'2627PR_Loading'!$K$3:$K$501,'2627PR_Loading'!$B$3:$B$501,"",0)&amp;_xlfn.XLOOKUP(B302,'2627PR_Loading'!$Q$3:$Q$501,'2627PR_Loading'!$B$3:$B$501,"",0),"")</f>
        <v/>
      </c>
      <c r="K302" s="211" t="str">
        <f>IF(B302&lt;&gt;"",_xlfn.XLOOKUP(B302,'2627PR_Loading'!$E$3:$E$501,'2627PR_Loading'!$C$3:$C$501,"",0)&amp;_xlfn.XLOOKUP(B302,'2627PR_Loading'!$K$3:$K$501,'2627PR_Loading'!$C$3:$C$501,"",0)&amp;_xlfn.XLOOKUP(B302,'2627PR_Loading'!$Q$3:$Q$501,'2627PR_Loading'!$C$3:$C$501,"",0),"")</f>
        <v/>
      </c>
      <c r="P302" s="248" t="str">
        <f>IF(B302&lt;&gt;"",_xlfn.XLOOKUP(B302,'2627PR_Loading'!$E$3:$E$501,'2627PR_Loading'!$J$3:$J$501,"",0)&amp;_xlfn.XLOOKUP(B302,'2627PR_Loading'!$K$3:$K$501,'2627PR_Loading'!$P$3:$P$501,"",0)&amp;_xlfn.XLOOKUP(B302,'2627PR_Loading'!$Q$3:$Q$501,'2627PR_Loading'!$V$3:$V$501,"",0),"")</f>
        <v/>
      </c>
      <c r="Q302" s="98" t="str">
        <f>IF(B302&lt;&gt;"",_xlfn.XLOOKUP(B302,TableDispatch[Uniq Id],TableDispatch[Delivery Date],"",0),"")</f>
        <v/>
      </c>
      <c r="R302" s="98" t="str">
        <f>IF(B302&lt;&gt;"",_xlfn.XLOOKUP(B302,TableDispatch[Uniq Id],TableDispatch[Our Ch No.],"",0),"")</f>
        <v/>
      </c>
      <c r="T302" s="26" t="str">
        <f>IF(B302&lt;&gt;"",_xlfn.XLOOKUP(B302,TableDispatch[Uniq Id],TableDispatch[Eway Bill Out],"",0),"")</f>
        <v/>
      </c>
    </row>
    <row r="303" spans="5:20" x14ac:dyDescent="0.25">
      <c r="E303" s="99"/>
      <c r="J303" s="211" t="str">
        <f>IF(B303&lt;&gt;"",_xlfn.XLOOKUP(B303,'2627PR_Loading'!$E$3:$E$501,'2627PR_Loading'!$B$3:$B$501,"",0)&amp;_xlfn.XLOOKUP(B303,'2627PR_Loading'!$K$3:$K$501,'2627PR_Loading'!$B$3:$B$501,"",0)&amp;_xlfn.XLOOKUP(B303,'2627PR_Loading'!$Q$3:$Q$501,'2627PR_Loading'!$B$3:$B$501,"",0),"")</f>
        <v/>
      </c>
      <c r="K303" s="211" t="str">
        <f>IF(B303&lt;&gt;"",_xlfn.XLOOKUP(B303,'2627PR_Loading'!$E$3:$E$501,'2627PR_Loading'!$C$3:$C$501,"",0)&amp;_xlfn.XLOOKUP(B303,'2627PR_Loading'!$K$3:$K$501,'2627PR_Loading'!$C$3:$C$501,"",0)&amp;_xlfn.XLOOKUP(B303,'2627PR_Loading'!$Q$3:$Q$501,'2627PR_Loading'!$C$3:$C$501,"",0),"")</f>
        <v/>
      </c>
      <c r="P303" s="248" t="str">
        <f>IF(B303&lt;&gt;"",_xlfn.XLOOKUP(B303,'2627PR_Loading'!$E$3:$E$501,'2627PR_Loading'!$J$3:$J$501,"",0)&amp;_xlfn.XLOOKUP(B303,'2627PR_Loading'!$K$3:$K$501,'2627PR_Loading'!$P$3:$P$501,"",0)&amp;_xlfn.XLOOKUP(B303,'2627PR_Loading'!$Q$3:$Q$501,'2627PR_Loading'!$V$3:$V$501,"",0),"")</f>
        <v/>
      </c>
      <c r="Q303" s="98" t="str">
        <f>IF(B303&lt;&gt;"",_xlfn.XLOOKUP(B303,TableDispatch[Uniq Id],TableDispatch[Delivery Date],"",0),"")</f>
        <v/>
      </c>
      <c r="R303" s="98" t="str">
        <f>IF(B303&lt;&gt;"",_xlfn.XLOOKUP(B303,TableDispatch[Uniq Id],TableDispatch[Our Ch No.],"",0),"")</f>
        <v/>
      </c>
      <c r="T303" s="26" t="str">
        <f>IF(B303&lt;&gt;"",_xlfn.XLOOKUP(B303,TableDispatch[Uniq Id],TableDispatch[Eway Bill Out],"",0),"")</f>
        <v/>
      </c>
    </row>
    <row r="304" spans="5:20" x14ac:dyDescent="0.25">
      <c r="E304" s="99"/>
      <c r="J304" s="211" t="str">
        <f>IF(B304&lt;&gt;"",_xlfn.XLOOKUP(B304,'2627PR_Loading'!$E$3:$E$501,'2627PR_Loading'!$B$3:$B$501,"",0)&amp;_xlfn.XLOOKUP(B304,'2627PR_Loading'!$K$3:$K$501,'2627PR_Loading'!$B$3:$B$501,"",0)&amp;_xlfn.XLOOKUP(B304,'2627PR_Loading'!$Q$3:$Q$501,'2627PR_Loading'!$B$3:$B$501,"",0),"")</f>
        <v/>
      </c>
      <c r="K304" s="211" t="str">
        <f>IF(B304&lt;&gt;"",_xlfn.XLOOKUP(B304,'2627PR_Loading'!$E$3:$E$501,'2627PR_Loading'!$C$3:$C$501,"",0)&amp;_xlfn.XLOOKUP(B304,'2627PR_Loading'!$K$3:$K$501,'2627PR_Loading'!$C$3:$C$501,"",0)&amp;_xlfn.XLOOKUP(B304,'2627PR_Loading'!$Q$3:$Q$501,'2627PR_Loading'!$C$3:$C$501,"",0),"")</f>
        <v/>
      </c>
      <c r="P304" s="248" t="str">
        <f>IF(B304&lt;&gt;"",_xlfn.XLOOKUP(B304,'2627PR_Loading'!$E$3:$E$501,'2627PR_Loading'!$J$3:$J$501,"",0)&amp;_xlfn.XLOOKUP(B304,'2627PR_Loading'!$K$3:$K$501,'2627PR_Loading'!$P$3:$P$501,"",0)&amp;_xlfn.XLOOKUP(B304,'2627PR_Loading'!$Q$3:$Q$501,'2627PR_Loading'!$V$3:$V$501,"",0),"")</f>
        <v/>
      </c>
      <c r="Q304" s="98" t="str">
        <f>IF(B304&lt;&gt;"",_xlfn.XLOOKUP(B304,TableDispatch[Uniq Id],TableDispatch[Delivery Date],"",0),"")</f>
        <v/>
      </c>
      <c r="R304" s="98" t="str">
        <f>IF(B304&lt;&gt;"",_xlfn.XLOOKUP(B304,TableDispatch[Uniq Id],TableDispatch[Our Ch No.],"",0),"")</f>
        <v/>
      </c>
      <c r="T304" s="26" t="str">
        <f>IF(B304&lt;&gt;"",_xlfn.XLOOKUP(B304,TableDispatch[Uniq Id],TableDispatch[Eway Bill Out],"",0),"")</f>
        <v/>
      </c>
    </row>
    <row r="305" spans="5:20" x14ac:dyDescent="0.25">
      <c r="E305" s="99"/>
      <c r="J305" s="211" t="str">
        <f>IF(B305&lt;&gt;"",_xlfn.XLOOKUP(B305,'2627PR_Loading'!$E$3:$E$501,'2627PR_Loading'!$B$3:$B$501,"",0)&amp;_xlfn.XLOOKUP(B305,'2627PR_Loading'!$K$3:$K$501,'2627PR_Loading'!$B$3:$B$501,"",0)&amp;_xlfn.XLOOKUP(B305,'2627PR_Loading'!$Q$3:$Q$501,'2627PR_Loading'!$B$3:$B$501,"",0),"")</f>
        <v/>
      </c>
      <c r="K305" s="211" t="str">
        <f>IF(B305&lt;&gt;"",_xlfn.XLOOKUP(B305,'2627PR_Loading'!$E$3:$E$501,'2627PR_Loading'!$C$3:$C$501,"",0)&amp;_xlfn.XLOOKUP(B305,'2627PR_Loading'!$K$3:$K$501,'2627PR_Loading'!$C$3:$C$501,"",0)&amp;_xlfn.XLOOKUP(B305,'2627PR_Loading'!$Q$3:$Q$501,'2627PR_Loading'!$C$3:$C$501,"",0),"")</f>
        <v/>
      </c>
      <c r="P305" s="248" t="str">
        <f>IF(B305&lt;&gt;"",_xlfn.XLOOKUP(B305,'2627PR_Loading'!$E$3:$E$501,'2627PR_Loading'!$J$3:$J$501,"",0)&amp;_xlfn.XLOOKUP(B305,'2627PR_Loading'!$K$3:$K$501,'2627PR_Loading'!$P$3:$P$501,"",0)&amp;_xlfn.XLOOKUP(B305,'2627PR_Loading'!$Q$3:$Q$501,'2627PR_Loading'!$V$3:$V$501,"",0),"")</f>
        <v/>
      </c>
      <c r="Q305" s="98" t="str">
        <f>IF(B305&lt;&gt;"",_xlfn.XLOOKUP(B305,TableDispatch[Uniq Id],TableDispatch[Delivery Date],"",0),"")</f>
        <v/>
      </c>
      <c r="R305" s="98" t="str">
        <f>IF(B305&lt;&gt;"",_xlfn.XLOOKUP(B305,TableDispatch[Uniq Id],TableDispatch[Our Ch No.],"",0),"")</f>
        <v/>
      </c>
      <c r="T305" s="26" t="str">
        <f>IF(B305&lt;&gt;"",_xlfn.XLOOKUP(B305,TableDispatch[Uniq Id],TableDispatch[Eway Bill Out],"",0),"")</f>
        <v/>
      </c>
    </row>
    <row r="306" spans="5:20" x14ac:dyDescent="0.25">
      <c r="E306" s="99"/>
      <c r="J306" s="211" t="str">
        <f>IF(B306&lt;&gt;"",_xlfn.XLOOKUP(B306,'2627PR_Loading'!$E$3:$E$501,'2627PR_Loading'!$B$3:$B$501,"",0)&amp;_xlfn.XLOOKUP(B306,'2627PR_Loading'!$K$3:$K$501,'2627PR_Loading'!$B$3:$B$501,"",0)&amp;_xlfn.XLOOKUP(B306,'2627PR_Loading'!$Q$3:$Q$501,'2627PR_Loading'!$B$3:$B$501,"",0),"")</f>
        <v/>
      </c>
      <c r="K306" s="211" t="str">
        <f>IF(B306&lt;&gt;"",_xlfn.XLOOKUP(B306,'2627PR_Loading'!$E$3:$E$501,'2627PR_Loading'!$C$3:$C$501,"",0)&amp;_xlfn.XLOOKUP(B306,'2627PR_Loading'!$K$3:$K$501,'2627PR_Loading'!$C$3:$C$501,"",0)&amp;_xlfn.XLOOKUP(B306,'2627PR_Loading'!$Q$3:$Q$501,'2627PR_Loading'!$C$3:$C$501,"",0),"")</f>
        <v/>
      </c>
      <c r="P306" s="248" t="str">
        <f>IF(B306&lt;&gt;"",_xlfn.XLOOKUP(B306,'2627PR_Loading'!$E$3:$E$501,'2627PR_Loading'!$J$3:$J$501,"",0)&amp;_xlfn.XLOOKUP(B306,'2627PR_Loading'!$K$3:$K$501,'2627PR_Loading'!$P$3:$P$501,"",0)&amp;_xlfn.XLOOKUP(B306,'2627PR_Loading'!$Q$3:$Q$501,'2627PR_Loading'!$V$3:$V$501,"",0),"")</f>
        <v/>
      </c>
      <c r="Q306" s="98" t="str">
        <f>IF(B306&lt;&gt;"",_xlfn.XLOOKUP(B306,TableDispatch[Uniq Id],TableDispatch[Delivery Date],"",0),"")</f>
        <v/>
      </c>
      <c r="R306" s="98" t="str">
        <f>IF(B306&lt;&gt;"",_xlfn.XLOOKUP(B306,TableDispatch[Uniq Id],TableDispatch[Our Ch No.],"",0),"")</f>
        <v/>
      </c>
      <c r="T306" s="26" t="str">
        <f>IF(B306&lt;&gt;"",_xlfn.XLOOKUP(B306,TableDispatch[Uniq Id],TableDispatch[Eway Bill Out],"",0),"")</f>
        <v/>
      </c>
    </row>
    <row r="307" spans="5:20" x14ac:dyDescent="0.25">
      <c r="E307" s="99"/>
      <c r="J307" s="211" t="str">
        <f>IF(B307&lt;&gt;"",_xlfn.XLOOKUP(B307,'2627PR_Loading'!$E$3:$E$501,'2627PR_Loading'!$B$3:$B$501,"",0)&amp;_xlfn.XLOOKUP(B307,'2627PR_Loading'!$K$3:$K$501,'2627PR_Loading'!$B$3:$B$501,"",0)&amp;_xlfn.XLOOKUP(B307,'2627PR_Loading'!$Q$3:$Q$501,'2627PR_Loading'!$B$3:$B$501,"",0),"")</f>
        <v/>
      </c>
      <c r="K307" s="211" t="str">
        <f>IF(B307&lt;&gt;"",_xlfn.XLOOKUP(B307,'2627PR_Loading'!$E$3:$E$501,'2627PR_Loading'!$C$3:$C$501,"",0)&amp;_xlfn.XLOOKUP(B307,'2627PR_Loading'!$K$3:$K$501,'2627PR_Loading'!$C$3:$C$501,"",0)&amp;_xlfn.XLOOKUP(B307,'2627PR_Loading'!$Q$3:$Q$501,'2627PR_Loading'!$C$3:$C$501,"",0),"")</f>
        <v/>
      </c>
      <c r="P307" s="248" t="str">
        <f>IF(B307&lt;&gt;"",_xlfn.XLOOKUP(B307,'2627PR_Loading'!$E$3:$E$501,'2627PR_Loading'!$J$3:$J$501,"",0)&amp;_xlfn.XLOOKUP(B307,'2627PR_Loading'!$K$3:$K$501,'2627PR_Loading'!$P$3:$P$501,"",0)&amp;_xlfn.XLOOKUP(B307,'2627PR_Loading'!$Q$3:$Q$501,'2627PR_Loading'!$V$3:$V$501,"",0),"")</f>
        <v/>
      </c>
      <c r="Q307" s="98" t="str">
        <f>IF(B307&lt;&gt;"",_xlfn.XLOOKUP(B307,TableDispatch[Uniq Id],TableDispatch[Delivery Date],"",0),"")</f>
        <v/>
      </c>
      <c r="R307" s="98" t="str">
        <f>IF(B307&lt;&gt;"",_xlfn.XLOOKUP(B307,TableDispatch[Uniq Id],TableDispatch[Our Ch No.],"",0),"")</f>
        <v/>
      </c>
      <c r="T307" s="26" t="str">
        <f>IF(B307&lt;&gt;"",_xlfn.XLOOKUP(B307,TableDispatch[Uniq Id],TableDispatch[Eway Bill Out],"",0),"")</f>
        <v/>
      </c>
    </row>
    <row r="308" spans="5:20" x14ac:dyDescent="0.25">
      <c r="E308" s="99"/>
      <c r="J308" s="211" t="str">
        <f>IF(B308&lt;&gt;"",_xlfn.XLOOKUP(B308,'2627PR_Loading'!$E$3:$E$501,'2627PR_Loading'!$B$3:$B$501,"",0)&amp;_xlfn.XLOOKUP(B308,'2627PR_Loading'!$K$3:$K$501,'2627PR_Loading'!$B$3:$B$501,"",0)&amp;_xlfn.XLOOKUP(B308,'2627PR_Loading'!$Q$3:$Q$501,'2627PR_Loading'!$B$3:$B$501,"",0),"")</f>
        <v/>
      </c>
      <c r="K308" s="211" t="str">
        <f>IF(B308&lt;&gt;"",_xlfn.XLOOKUP(B308,'2627PR_Loading'!$E$3:$E$501,'2627PR_Loading'!$C$3:$C$501,"",0)&amp;_xlfn.XLOOKUP(B308,'2627PR_Loading'!$K$3:$K$501,'2627PR_Loading'!$C$3:$C$501,"",0)&amp;_xlfn.XLOOKUP(B308,'2627PR_Loading'!$Q$3:$Q$501,'2627PR_Loading'!$C$3:$C$501,"",0),"")</f>
        <v/>
      </c>
      <c r="P308" s="248" t="str">
        <f>IF(B308&lt;&gt;"",_xlfn.XLOOKUP(B308,'2627PR_Loading'!$E$3:$E$501,'2627PR_Loading'!$J$3:$J$501,"",0)&amp;_xlfn.XLOOKUP(B308,'2627PR_Loading'!$K$3:$K$501,'2627PR_Loading'!$P$3:$P$501,"",0)&amp;_xlfn.XLOOKUP(B308,'2627PR_Loading'!$Q$3:$Q$501,'2627PR_Loading'!$V$3:$V$501,"",0),"")</f>
        <v/>
      </c>
      <c r="Q308" s="98" t="str">
        <f>IF(B308&lt;&gt;"",_xlfn.XLOOKUP(B308,TableDispatch[Uniq Id],TableDispatch[Delivery Date],"",0),"")</f>
        <v/>
      </c>
      <c r="R308" s="98" t="str">
        <f>IF(B308&lt;&gt;"",_xlfn.XLOOKUP(B308,TableDispatch[Uniq Id],TableDispatch[Our Ch No.],"",0),"")</f>
        <v/>
      </c>
      <c r="T308" s="26" t="str">
        <f>IF(B308&lt;&gt;"",_xlfn.XLOOKUP(B308,TableDispatch[Uniq Id],TableDispatch[Eway Bill Out],"",0),"")</f>
        <v/>
      </c>
    </row>
    <row r="309" spans="5:20" x14ac:dyDescent="0.25">
      <c r="E309" s="99"/>
      <c r="J309" s="211" t="str">
        <f>IF(B309&lt;&gt;"",_xlfn.XLOOKUP(B309,'2627PR_Loading'!$E$3:$E$501,'2627PR_Loading'!$B$3:$B$501,"",0)&amp;_xlfn.XLOOKUP(B309,'2627PR_Loading'!$K$3:$K$501,'2627PR_Loading'!$B$3:$B$501,"",0)&amp;_xlfn.XLOOKUP(B309,'2627PR_Loading'!$Q$3:$Q$501,'2627PR_Loading'!$B$3:$B$501,"",0),"")</f>
        <v/>
      </c>
      <c r="K309" s="211" t="str">
        <f>IF(B309&lt;&gt;"",_xlfn.XLOOKUP(B309,'2627PR_Loading'!$E$3:$E$501,'2627PR_Loading'!$C$3:$C$501,"",0)&amp;_xlfn.XLOOKUP(B309,'2627PR_Loading'!$K$3:$K$501,'2627PR_Loading'!$C$3:$C$501,"",0)&amp;_xlfn.XLOOKUP(B309,'2627PR_Loading'!$Q$3:$Q$501,'2627PR_Loading'!$C$3:$C$501,"",0),"")</f>
        <v/>
      </c>
      <c r="P309" s="248" t="str">
        <f>IF(B309&lt;&gt;"",_xlfn.XLOOKUP(B309,'2627PR_Loading'!$E$3:$E$501,'2627PR_Loading'!$J$3:$J$501,"",0)&amp;_xlfn.XLOOKUP(B309,'2627PR_Loading'!$K$3:$K$501,'2627PR_Loading'!$P$3:$P$501,"",0)&amp;_xlfn.XLOOKUP(B309,'2627PR_Loading'!$Q$3:$Q$501,'2627PR_Loading'!$V$3:$V$501,"",0),"")</f>
        <v/>
      </c>
      <c r="Q309" s="98" t="str">
        <f>IF(B309&lt;&gt;"",_xlfn.XLOOKUP(B309,TableDispatch[Uniq Id],TableDispatch[Delivery Date],"",0),"")</f>
        <v/>
      </c>
      <c r="R309" s="98" t="str">
        <f>IF(B309&lt;&gt;"",_xlfn.XLOOKUP(B309,TableDispatch[Uniq Id],TableDispatch[Our Ch No.],"",0),"")</f>
        <v/>
      </c>
      <c r="T309" s="26" t="str">
        <f>IF(B309&lt;&gt;"",_xlfn.XLOOKUP(B309,TableDispatch[Uniq Id],TableDispatch[Eway Bill Out],"",0),"")</f>
        <v/>
      </c>
    </row>
    <row r="310" spans="5:20" x14ac:dyDescent="0.25">
      <c r="E310" s="99"/>
      <c r="J310" s="211" t="str">
        <f>IF(B310&lt;&gt;"",_xlfn.XLOOKUP(B310,'2627PR_Loading'!$E$3:$E$501,'2627PR_Loading'!$B$3:$B$501,"",0)&amp;_xlfn.XLOOKUP(B310,'2627PR_Loading'!$K$3:$K$501,'2627PR_Loading'!$B$3:$B$501,"",0)&amp;_xlfn.XLOOKUP(B310,'2627PR_Loading'!$Q$3:$Q$501,'2627PR_Loading'!$B$3:$B$501,"",0),"")</f>
        <v/>
      </c>
      <c r="K310" s="211" t="str">
        <f>IF(B310&lt;&gt;"",_xlfn.XLOOKUP(B310,'2627PR_Loading'!$E$3:$E$501,'2627PR_Loading'!$C$3:$C$501,"",0)&amp;_xlfn.XLOOKUP(B310,'2627PR_Loading'!$K$3:$K$501,'2627PR_Loading'!$C$3:$C$501,"",0)&amp;_xlfn.XLOOKUP(B310,'2627PR_Loading'!$Q$3:$Q$501,'2627PR_Loading'!$C$3:$C$501,"",0),"")</f>
        <v/>
      </c>
      <c r="P310" s="248" t="str">
        <f>IF(B310&lt;&gt;"",_xlfn.XLOOKUP(B310,'2627PR_Loading'!$E$3:$E$501,'2627PR_Loading'!$J$3:$J$501,"",0)&amp;_xlfn.XLOOKUP(B310,'2627PR_Loading'!$K$3:$K$501,'2627PR_Loading'!$P$3:$P$501,"",0)&amp;_xlfn.XLOOKUP(B310,'2627PR_Loading'!$Q$3:$Q$501,'2627PR_Loading'!$V$3:$V$501,"",0),"")</f>
        <v/>
      </c>
      <c r="Q310" s="98" t="str">
        <f>IF(B310&lt;&gt;"",_xlfn.XLOOKUP(B310,TableDispatch[Uniq Id],TableDispatch[Delivery Date],"",0),"")</f>
        <v/>
      </c>
      <c r="R310" s="98" t="str">
        <f>IF(B310&lt;&gt;"",_xlfn.XLOOKUP(B310,TableDispatch[Uniq Id],TableDispatch[Our Ch No.],"",0),"")</f>
        <v/>
      </c>
      <c r="T310" s="26" t="str">
        <f>IF(B310&lt;&gt;"",_xlfn.XLOOKUP(B310,TableDispatch[Uniq Id],TableDispatch[Eway Bill Out],"",0),"")</f>
        <v/>
      </c>
    </row>
    <row r="311" spans="5:20" x14ac:dyDescent="0.25">
      <c r="E311" s="99"/>
      <c r="J311" s="211" t="str">
        <f>IF(B311&lt;&gt;"",_xlfn.XLOOKUP(B311,'2627PR_Loading'!$E$3:$E$501,'2627PR_Loading'!$B$3:$B$501,"",0)&amp;_xlfn.XLOOKUP(B311,'2627PR_Loading'!$K$3:$K$501,'2627PR_Loading'!$B$3:$B$501,"",0)&amp;_xlfn.XLOOKUP(B311,'2627PR_Loading'!$Q$3:$Q$501,'2627PR_Loading'!$B$3:$B$501,"",0),"")</f>
        <v/>
      </c>
      <c r="K311" s="211" t="str">
        <f>IF(B311&lt;&gt;"",_xlfn.XLOOKUP(B311,'2627PR_Loading'!$E$3:$E$501,'2627PR_Loading'!$C$3:$C$501,"",0)&amp;_xlfn.XLOOKUP(B311,'2627PR_Loading'!$K$3:$K$501,'2627PR_Loading'!$C$3:$C$501,"",0)&amp;_xlfn.XLOOKUP(B311,'2627PR_Loading'!$Q$3:$Q$501,'2627PR_Loading'!$C$3:$C$501,"",0),"")</f>
        <v/>
      </c>
      <c r="P311" s="248" t="str">
        <f>IF(B311&lt;&gt;"",_xlfn.XLOOKUP(B311,'2627PR_Loading'!$E$3:$E$501,'2627PR_Loading'!$J$3:$J$501,"",0)&amp;_xlfn.XLOOKUP(B311,'2627PR_Loading'!$K$3:$K$501,'2627PR_Loading'!$P$3:$P$501,"",0)&amp;_xlfn.XLOOKUP(B311,'2627PR_Loading'!$Q$3:$Q$501,'2627PR_Loading'!$V$3:$V$501,"",0),"")</f>
        <v/>
      </c>
      <c r="Q311" s="98" t="str">
        <f>IF(B311&lt;&gt;"",_xlfn.XLOOKUP(B311,TableDispatch[Uniq Id],TableDispatch[Delivery Date],"",0),"")</f>
        <v/>
      </c>
      <c r="R311" s="98" t="str">
        <f>IF(B311&lt;&gt;"",_xlfn.XLOOKUP(B311,TableDispatch[Uniq Id],TableDispatch[Our Ch No.],"",0),"")</f>
        <v/>
      </c>
      <c r="T311" s="26" t="str">
        <f>IF(B311&lt;&gt;"",_xlfn.XLOOKUP(B311,TableDispatch[Uniq Id],TableDispatch[Eway Bill Out],"",0),"")</f>
        <v/>
      </c>
    </row>
    <row r="312" spans="5:20" x14ac:dyDescent="0.25">
      <c r="E312" s="99"/>
      <c r="J312" s="211" t="str">
        <f>IF(B312&lt;&gt;"",_xlfn.XLOOKUP(B312,'2627PR_Loading'!$E$3:$E$501,'2627PR_Loading'!$B$3:$B$501,"",0)&amp;_xlfn.XLOOKUP(B312,'2627PR_Loading'!$K$3:$K$501,'2627PR_Loading'!$B$3:$B$501,"",0)&amp;_xlfn.XLOOKUP(B312,'2627PR_Loading'!$Q$3:$Q$501,'2627PR_Loading'!$B$3:$B$501,"",0),"")</f>
        <v/>
      </c>
      <c r="K312" s="211" t="str">
        <f>IF(B312&lt;&gt;"",_xlfn.XLOOKUP(B312,'2627PR_Loading'!$E$3:$E$501,'2627PR_Loading'!$C$3:$C$501,"",0)&amp;_xlfn.XLOOKUP(B312,'2627PR_Loading'!$K$3:$K$501,'2627PR_Loading'!$C$3:$C$501,"",0)&amp;_xlfn.XLOOKUP(B312,'2627PR_Loading'!$Q$3:$Q$501,'2627PR_Loading'!$C$3:$C$501,"",0),"")</f>
        <v/>
      </c>
      <c r="P312" s="248" t="str">
        <f>IF(B312&lt;&gt;"",_xlfn.XLOOKUP(B312,'2627PR_Loading'!$E$3:$E$501,'2627PR_Loading'!$J$3:$J$501,"",0)&amp;_xlfn.XLOOKUP(B312,'2627PR_Loading'!$K$3:$K$501,'2627PR_Loading'!$P$3:$P$501,"",0)&amp;_xlfn.XLOOKUP(B312,'2627PR_Loading'!$Q$3:$Q$501,'2627PR_Loading'!$V$3:$V$501,"",0),"")</f>
        <v/>
      </c>
      <c r="Q312" s="98" t="str">
        <f>IF(B312&lt;&gt;"",_xlfn.XLOOKUP(B312,TableDispatch[Uniq Id],TableDispatch[Delivery Date],"",0),"")</f>
        <v/>
      </c>
      <c r="R312" s="98" t="str">
        <f>IF(B312&lt;&gt;"",_xlfn.XLOOKUP(B312,TableDispatch[Uniq Id],TableDispatch[Our Ch No.],"",0),"")</f>
        <v/>
      </c>
      <c r="T312" s="26" t="str">
        <f>IF(B312&lt;&gt;"",_xlfn.XLOOKUP(B312,TableDispatch[Uniq Id],TableDispatch[Eway Bill Out],"",0),"")</f>
        <v/>
      </c>
    </row>
    <row r="313" spans="5:20" x14ac:dyDescent="0.25">
      <c r="E313" s="99"/>
      <c r="J313" s="211" t="str">
        <f>IF(B313&lt;&gt;"",_xlfn.XLOOKUP(B313,'2627PR_Loading'!$E$3:$E$501,'2627PR_Loading'!$B$3:$B$501,"",0)&amp;_xlfn.XLOOKUP(B313,'2627PR_Loading'!$K$3:$K$501,'2627PR_Loading'!$B$3:$B$501,"",0)&amp;_xlfn.XLOOKUP(B313,'2627PR_Loading'!$Q$3:$Q$501,'2627PR_Loading'!$B$3:$B$501,"",0),"")</f>
        <v/>
      </c>
      <c r="K313" s="211" t="str">
        <f>IF(B313&lt;&gt;"",_xlfn.XLOOKUP(B313,'2627PR_Loading'!$E$3:$E$501,'2627PR_Loading'!$C$3:$C$501,"",0)&amp;_xlfn.XLOOKUP(B313,'2627PR_Loading'!$K$3:$K$501,'2627PR_Loading'!$C$3:$C$501,"",0)&amp;_xlfn.XLOOKUP(B313,'2627PR_Loading'!$Q$3:$Q$501,'2627PR_Loading'!$C$3:$C$501,"",0),"")</f>
        <v/>
      </c>
      <c r="P313" s="248" t="str">
        <f>IF(B313&lt;&gt;"",_xlfn.XLOOKUP(B313,'2627PR_Loading'!$E$3:$E$501,'2627PR_Loading'!$J$3:$J$501,"",0)&amp;_xlfn.XLOOKUP(B313,'2627PR_Loading'!$K$3:$K$501,'2627PR_Loading'!$P$3:$P$501,"",0)&amp;_xlfn.XLOOKUP(B313,'2627PR_Loading'!$Q$3:$Q$501,'2627PR_Loading'!$V$3:$V$501,"",0),"")</f>
        <v/>
      </c>
      <c r="Q313" s="98" t="str">
        <f>IF(B313&lt;&gt;"",_xlfn.XLOOKUP(B313,TableDispatch[Uniq Id],TableDispatch[Delivery Date],"",0),"")</f>
        <v/>
      </c>
      <c r="R313" s="98" t="str">
        <f>IF(B313&lt;&gt;"",_xlfn.XLOOKUP(B313,TableDispatch[Uniq Id],TableDispatch[Our Ch No.],"",0),"")</f>
        <v/>
      </c>
      <c r="T313" s="26" t="str">
        <f>IF(B313&lt;&gt;"",_xlfn.XLOOKUP(B313,TableDispatch[Uniq Id],TableDispatch[Eway Bill Out],"",0),"")</f>
        <v/>
      </c>
    </row>
    <row r="314" spans="5:20" x14ac:dyDescent="0.25">
      <c r="E314" s="99"/>
      <c r="J314" s="211" t="str">
        <f>IF(B314&lt;&gt;"",_xlfn.XLOOKUP(B314,'2627PR_Loading'!$E$3:$E$501,'2627PR_Loading'!$B$3:$B$501,"",0)&amp;_xlfn.XLOOKUP(B314,'2627PR_Loading'!$K$3:$K$501,'2627PR_Loading'!$B$3:$B$501,"",0)&amp;_xlfn.XLOOKUP(B314,'2627PR_Loading'!$Q$3:$Q$501,'2627PR_Loading'!$B$3:$B$501,"",0),"")</f>
        <v/>
      </c>
      <c r="K314" s="211" t="str">
        <f>IF(B314&lt;&gt;"",_xlfn.XLOOKUP(B314,'2627PR_Loading'!$E$3:$E$501,'2627PR_Loading'!$C$3:$C$501,"",0)&amp;_xlfn.XLOOKUP(B314,'2627PR_Loading'!$K$3:$K$501,'2627PR_Loading'!$C$3:$C$501,"",0)&amp;_xlfn.XLOOKUP(B314,'2627PR_Loading'!$Q$3:$Q$501,'2627PR_Loading'!$C$3:$C$501,"",0),"")</f>
        <v/>
      </c>
      <c r="P314" s="248" t="str">
        <f>IF(B314&lt;&gt;"",_xlfn.XLOOKUP(B314,'2627PR_Loading'!$E$3:$E$501,'2627PR_Loading'!$J$3:$J$501,"",0)&amp;_xlfn.XLOOKUP(B314,'2627PR_Loading'!$K$3:$K$501,'2627PR_Loading'!$P$3:$P$501,"",0)&amp;_xlfn.XLOOKUP(B314,'2627PR_Loading'!$Q$3:$Q$501,'2627PR_Loading'!$V$3:$V$501,"",0),"")</f>
        <v/>
      </c>
      <c r="Q314" s="98" t="str">
        <f>IF(B314&lt;&gt;"",_xlfn.XLOOKUP(B314,TableDispatch[Uniq Id],TableDispatch[Delivery Date],"",0),"")</f>
        <v/>
      </c>
      <c r="R314" s="98" t="str">
        <f>IF(B314&lt;&gt;"",_xlfn.XLOOKUP(B314,TableDispatch[Uniq Id],TableDispatch[Our Ch No.],"",0),"")</f>
        <v/>
      </c>
      <c r="T314" s="26" t="str">
        <f>IF(B314&lt;&gt;"",_xlfn.XLOOKUP(B314,TableDispatch[Uniq Id],TableDispatch[Eway Bill Out],"",0),"")</f>
        <v/>
      </c>
    </row>
    <row r="315" spans="5:20" x14ac:dyDescent="0.25">
      <c r="E315" s="99"/>
      <c r="J315" s="211" t="str">
        <f>IF(B315&lt;&gt;"",_xlfn.XLOOKUP(B315,'2627PR_Loading'!$E$3:$E$501,'2627PR_Loading'!$B$3:$B$501,"",0)&amp;_xlfn.XLOOKUP(B315,'2627PR_Loading'!$K$3:$K$501,'2627PR_Loading'!$B$3:$B$501,"",0)&amp;_xlfn.XLOOKUP(B315,'2627PR_Loading'!$Q$3:$Q$501,'2627PR_Loading'!$B$3:$B$501,"",0),"")</f>
        <v/>
      </c>
      <c r="K315" s="211" t="str">
        <f>IF(B315&lt;&gt;"",_xlfn.XLOOKUP(B315,'2627PR_Loading'!$E$3:$E$501,'2627PR_Loading'!$C$3:$C$501,"",0)&amp;_xlfn.XLOOKUP(B315,'2627PR_Loading'!$K$3:$K$501,'2627PR_Loading'!$C$3:$C$501,"",0)&amp;_xlfn.XLOOKUP(B315,'2627PR_Loading'!$Q$3:$Q$501,'2627PR_Loading'!$C$3:$C$501,"",0),"")</f>
        <v/>
      </c>
      <c r="P315" s="248" t="str">
        <f>IF(B315&lt;&gt;"",_xlfn.XLOOKUP(B315,'2627PR_Loading'!$E$3:$E$501,'2627PR_Loading'!$J$3:$J$501,"",0)&amp;_xlfn.XLOOKUP(B315,'2627PR_Loading'!$K$3:$K$501,'2627PR_Loading'!$P$3:$P$501,"",0)&amp;_xlfn.XLOOKUP(B315,'2627PR_Loading'!$Q$3:$Q$501,'2627PR_Loading'!$V$3:$V$501,"",0),"")</f>
        <v/>
      </c>
      <c r="Q315" s="98" t="str">
        <f>IF(B315&lt;&gt;"",_xlfn.XLOOKUP(B315,TableDispatch[Uniq Id],TableDispatch[Delivery Date],"",0),"")</f>
        <v/>
      </c>
      <c r="R315" s="98" t="str">
        <f>IF(B315&lt;&gt;"",_xlfn.XLOOKUP(B315,TableDispatch[Uniq Id],TableDispatch[Our Ch No.],"",0),"")</f>
        <v/>
      </c>
      <c r="T315" s="26" t="str">
        <f>IF(B315&lt;&gt;"",_xlfn.XLOOKUP(B315,TableDispatch[Uniq Id],TableDispatch[Eway Bill Out],"",0),"")</f>
        <v/>
      </c>
    </row>
    <row r="316" spans="5:20" x14ac:dyDescent="0.25">
      <c r="E316" s="99"/>
      <c r="J316" s="211" t="str">
        <f>IF(B316&lt;&gt;"",_xlfn.XLOOKUP(B316,'2627PR_Loading'!$E$3:$E$501,'2627PR_Loading'!$B$3:$B$501,"",0)&amp;_xlfn.XLOOKUP(B316,'2627PR_Loading'!$K$3:$K$501,'2627PR_Loading'!$B$3:$B$501,"",0)&amp;_xlfn.XLOOKUP(B316,'2627PR_Loading'!$Q$3:$Q$501,'2627PR_Loading'!$B$3:$B$501,"",0),"")</f>
        <v/>
      </c>
      <c r="K316" s="211" t="str">
        <f>IF(B316&lt;&gt;"",_xlfn.XLOOKUP(B316,'2627PR_Loading'!$E$3:$E$501,'2627PR_Loading'!$C$3:$C$501,"",0)&amp;_xlfn.XLOOKUP(B316,'2627PR_Loading'!$K$3:$K$501,'2627PR_Loading'!$C$3:$C$501,"",0)&amp;_xlfn.XLOOKUP(B316,'2627PR_Loading'!$Q$3:$Q$501,'2627PR_Loading'!$C$3:$C$501,"",0),"")</f>
        <v/>
      </c>
      <c r="P316" s="248" t="str">
        <f>IF(B316&lt;&gt;"",_xlfn.XLOOKUP(B316,'2627PR_Loading'!$E$3:$E$501,'2627PR_Loading'!$J$3:$J$501,"",0)&amp;_xlfn.XLOOKUP(B316,'2627PR_Loading'!$K$3:$K$501,'2627PR_Loading'!$P$3:$P$501,"",0)&amp;_xlfn.XLOOKUP(B316,'2627PR_Loading'!$Q$3:$Q$501,'2627PR_Loading'!$V$3:$V$501,"",0),"")</f>
        <v/>
      </c>
      <c r="Q316" s="98" t="str">
        <f>IF(B316&lt;&gt;"",_xlfn.XLOOKUP(B316,TableDispatch[Uniq Id],TableDispatch[Delivery Date],"",0),"")</f>
        <v/>
      </c>
      <c r="R316" s="98" t="str">
        <f>IF(B316&lt;&gt;"",_xlfn.XLOOKUP(B316,TableDispatch[Uniq Id],TableDispatch[Our Ch No.],"",0),"")</f>
        <v/>
      </c>
      <c r="T316" s="26" t="str">
        <f>IF(B316&lt;&gt;"",_xlfn.XLOOKUP(B316,TableDispatch[Uniq Id],TableDispatch[Eway Bill Out],"",0),"")</f>
        <v/>
      </c>
    </row>
    <row r="317" spans="5:20" x14ac:dyDescent="0.25">
      <c r="E317" s="99"/>
      <c r="J317" s="211" t="str">
        <f>IF(B317&lt;&gt;"",_xlfn.XLOOKUP(B317,'2627PR_Loading'!$E$3:$E$501,'2627PR_Loading'!$B$3:$B$501,"",0)&amp;_xlfn.XLOOKUP(B317,'2627PR_Loading'!$K$3:$K$501,'2627PR_Loading'!$B$3:$B$501,"",0)&amp;_xlfn.XLOOKUP(B317,'2627PR_Loading'!$Q$3:$Q$501,'2627PR_Loading'!$B$3:$B$501,"",0),"")</f>
        <v/>
      </c>
      <c r="K317" s="211" t="str">
        <f>IF(B317&lt;&gt;"",_xlfn.XLOOKUP(B317,'2627PR_Loading'!$E$3:$E$501,'2627PR_Loading'!$C$3:$C$501,"",0)&amp;_xlfn.XLOOKUP(B317,'2627PR_Loading'!$K$3:$K$501,'2627PR_Loading'!$C$3:$C$501,"",0)&amp;_xlfn.XLOOKUP(B317,'2627PR_Loading'!$Q$3:$Q$501,'2627PR_Loading'!$C$3:$C$501,"",0),"")</f>
        <v/>
      </c>
      <c r="P317" s="248" t="str">
        <f>IF(B317&lt;&gt;"",_xlfn.XLOOKUP(B317,'2627PR_Loading'!$E$3:$E$501,'2627PR_Loading'!$J$3:$J$501,"",0)&amp;_xlfn.XLOOKUP(B317,'2627PR_Loading'!$K$3:$K$501,'2627PR_Loading'!$P$3:$P$501,"",0)&amp;_xlfn.XLOOKUP(B317,'2627PR_Loading'!$Q$3:$Q$501,'2627PR_Loading'!$V$3:$V$501,"",0),"")</f>
        <v/>
      </c>
      <c r="Q317" s="98" t="str">
        <f>IF(B317&lt;&gt;"",_xlfn.XLOOKUP(B317,TableDispatch[Uniq Id],TableDispatch[Delivery Date],"",0),"")</f>
        <v/>
      </c>
      <c r="R317" s="98" t="str">
        <f>IF(B317&lt;&gt;"",_xlfn.XLOOKUP(B317,TableDispatch[Uniq Id],TableDispatch[Our Ch No.],"",0),"")</f>
        <v/>
      </c>
      <c r="T317" s="26" t="str">
        <f>IF(B317&lt;&gt;"",_xlfn.XLOOKUP(B317,TableDispatch[Uniq Id],TableDispatch[Eway Bill Out],"",0),"")</f>
        <v/>
      </c>
    </row>
    <row r="318" spans="5:20" x14ac:dyDescent="0.25">
      <c r="E318" s="99"/>
      <c r="J318" s="211" t="str">
        <f>IF(B318&lt;&gt;"",_xlfn.XLOOKUP(B318,'2627PR_Loading'!$E$3:$E$501,'2627PR_Loading'!$B$3:$B$501,"",0)&amp;_xlfn.XLOOKUP(B318,'2627PR_Loading'!$K$3:$K$501,'2627PR_Loading'!$B$3:$B$501,"",0)&amp;_xlfn.XLOOKUP(B318,'2627PR_Loading'!$Q$3:$Q$501,'2627PR_Loading'!$B$3:$B$501,"",0),"")</f>
        <v/>
      </c>
      <c r="K318" s="211" t="str">
        <f>IF(B318&lt;&gt;"",_xlfn.XLOOKUP(B318,'2627PR_Loading'!$E$3:$E$501,'2627PR_Loading'!$C$3:$C$501,"",0)&amp;_xlfn.XLOOKUP(B318,'2627PR_Loading'!$K$3:$K$501,'2627PR_Loading'!$C$3:$C$501,"",0)&amp;_xlfn.XLOOKUP(B318,'2627PR_Loading'!$Q$3:$Q$501,'2627PR_Loading'!$C$3:$C$501,"",0),"")</f>
        <v/>
      </c>
      <c r="P318" s="248" t="str">
        <f>IF(B318&lt;&gt;"",_xlfn.XLOOKUP(B318,'2627PR_Loading'!$E$3:$E$501,'2627PR_Loading'!$J$3:$J$501,"",0)&amp;_xlfn.XLOOKUP(B318,'2627PR_Loading'!$K$3:$K$501,'2627PR_Loading'!$P$3:$P$501,"",0)&amp;_xlfn.XLOOKUP(B318,'2627PR_Loading'!$Q$3:$Q$501,'2627PR_Loading'!$V$3:$V$501,"",0),"")</f>
        <v/>
      </c>
      <c r="Q318" s="98" t="str">
        <f>IF(B318&lt;&gt;"",_xlfn.XLOOKUP(B318,TableDispatch[Uniq Id],TableDispatch[Delivery Date],"",0),"")</f>
        <v/>
      </c>
      <c r="R318" s="98" t="str">
        <f>IF(B318&lt;&gt;"",_xlfn.XLOOKUP(B318,TableDispatch[Uniq Id],TableDispatch[Our Ch No.],"",0),"")</f>
        <v/>
      </c>
      <c r="T318" s="26" t="str">
        <f>IF(B318&lt;&gt;"",_xlfn.XLOOKUP(B318,TableDispatch[Uniq Id],TableDispatch[Eway Bill Out],"",0),"")</f>
        <v/>
      </c>
    </row>
    <row r="319" spans="5:20" x14ac:dyDescent="0.25">
      <c r="E319" s="99"/>
      <c r="J319" s="211" t="str">
        <f>IF(B319&lt;&gt;"",_xlfn.XLOOKUP(B319,'2627PR_Loading'!$E$3:$E$501,'2627PR_Loading'!$B$3:$B$501,"",0)&amp;_xlfn.XLOOKUP(B319,'2627PR_Loading'!$K$3:$K$501,'2627PR_Loading'!$B$3:$B$501,"",0)&amp;_xlfn.XLOOKUP(B319,'2627PR_Loading'!$Q$3:$Q$501,'2627PR_Loading'!$B$3:$B$501,"",0),"")</f>
        <v/>
      </c>
      <c r="K319" s="211" t="str">
        <f>IF(B319&lt;&gt;"",_xlfn.XLOOKUP(B319,'2627PR_Loading'!$E$3:$E$501,'2627PR_Loading'!$C$3:$C$501,"",0)&amp;_xlfn.XLOOKUP(B319,'2627PR_Loading'!$K$3:$K$501,'2627PR_Loading'!$C$3:$C$501,"",0)&amp;_xlfn.XLOOKUP(B319,'2627PR_Loading'!$Q$3:$Q$501,'2627PR_Loading'!$C$3:$C$501,"",0),"")</f>
        <v/>
      </c>
      <c r="P319" s="248" t="str">
        <f>IF(B319&lt;&gt;"",_xlfn.XLOOKUP(B319,'2627PR_Loading'!$E$3:$E$501,'2627PR_Loading'!$J$3:$J$501,"",0)&amp;_xlfn.XLOOKUP(B319,'2627PR_Loading'!$K$3:$K$501,'2627PR_Loading'!$P$3:$P$501,"",0)&amp;_xlfn.XLOOKUP(B319,'2627PR_Loading'!$Q$3:$Q$501,'2627PR_Loading'!$V$3:$V$501,"",0),"")</f>
        <v/>
      </c>
      <c r="Q319" s="98" t="str">
        <f>IF(B319&lt;&gt;"",_xlfn.XLOOKUP(B319,TableDispatch[Uniq Id],TableDispatch[Delivery Date],"",0),"")</f>
        <v/>
      </c>
      <c r="R319" s="98" t="str">
        <f>IF(B319&lt;&gt;"",_xlfn.XLOOKUP(B319,TableDispatch[Uniq Id],TableDispatch[Our Ch No.],"",0),"")</f>
        <v/>
      </c>
      <c r="T319" s="26" t="str">
        <f>IF(B319&lt;&gt;"",_xlfn.XLOOKUP(B319,TableDispatch[Uniq Id],TableDispatch[Eway Bill Out],"",0),"")</f>
        <v/>
      </c>
    </row>
    <row r="320" spans="5:20" x14ac:dyDescent="0.25">
      <c r="E320" s="99"/>
      <c r="J320" s="211" t="str">
        <f>IF(B320&lt;&gt;"",_xlfn.XLOOKUP(B320,'2627PR_Loading'!$E$3:$E$501,'2627PR_Loading'!$B$3:$B$501,"",0)&amp;_xlfn.XLOOKUP(B320,'2627PR_Loading'!$K$3:$K$501,'2627PR_Loading'!$B$3:$B$501,"",0)&amp;_xlfn.XLOOKUP(B320,'2627PR_Loading'!$Q$3:$Q$501,'2627PR_Loading'!$B$3:$B$501,"",0),"")</f>
        <v/>
      </c>
      <c r="K320" s="211" t="str">
        <f>IF(B320&lt;&gt;"",_xlfn.XLOOKUP(B320,'2627PR_Loading'!$E$3:$E$501,'2627PR_Loading'!$C$3:$C$501,"",0)&amp;_xlfn.XLOOKUP(B320,'2627PR_Loading'!$K$3:$K$501,'2627PR_Loading'!$C$3:$C$501,"",0)&amp;_xlfn.XLOOKUP(B320,'2627PR_Loading'!$Q$3:$Q$501,'2627PR_Loading'!$C$3:$C$501,"",0),"")</f>
        <v/>
      </c>
      <c r="P320" s="248" t="str">
        <f>IF(B320&lt;&gt;"",_xlfn.XLOOKUP(B320,'2627PR_Loading'!$E$3:$E$501,'2627PR_Loading'!$J$3:$J$501,"",0)&amp;_xlfn.XLOOKUP(B320,'2627PR_Loading'!$K$3:$K$501,'2627PR_Loading'!$P$3:$P$501,"",0)&amp;_xlfn.XLOOKUP(B320,'2627PR_Loading'!$Q$3:$Q$501,'2627PR_Loading'!$V$3:$V$501,"",0),"")</f>
        <v/>
      </c>
      <c r="Q320" s="98" t="str">
        <f>IF(B320&lt;&gt;"",_xlfn.XLOOKUP(B320,TableDispatch[Uniq Id],TableDispatch[Delivery Date],"",0),"")</f>
        <v/>
      </c>
      <c r="R320" s="98" t="str">
        <f>IF(B320&lt;&gt;"",_xlfn.XLOOKUP(B320,TableDispatch[Uniq Id],TableDispatch[Our Ch No.],"",0),"")</f>
        <v/>
      </c>
      <c r="T320" s="26" t="str">
        <f>IF(B320&lt;&gt;"",_xlfn.XLOOKUP(B320,TableDispatch[Uniq Id],TableDispatch[Eway Bill Out],"",0),"")</f>
        <v/>
      </c>
    </row>
    <row r="321" spans="5:20" x14ac:dyDescent="0.25">
      <c r="E321" s="99"/>
      <c r="J321" s="211" t="str">
        <f>IF(B321&lt;&gt;"",_xlfn.XLOOKUP(B321,'2627PR_Loading'!$E$3:$E$501,'2627PR_Loading'!$B$3:$B$501,"",0)&amp;_xlfn.XLOOKUP(B321,'2627PR_Loading'!$K$3:$K$501,'2627PR_Loading'!$B$3:$B$501,"",0)&amp;_xlfn.XLOOKUP(B321,'2627PR_Loading'!$Q$3:$Q$501,'2627PR_Loading'!$B$3:$B$501,"",0),"")</f>
        <v/>
      </c>
      <c r="K321" s="211" t="str">
        <f>IF(B321&lt;&gt;"",_xlfn.XLOOKUP(B321,'2627PR_Loading'!$E$3:$E$501,'2627PR_Loading'!$C$3:$C$501,"",0)&amp;_xlfn.XLOOKUP(B321,'2627PR_Loading'!$K$3:$K$501,'2627PR_Loading'!$C$3:$C$501,"",0)&amp;_xlfn.XLOOKUP(B321,'2627PR_Loading'!$Q$3:$Q$501,'2627PR_Loading'!$C$3:$C$501,"",0),"")</f>
        <v/>
      </c>
      <c r="P321" s="248" t="str">
        <f>IF(B321&lt;&gt;"",_xlfn.XLOOKUP(B321,'2627PR_Loading'!$E$3:$E$501,'2627PR_Loading'!$J$3:$J$501,"",0)&amp;_xlfn.XLOOKUP(B321,'2627PR_Loading'!$K$3:$K$501,'2627PR_Loading'!$P$3:$P$501,"",0)&amp;_xlfn.XLOOKUP(B321,'2627PR_Loading'!$Q$3:$Q$501,'2627PR_Loading'!$V$3:$V$501,"",0),"")</f>
        <v/>
      </c>
      <c r="Q321" s="98" t="str">
        <f>IF(B321&lt;&gt;"",_xlfn.XLOOKUP(B321,TableDispatch[Uniq Id],TableDispatch[Delivery Date],"",0),"")</f>
        <v/>
      </c>
      <c r="R321" s="98" t="str">
        <f>IF(B321&lt;&gt;"",_xlfn.XLOOKUP(B321,TableDispatch[Uniq Id],TableDispatch[Our Ch No.],"",0),"")</f>
        <v/>
      </c>
      <c r="T321" s="26" t="str">
        <f>IF(B321&lt;&gt;"",_xlfn.XLOOKUP(B321,TableDispatch[Uniq Id],TableDispatch[Eway Bill Out],"",0),"")</f>
        <v/>
      </c>
    </row>
    <row r="322" spans="5:20" x14ac:dyDescent="0.25">
      <c r="E322" s="99"/>
      <c r="J322" s="211" t="str">
        <f>IF(B322&lt;&gt;"",_xlfn.XLOOKUP(B322,'2627PR_Loading'!$E$3:$E$501,'2627PR_Loading'!$B$3:$B$501,"",0)&amp;_xlfn.XLOOKUP(B322,'2627PR_Loading'!$K$3:$K$501,'2627PR_Loading'!$B$3:$B$501,"",0)&amp;_xlfn.XLOOKUP(B322,'2627PR_Loading'!$Q$3:$Q$501,'2627PR_Loading'!$B$3:$B$501,"",0),"")</f>
        <v/>
      </c>
      <c r="K322" s="211" t="str">
        <f>IF(B322&lt;&gt;"",_xlfn.XLOOKUP(B322,'2627PR_Loading'!$E$3:$E$501,'2627PR_Loading'!$C$3:$C$501,"",0)&amp;_xlfn.XLOOKUP(B322,'2627PR_Loading'!$K$3:$K$501,'2627PR_Loading'!$C$3:$C$501,"",0)&amp;_xlfn.XLOOKUP(B322,'2627PR_Loading'!$Q$3:$Q$501,'2627PR_Loading'!$C$3:$C$501,"",0),"")</f>
        <v/>
      </c>
      <c r="P322" s="248" t="str">
        <f>IF(B322&lt;&gt;"",_xlfn.XLOOKUP(B322,'2627PR_Loading'!$E$3:$E$501,'2627PR_Loading'!$J$3:$J$501,"",0)&amp;_xlfn.XLOOKUP(B322,'2627PR_Loading'!$K$3:$K$501,'2627PR_Loading'!$P$3:$P$501,"",0)&amp;_xlfn.XLOOKUP(B322,'2627PR_Loading'!$Q$3:$Q$501,'2627PR_Loading'!$V$3:$V$501,"",0),"")</f>
        <v/>
      </c>
      <c r="Q322" s="98" t="str">
        <f>IF(B322&lt;&gt;"",_xlfn.XLOOKUP(B322,TableDispatch[Uniq Id],TableDispatch[Delivery Date],"",0),"")</f>
        <v/>
      </c>
      <c r="R322" s="98" t="str">
        <f>IF(B322&lt;&gt;"",_xlfn.XLOOKUP(B322,TableDispatch[Uniq Id],TableDispatch[Our Ch No.],"",0),"")</f>
        <v/>
      </c>
      <c r="T322" s="26" t="str">
        <f>IF(B322&lt;&gt;"",_xlfn.XLOOKUP(B322,TableDispatch[Uniq Id],TableDispatch[Eway Bill Out],"",0),"")</f>
        <v/>
      </c>
    </row>
    <row r="323" spans="5:20" x14ac:dyDescent="0.25">
      <c r="E323" s="99"/>
      <c r="J323" s="211" t="str">
        <f>IF(B323&lt;&gt;"",_xlfn.XLOOKUP(B323,'2627PR_Loading'!$E$3:$E$501,'2627PR_Loading'!$B$3:$B$501,"",0)&amp;_xlfn.XLOOKUP(B323,'2627PR_Loading'!$K$3:$K$501,'2627PR_Loading'!$B$3:$B$501,"",0)&amp;_xlfn.XLOOKUP(B323,'2627PR_Loading'!$Q$3:$Q$501,'2627PR_Loading'!$B$3:$B$501,"",0),"")</f>
        <v/>
      </c>
      <c r="K323" s="211" t="str">
        <f>IF(B323&lt;&gt;"",_xlfn.XLOOKUP(B323,'2627PR_Loading'!$E$3:$E$501,'2627PR_Loading'!$C$3:$C$501,"",0)&amp;_xlfn.XLOOKUP(B323,'2627PR_Loading'!$K$3:$K$501,'2627PR_Loading'!$C$3:$C$501,"",0)&amp;_xlfn.XLOOKUP(B323,'2627PR_Loading'!$Q$3:$Q$501,'2627PR_Loading'!$C$3:$C$501,"",0),"")</f>
        <v/>
      </c>
      <c r="P323" s="248" t="str">
        <f>IF(B323&lt;&gt;"",_xlfn.XLOOKUP(B323,'2627PR_Loading'!$E$3:$E$501,'2627PR_Loading'!$J$3:$J$501,"",0)&amp;_xlfn.XLOOKUP(B323,'2627PR_Loading'!$K$3:$K$501,'2627PR_Loading'!$P$3:$P$501,"",0)&amp;_xlfn.XLOOKUP(B323,'2627PR_Loading'!$Q$3:$Q$501,'2627PR_Loading'!$V$3:$V$501,"",0),"")</f>
        <v/>
      </c>
      <c r="Q323" s="98" t="str">
        <f>IF(B323&lt;&gt;"",_xlfn.XLOOKUP(B323,TableDispatch[Uniq Id],TableDispatch[Delivery Date],"",0),"")</f>
        <v/>
      </c>
      <c r="R323" s="98" t="str">
        <f>IF(B323&lt;&gt;"",_xlfn.XLOOKUP(B323,TableDispatch[Uniq Id],TableDispatch[Our Ch No.],"",0),"")</f>
        <v/>
      </c>
      <c r="T323" s="26" t="str">
        <f>IF(B323&lt;&gt;"",_xlfn.XLOOKUP(B323,TableDispatch[Uniq Id],TableDispatch[Eway Bill Out],"",0),"")</f>
        <v/>
      </c>
    </row>
    <row r="324" spans="5:20" x14ac:dyDescent="0.25">
      <c r="E324" s="99"/>
      <c r="J324" s="211" t="str">
        <f>IF(B324&lt;&gt;"",_xlfn.XLOOKUP(B324,'2627PR_Loading'!$E$3:$E$501,'2627PR_Loading'!$B$3:$B$501,"",0)&amp;_xlfn.XLOOKUP(B324,'2627PR_Loading'!$K$3:$K$501,'2627PR_Loading'!$B$3:$B$501,"",0)&amp;_xlfn.XLOOKUP(B324,'2627PR_Loading'!$Q$3:$Q$501,'2627PR_Loading'!$B$3:$B$501,"",0),"")</f>
        <v/>
      </c>
      <c r="K324" s="211" t="str">
        <f>IF(B324&lt;&gt;"",_xlfn.XLOOKUP(B324,'2627PR_Loading'!$E$3:$E$501,'2627PR_Loading'!$C$3:$C$501,"",0)&amp;_xlfn.XLOOKUP(B324,'2627PR_Loading'!$K$3:$K$501,'2627PR_Loading'!$C$3:$C$501,"",0)&amp;_xlfn.XLOOKUP(B324,'2627PR_Loading'!$Q$3:$Q$501,'2627PR_Loading'!$C$3:$C$501,"",0),"")</f>
        <v/>
      </c>
      <c r="P324" s="248" t="str">
        <f>IF(B324&lt;&gt;"",_xlfn.XLOOKUP(B324,'2627PR_Loading'!$E$3:$E$501,'2627PR_Loading'!$J$3:$J$501,"",0)&amp;_xlfn.XLOOKUP(B324,'2627PR_Loading'!$K$3:$K$501,'2627PR_Loading'!$P$3:$P$501,"",0)&amp;_xlfn.XLOOKUP(B324,'2627PR_Loading'!$Q$3:$Q$501,'2627PR_Loading'!$V$3:$V$501,"",0),"")</f>
        <v/>
      </c>
      <c r="Q324" s="98" t="str">
        <f>IF(B324&lt;&gt;"",_xlfn.XLOOKUP(B324,TableDispatch[Uniq Id],TableDispatch[Delivery Date],"",0),"")</f>
        <v/>
      </c>
      <c r="R324" s="98" t="str">
        <f>IF(B324&lt;&gt;"",_xlfn.XLOOKUP(B324,TableDispatch[Uniq Id],TableDispatch[Our Ch No.],"",0),"")</f>
        <v/>
      </c>
      <c r="T324" s="26" t="str">
        <f>IF(B324&lt;&gt;"",_xlfn.XLOOKUP(B324,TableDispatch[Uniq Id],TableDispatch[Eway Bill Out],"",0),"")</f>
        <v/>
      </c>
    </row>
    <row r="325" spans="5:20" x14ac:dyDescent="0.25">
      <c r="E325" s="99"/>
      <c r="J325" s="211" t="str">
        <f>IF(B325&lt;&gt;"",_xlfn.XLOOKUP(B325,'2627PR_Loading'!$E$3:$E$501,'2627PR_Loading'!$B$3:$B$501,"",0)&amp;_xlfn.XLOOKUP(B325,'2627PR_Loading'!$K$3:$K$501,'2627PR_Loading'!$B$3:$B$501,"",0)&amp;_xlfn.XLOOKUP(B325,'2627PR_Loading'!$Q$3:$Q$501,'2627PR_Loading'!$B$3:$B$501,"",0),"")</f>
        <v/>
      </c>
      <c r="K325" s="211" t="str">
        <f>IF(B325&lt;&gt;"",_xlfn.XLOOKUP(B325,'2627PR_Loading'!$E$3:$E$501,'2627PR_Loading'!$C$3:$C$501,"",0)&amp;_xlfn.XLOOKUP(B325,'2627PR_Loading'!$K$3:$K$501,'2627PR_Loading'!$C$3:$C$501,"",0)&amp;_xlfn.XLOOKUP(B325,'2627PR_Loading'!$Q$3:$Q$501,'2627PR_Loading'!$C$3:$C$501,"",0),"")</f>
        <v/>
      </c>
      <c r="P325" s="248" t="str">
        <f>IF(B325&lt;&gt;"",_xlfn.XLOOKUP(B325,'2627PR_Loading'!$E$3:$E$501,'2627PR_Loading'!$J$3:$J$501,"",0)&amp;_xlfn.XLOOKUP(B325,'2627PR_Loading'!$K$3:$K$501,'2627PR_Loading'!$P$3:$P$501,"",0)&amp;_xlfn.XLOOKUP(B325,'2627PR_Loading'!$Q$3:$Q$501,'2627PR_Loading'!$V$3:$V$501,"",0),"")</f>
        <v/>
      </c>
      <c r="Q325" s="98" t="str">
        <f>IF(B325&lt;&gt;"",_xlfn.XLOOKUP(B325,TableDispatch[Uniq Id],TableDispatch[Delivery Date],"",0),"")</f>
        <v/>
      </c>
      <c r="R325" s="98" t="str">
        <f>IF(B325&lt;&gt;"",_xlfn.XLOOKUP(B325,TableDispatch[Uniq Id],TableDispatch[Our Ch No.],"",0),"")</f>
        <v/>
      </c>
      <c r="T325" s="26" t="str">
        <f>IF(B325&lt;&gt;"",_xlfn.XLOOKUP(B325,TableDispatch[Uniq Id],TableDispatch[Eway Bill Out],"",0),"")</f>
        <v/>
      </c>
    </row>
    <row r="326" spans="5:20" x14ac:dyDescent="0.25">
      <c r="E326" s="99"/>
      <c r="J326" s="211" t="str">
        <f>IF(B326&lt;&gt;"",_xlfn.XLOOKUP(B326,'2627PR_Loading'!$E$3:$E$501,'2627PR_Loading'!$B$3:$B$501,"",0)&amp;_xlfn.XLOOKUP(B326,'2627PR_Loading'!$K$3:$K$501,'2627PR_Loading'!$B$3:$B$501,"",0)&amp;_xlfn.XLOOKUP(B326,'2627PR_Loading'!$Q$3:$Q$501,'2627PR_Loading'!$B$3:$B$501,"",0),"")</f>
        <v/>
      </c>
      <c r="K326" s="211" t="str">
        <f>IF(B326&lt;&gt;"",_xlfn.XLOOKUP(B326,'2627PR_Loading'!$E$3:$E$501,'2627PR_Loading'!$C$3:$C$501,"",0)&amp;_xlfn.XLOOKUP(B326,'2627PR_Loading'!$K$3:$K$501,'2627PR_Loading'!$C$3:$C$501,"",0)&amp;_xlfn.XLOOKUP(B326,'2627PR_Loading'!$Q$3:$Q$501,'2627PR_Loading'!$C$3:$C$501,"",0),"")</f>
        <v/>
      </c>
      <c r="P326" s="248" t="str">
        <f>IF(B326&lt;&gt;"",_xlfn.XLOOKUP(B326,'2627PR_Loading'!$E$3:$E$501,'2627PR_Loading'!$J$3:$J$501,"",0)&amp;_xlfn.XLOOKUP(B326,'2627PR_Loading'!$K$3:$K$501,'2627PR_Loading'!$P$3:$P$501,"",0)&amp;_xlfn.XLOOKUP(B326,'2627PR_Loading'!$Q$3:$Q$501,'2627PR_Loading'!$V$3:$V$501,"",0),"")</f>
        <v/>
      </c>
      <c r="Q326" s="98" t="str">
        <f>IF(B326&lt;&gt;"",_xlfn.XLOOKUP(B326,TableDispatch[Uniq Id],TableDispatch[Delivery Date],"",0),"")</f>
        <v/>
      </c>
      <c r="R326" s="98" t="str">
        <f>IF(B326&lt;&gt;"",_xlfn.XLOOKUP(B326,TableDispatch[Uniq Id],TableDispatch[Our Ch No.],"",0),"")</f>
        <v/>
      </c>
      <c r="T326" s="26" t="str">
        <f>IF(B326&lt;&gt;"",_xlfn.XLOOKUP(B326,TableDispatch[Uniq Id],TableDispatch[Eway Bill Out],"",0),"")</f>
        <v/>
      </c>
    </row>
    <row r="327" spans="5:20" x14ac:dyDescent="0.25">
      <c r="E327" s="99"/>
      <c r="J327" s="211" t="str">
        <f>IF(B327&lt;&gt;"",_xlfn.XLOOKUP(B327,'2627PR_Loading'!$E$3:$E$501,'2627PR_Loading'!$B$3:$B$501,"",0)&amp;_xlfn.XLOOKUP(B327,'2627PR_Loading'!$K$3:$K$501,'2627PR_Loading'!$B$3:$B$501,"",0)&amp;_xlfn.XLOOKUP(B327,'2627PR_Loading'!$Q$3:$Q$501,'2627PR_Loading'!$B$3:$B$501,"",0),"")</f>
        <v/>
      </c>
      <c r="K327" s="211" t="str">
        <f>IF(B327&lt;&gt;"",_xlfn.XLOOKUP(B327,'2627PR_Loading'!$E$3:$E$501,'2627PR_Loading'!$C$3:$C$501,"",0)&amp;_xlfn.XLOOKUP(B327,'2627PR_Loading'!$K$3:$K$501,'2627PR_Loading'!$C$3:$C$501,"",0)&amp;_xlfn.XLOOKUP(B327,'2627PR_Loading'!$Q$3:$Q$501,'2627PR_Loading'!$C$3:$C$501,"",0),"")</f>
        <v/>
      </c>
      <c r="P327" s="248" t="str">
        <f>IF(B327&lt;&gt;"",_xlfn.XLOOKUP(B327,'2627PR_Loading'!$E$3:$E$501,'2627PR_Loading'!$J$3:$J$501,"",0)&amp;_xlfn.XLOOKUP(B327,'2627PR_Loading'!$K$3:$K$501,'2627PR_Loading'!$P$3:$P$501,"",0)&amp;_xlfn.XLOOKUP(B327,'2627PR_Loading'!$Q$3:$Q$501,'2627PR_Loading'!$V$3:$V$501,"",0),"")</f>
        <v/>
      </c>
      <c r="Q327" s="98" t="str">
        <f>IF(B327&lt;&gt;"",_xlfn.XLOOKUP(B327,TableDispatch[Uniq Id],TableDispatch[Delivery Date],"",0),"")</f>
        <v/>
      </c>
      <c r="R327" s="98" t="str">
        <f>IF(B327&lt;&gt;"",_xlfn.XLOOKUP(B327,TableDispatch[Uniq Id],TableDispatch[Our Ch No.],"",0),"")</f>
        <v/>
      </c>
      <c r="T327" s="26" t="str">
        <f>IF(B327&lt;&gt;"",_xlfn.XLOOKUP(B327,TableDispatch[Uniq Id],TableDispatch[Eway Bill Out],"",0),"")</f>
        <v/>
      </c>
    </row>
    <row r="328" spans="5:20" x14ac:dyDescent="0.25">
      <c r="E328" s="99"/>
      <c r="J328" s="211" t="str">
        <f>IF(B328&lt;&gt;"",_xlfn.XLOOKUP(B328,'2627PR_Loading'!$E$3:$E$501,'2627PR_Loading'!$B$3:$B$501,"",0)&amp;_xlfn.XLOOKUP(B328,'2627PR_Loading'!$K$3:$K$501,'2627PR_Loading'!$B$3:$B$501,"",0)&amp;_xlfn.XLOOKUP(B328,'2627PR_Loading'!$Q$3:$Q$501,'2627PR_Loading'!$B$3:$B$501,"",0),"")</f>
        <v/>
      </c>
      <c r="K328" s="211" t="str">
        <f>IF(B328&lt;&gt;"",_xlfn.XLOOKUP(B328,'2627PR_Loading'!$E$3:$E$501,'2627PR_Loading'!$C$3:$C$501,"",0)&amp;_xlfn.XLOOKUP(B328,'2627PR_Loading'!$K$3:$K$501,'2627PR_Loading'!$C$3:$C$501,"",0)&amp;_xlfn.XLOOKUP(B328,'2627PR_Loading'!$Q$3:$Q$501,'2627PR_Loading'!$C$3:$C$501,"",0),"")</f>
        <v/>
      </c>
      <c r="P328" s="248" t="str">
        <f>IF(B328&lt;&gt;"",_xlfn.XLOOKUP(B328,'2627PR_Loading'!$E$3:$E$501,'2627PR_Loading'!$J$3:$J$501,"",0)&amp;_xlfn.XLOOKUP(B328,'2627PR_Loading'!$K$3:$K$501,'2627PR_Loading'!$P$3:$P$501,"",0)&amp;_xlfn.XLOOKUP(B328,'2627PR_Loading'!$Q$3:$Q$501,'2627PR_Loading'!$V$3:$V$501,"",0),"")</f>
        <v/>
      </c>
      <c r="Q328" s="98" t="str">
        <f>IF(B328&lt;&gt;"",_xlfn.XLOOKUP(B328,TableDispatch[Uniq Id],TableDispatch[Delivery Date],"",0),"")</f>
        <v/>
      </c>
      <c r="R328" s="98" t="str">
        <f>IF(B328&lt;&gt;"",_xlfn.XLOOKUP(B328,TableDispatch[Uniq Id],TableDispatch[Our Ch No.],"",0),"")</f>
        <v/>
      </c>
      <c r="T328" s="26" t="str">
        <f>IF(B328&lt;&gt;"",_xlfn.XLOOKUP(B328,TableDispatch[Uniq Id],TableDispatch[Eway Bill Out],"",0),"")</f>
        <v/>
      </c>
    </row>
    <row r="329" spans="5:20" x14ac:dyDescent="0.25">
      <c r="E329" s="99"/>
      <c r="J329" s="211" t="str">
        <f>IF(B329&lt;&gt;"",_xlfn.XLOOKUP(B329,'2627PR_Loading'!$E$3:$E$501,'2627PR_Loading'!$B$3:$B$501,"",0)&amp;_xlfn.XLOOKUP(B329,'2627PR_Loading'!$K$3:$K$501,'2627PR_Loading'!$B$3:$B$501,"",0)&amp;_xlfn.XLOOKUP(B329,'2627PR_Loading'!$Q$3:$Q$501,'2627PR_Loading'!$B$3:$B$501,"",0),"")</f>
        <v/>
      </c>
      <c r="K329" s="211" t="str">
        <f>IF(B329&lt;&gt;"",_xlfn.XLOOKUP(B329,'2627PR_Loading'!$E$3:$E$501,'2627PR_Loading'!$C$3:$C$501,"",0)&amp;_xlfn.XLOOKUP(B329,'2627PR_Loading'!$K$3:$K$501,'2627PR_Loading'!$C$3:$C$501,"",0)&amp;_xlfn.XLOOKUP(B329,'2627PR_Loading'!$Q$3:$Q$501,'2627PR_Loading'!$C$3:$C$501,"",0),"")</f>
        <v/>
      </c>
      <c r="P329" s="248" t="str">
        <f>IF(B329&lt;&gt;"",_xlfn.XLOOKUP(B329,'2627PR_Loading'!$E$3:$E$501,'2627PR_Loading'!$J$3:$J$501,"",0)&amp;_xlfn.XLOOKUP(B329,'2627PR_Loading'!$K$3:$K$501,'2627PR_Loading'!$P$3:$P$501,"",0)&amp;_xlfn.XLOOKUP(B329,'2627PR_Loading'!$Q$3:$Q$501,'2627PR_Loading'!$V$3:$V$501,"",0),"")</f>
        <v/>
      </c>
      <c r="Q329" s="98" t="str">
        <f>IF(B329&lt;&gt;"",_xlfn.XLOOKUP(B329,TableDispatch[Uniq Id],TableDispatch[Delivery Date],"",0),"")</f>
        <v/>
      </c>
      <c r="R329" s="98" t="str">
        <f>IF(B329&lt;&gt;"",_xlfn.XLOOKUP(B329,TableDispatch[Uniq Id],TableDispatch[Our Ch No.],"",0),"")</f>
        <v/>
      </c>
      <c r="T329" s="26" t="str">
        <f>IF(B329&lt;&gt;"",_xlfn.XLOOKUP(B329,TableDispatch[Uniq Id],TableDispatch[Eway Bill Out],"",0),"")</f>
        <v/>
      </c>
    </row>
    <row r="330" spans="5:20" x14ac:dyDescent="0.25">
      <c r="E330" s="99"/>
      <c r="J330" s="211" t="str">
        <f>IF(B330&lt;&gt;"",_xlfn.XLOOKUP(B330,'2627PR_Loading'!$E$3:$E$501,'2627PR_Loading'!$B$3:$B$501,"",0)&amp;_xlfn.XLOOKUP(B330,'2627PR_Loading'!$K$3:$K$501,'2627PR_Loading'!$B$3:$B$501,"",0)&amp;_xlfn.XLOOKUP(B330,'2627PR_Loading'!$Q$3:$Q$501,'2627PR_Loading'!$B$3:$B$501,"",0),"")</f>
        <v/>
      </c>
      <c r="K330" s="211" t="str">
        <f>IF(B330&lt;&gt;"",_xlfn.XLOOKUP(B330,'2627PR_Loading'!$E$3:$E$501,'2627PR_Loading'!$C$3:$C$501,"",0)&amp;_xlfn.XLOOKUP(B330,'2627PR_Loading'!$K$3:$K$501,'2627PR_Loading'!$C$3:$C$501,"",0)&amp;_xlfn.XLOOKUP(B330,'2627PR_Loading'!$Q$3:$Q$501,'2627PR_Loading'!$C$3:$C$501,"",0),"")</f>
        <v/>
      </c>
      <c r="P330" s="248" t="str">
        <f>IF(B330&lt;&gt;"",_xlfn.XLOOKUP(B330,'2627PR_Loading'!$E$3:$E$501,'2627PR_Loading'!$J$3:$J$501,"",0)&amp;_xlfn.XLOOKUP(B330,'2627PR_Loading'!$K$3:$K$501,'2627PR_Loading'!$P$3:$P$501,"",0)&amp;_xlfn.XLOOKUP(B330,'2627PR_Loading'!$Q$3:$Q$501,'2627PR_Loading'!$V$3:$V$501,"",0),"")</f>
        <v/>
      </c>
      <c r="Q330" s="98" t="str">
        <f>IF(B330&lt;&gt;"",_xlfn.XLOOKUP(B330,TableDispatch[Uniq Id],TableDispatch[Delivery Date],"",0),"")</f>
        <v/>
      </c>
      <c r="R330" s="98" t="str">
        <f>IF(B330&lt;&gt;"",_xlfn.XLOOKUP(B330,TableDispatch[Uniq Id],TableDispatch[Our Ch No.],"",0),"")</f>
        <v/>
      </c>
      <c r="T330" s="26" t="str">
        <f>IF(B330&lt;&gt;"",_xlfn.XLOOKUP(B330,TableDispatch[Uniq Id],TableDispatch[Eway Bill Out],"",0),"")</f>
        <v/>
      </c>
    </row>
    <row r="331" spans="5:20" x14ac:dyDescent="0.25">
      <c r="E331" s="99"/>
      <c r="J331" s="211" t="str">
        <f>IF(B331&lt;&gt;"",_xlfn.XLOOKUP(B331,'2627PR_Loading'!$E$3:$E$501,'2627PR_Loading'!$B$3:$B$501,"",0)&amp;_xlfn.XLOOKUP(B331,'2627PR_Loading'!$K$3:$K$501,'2627PR_Loading'!$B$3:$B$501,"",0)&amp;_xlfn.XLOOKUP(B331,'2627PR_Loading'!$Q$3:$Q$501,'2627PR_Loading'!$B$3:$B$501,"",0),"")</f>
        <v/>
      </c>
      <c r="K331" s="211" t="str">
        <f>IF(B331&lt;&gt;"",_xlfn.XLOOKUP(B331,'2627PR_Loading'!$E$3:$E$501,'2627PR_Loading'!$C$3:$C$501,"",0)&amp;_xlfn.XLOOKUP(B331,'2627PR_Loading'!$K$3:$K$501,'2627PR_Loading'!$C$3:$C$501,"",0)&amp;_xlfn.XLOOKUP(B331,'2627PR_Loading'!$Q$3:$Q$501,'2627PR_Loading'!$C$3:$C$501,"",0),"")</f>
        <v/>
      </c>
      <c r="P331" s="248" t="str">
        <f>IF(B331&lt;&gt;"",_xlfn.XLOOKUP(B331,'2627PR_Loading'!$E$3:$E$501,'2627PR_Loading'!$J$3:$J$501,"",0)&amp;_xlfn.XLOOKUP(B331,'2627PR_Loading'!$K$3:$K$501,'2627PR_Loading'!$P$3:$P$501,"",0)&amp;_xlfn.XLOOKUP(B331,'2627PR_Loading'!$Q$3:$Q$501,'2627PR_Loading'!$V$3:$V$501,"",0),"")</f>
        <v/>
      </c>
      <c r="Q331" s="98" t="str">
        <f>IF(B331&lt;&gt;"",_xlfn.XLOOKUP(B331,TableDispatch[Uniq Id],TableDispatch[Delivery Date],"",0),"")</f>
        <v/>
      </c>
      <c r="R331" s="98" t="str">
        <f>IF(B331&lt;&gt;"",_xlfn.XLOOKUP(B331,TableDispatch[Uniq Id],TableDispatch[Our Ch No.],"",0),"")</f>
        <v/>
      </c>
      <c r="T331" s="26" t="str">
        <f>IF(B331&lt;&gt;"",_xlfn.XLOOKUP(B331,TableDispatch[Uniq Id],TableDispatch[Eway Bill Out],"",0),"")</f>
        <v/>
      </c>
    </row>
    <row r="332" spans="5:20" x14ac:dyDescent="0.25">
      <c r="E332" s="99"/>
      <c r="J332" s="211" t="str">
        <f>IF(B332&lt;&gt;"",_xlfn.XLOOKUP(B332,'2627PR_Loading'!$E$3:$E$501,'2627PR_Loading'!$B$3:$B$501,"",0)&amp;_xlfn.XLOOKUP(B332,'2627PR_Loading'!$K$3:$K$501,'2627PR_Loading'!$B$3:$B$501,"",0)&amp;_xlfn.XLOOKUP(B332,'2627PR_Loading'!$Q$3:$Q$501,'2627PR_Loading'!$B$3:$B$501,"",0),"")</f>
        <v/>
      </c>
      <c r="K332" s="211" t="str">
        <f>IF(B332&lt;&gt;"",_xlfn.XLOOKUP(B332,'2627PR_Loading'!$E$3:$E$501,'2627PR_Loading'!$C$3:$C$501,"",0)&amp;_xlfn.XLOOKUP(B332,'2627PR_Loading'!$K$3:$K$501,'2627PR_Loading'!$C$3:$C$501,"",0)&amp;_xlfn.XLOOKUP(B332,'2627PR_Loading'!$Q$3:$Q$501,'2627PR_Loading'!$C$3:$C$501,"",0),"")</f>
        <v/>
      </c>
      <c r="P332" s="248" t="str">
        <f>IF(B332&lt;&gt;"",_xlfn.XLOOKUP(B332,'2627PR_Loading'!$E$3:$E$501,'2627PR_Loading'!$J$3:$J$501,"",0)&amp;_xlfn.XLOOKUP(B332,'2627PR_Loading'!$K$3:$K$501,'2627PR_Loading'!$P$3:$P$501,"",0)&amp;_xlfn.XLOOKUP(B332,'2627PR_Loading'!$Q$3:$Q$501,'2627PR_Loading'!$V$3:$V$501,"",0),"")</f>
        <v/>
      </c>
      <c r="Q332" s="98" t="str">
        <f>IF(B332&lt;&gt;"",_xlfn.XLOOKUP(B332,TableDispatch[Uniq Id],TableDispatch[Delivery Date],"",0),"")</f>
        <v/>
      </c>
      <c r="R332" s="98" t="str">
        <f>IF(B332&lt;&gt;"",_xlfn.XLOOKUP(B332,TableDispatch[Uniq Id],TableDispatch[Our Ch No.],"",0),"")</f>
        <v/>
      </c>
      <c r="T332" s="26" t="str">
        <f>IF(B332&lt;&gt;"",_xlfn.XLOOKUP(B332,TableDispatch[Uniq Id],TableDispatch[Eway Bill Out],"",0),"")</f>
        <v/>
      </c>
    </row>
    <row r="333" spans="5:20" x14ac:dyDescent="0.25">
      <c r="E333" s="99"/>
      <c r="J333" s="211" t="str">
        <f>IF(B333&lt;&gt;"",_xlfn.XLOOKUP(B333,'2627PR_Loading'!$E$3:$E$501,'2627PR_Loading'!$B$3:$B$501,"",0)&amp;_xlfn.XLOOKUP(B333,'2627PR_Loading'!$K$3:$K$501,'2627PR_Loading'!$B$3:$B$501,"",0)&amp;_xlfn.XLOOKUP(B333,'2627PR_Loading'!$Q$3:$Q$501,'2627PR_Loading'!$B$3:$B$501,"",0),"")</f>
        <v/>
      </c>
      <c r="K333" s="211" t="str">
        <f>IF(B333&lt;&gt;"",_xlfn.XLOOKUP(B333,'2627PR_Loading'!$E$3:$E$501,'2627PR_Loading'!$C$3:$C$501,"",0)&amp;_xlfn.XLOOKUP(B333,'2627PR_Loading'!$K$3:$K$501,'2627PR_Loading'!$C$3:$C$501,"",0)&amp;_xlfn.XLOOKUP(B333,'2627PR_Loading'!$Q$3:$Q$501,'2627PR_Loading'!$C$3:$C$501,"",0),"")</f>
        <v/>
      </c>
      <c r="P333" s="248" t="str">
        <f>IF(B333&lt;&gt;"",_xlfn.XLOOKUP(B333,'2627PR_Loading'!$E$3:$E$501,'2627PR_Loading'!$J$3:$J$501,"",0)&amp;_xlfn.XLOOKUP(B333,'2627PR_Loading'!$K$3:$K$501,'2627PR_Loading'!$P$3:$P$501,"",0)&amp;_xlfn.XLOOKUP(B333,'2627PR_Loading'!$Q$3:$Q$501,'2627PR_Loading'!$V$3:$V$501,"",0),"")</f>
        <v/>
      </c>
      <c r="Q333" s="98" t="str">
        <f>IF(B333&lt;&gt;"",_xlfn.XLOOKUP(B333,TableDispatch[Uniq Id],TableDispatch[Delivery Date],"",0),"")</f>
        <v/>
      </c>
      <c r="R333" s="98" t="str">
        <f>IF(B333&lt;&gt;"",_xlfn.XLOOKUP(B333,TableDispatch[Uniq Id],TableDispatch[Our Ch No.],"",0),"")</f>
        <v/>
      </c>
      <c r="T333" s="26" t="str">
        <f>IF(B333&lt;&gt;"",_xlfn.XLOOKUP(B333,TableDispatch[Uniq Id],TableDispatch[Eway Bill Out],"",0),"")</f>
        <v/>
      </c>
    </row>
    <row r="334" spans="5:20" x14ac:dyDescent="0.25">
      <c r="E334" s="99"/>
      <c r="J334" s="211" t="str">
        <f>IF(B334&lt;&gt;"",_xlfn.XLOOKUP(B334,'2627PR_Loading'!$E$3:$E$501,'2627PR_Loading'!$B$3:$B$501,"",0)&amp;_xlfn.XLOOKUP(B334,'2627PR_Loading'!$K$3:$K$501,'2627PR_Loading'!$B$3:$B$501,"",0)&amp;_xlfn.XLOOKUP(B334,'2627PR_Loading'!$Q$3:$Q$501,'2627PR_Loading'!$B$3:$B$501,"",0),"")</f>
        <v/>
      </c>
      <c r="K334" s="211" t="str">
        <f>IF(B334&lt;&gt;"",_xlfn.XLOOKUP(B334,'2627PR_Loading'!$E$3:$E$501,'2627PR_Loading'!$C$3:$C$501,"",0)&amp;_xlfn.XLOOKUP(B334,'2627PR_Loading'!$K$3:$K$501,'2627PR_Loading'!$C$3:$C$501,"",0)&amp;_xlfn.XLOOKUP(B334,'2627PR_Loading'!$Q$3:$Q$501,'2627PR_Loading'!$C$3:$C$501,"",0),"")</f>
        <v/>
      </c>
      <c r="P334" s="248" t="str">
        <f>IF(B334&lt;&gt;"",_xlfn.XLOOKUP(B334,'2627PR_Loading'!$E$3:$E$501,'2627PR_Loading'!$J$3:$J$501,"",0)&amp;_xlfn.XLOOKUP(B334,'2627PR_Loading'!$K$3:$K$501,'2627PR_Loading'!$P$3:$P$501,"",0)&amp;_xlfn.XLOOKUP(B334,'2627PR_Loading'!$Q$3:$Q$501,'2627PR_Loading'!$V$3:$V$501,"",0),"")</f>
        <v/>
      </c>
      <c r="Q334" s="98" t="str">
        <f>IF(B334&lt;&gt;"",_xlfn.XLOOKUP(B334,TableDispatch[Uniq Id],TableDispatch[Delivery Date],"",0),"")</f>
        <v/>
      </c>
      <c r="R334" s="98" t="str">
        <f>IF(B334&lt;&gt;"",_xlfn.XLOOKUP(B334,TableDispatch[Uniq Id],TableDispatch[Our Ch No.],"",0),"")</f>
        <v/>
      </c>
      <c r="T334" s="26" t="str">
        <f>IF(B334&lt;&gt;"",_xlfn.XLOOKUP(B334,TableDispatch[Uniq Id],TableDispatch[Eway Bill Out],"",0),"")</f>
        <v/>
      </c>
    </row>
    <row r="335" spans="5:20" x14ac:dyDescent="0.25">
      <c r="E335" s="99"/>
      <c r="J335" s="211" t="str">
        <f>IF(B335&lt;&gt;"",_xlfn.XLOOKUP(B335,'2627PR_Loading'!$E$3:$E$501,'2627PR_Loading'!$B$3:$B$501,"",0)&amp;_xlfn.XLOOKUP(B335,'2627PR_Loading'!$K$3:$K$501,'2627PR_Loading'!$B$3:$B$501,"",0)&amp;_xlfn.XLOOKUP(B335,'2627PR_Loading'!$Q$3:$Q$501,'2627PR_Loading'!$B$3:$B$501,"",0),"")</f>
        <v/>
      </c>
      <c r="K335" s="211" t="str">
        <f>IF(B335&lt;&gt;"",_xlfn.XLOOKUP(B335,'2627PR_Loading'!$E$3:$E$501,'2627PR_Loading'!$C$3:$C$501,"",0)&amp;_xlfn.XLOOKUP(B335,'2627PR_Loading'!$K$3:$K$501,'2627PR_Loading'!$C$3:$C$501,"",0)&amp;_xlfn.XLOOKUP(B335,'2627PR_Loading'!$Q$3:$Q$501,'2627PR_Loading'!$C$3:$C$501,"",0),"")</f>
        <v/>
      </c>
      <c r="P335" s="248" t="str">
        <f>IF(B335&lt;&gt;"",_xlfn.XLOOKUP(B335,'2627PR_Loading'!$E$3:$E$501,'2627PR_Loading'!$J$3:$J$501,"",0)&amp;_xlfn.XLOOKUP(B335,'2627PR_Loading'!$K$3:$K$501,'2627PR_Loading'!$P$3:$P$501,"",0)&amp;_xlfn.XLOOKUP(B335,'2627PR_Loading'!$Q$3:$Q$501,'2627PR_Loading'!$V$3:$V$501,"",0),"")</f>
        <v/>
      </c>
      <c r="Q335" s="98" t="str">
        <f>IF(B335&lt;&gt;"",_xlfn.XLOOKUP(B335,TableDispatch[Uniq Id],TableDispatch[Delivery Date],"",0),"")</f>
        <v/>
      </c>
      <c r="R335" s="98" t="str">
        <f>IF(B335&lt;&gt;"",_xlfn.XLOOKUP(B335,TableDispatch[Uniq Id],TableDispatch[Our Ch No.],"",0),"")</f>
        <v/>
      </c>
      <c r="T335" s="26" t="str">
        <f>IF(B335&lt;&gt;"",_xlfn.XLOOKUP(B335,TableDispatch[Uniq Id],TableDispatch[Eway Bill Out],"",0),"")</f>
        <v/>
      </c>
    </row>
    <row r="336" spans="5:20" x14ac:dyDescent="0.25">
      <c r="E336" s="99"/>
      <c r="J336" s="211" t="str">
        <f>IF(B336&lt;&gt;"",_xlfn.XLOOKUP(B336,'2627PR_Loading'!$E$3:$E$501,'2627PR_Loading'!$B$3:$B$501,"",0)&amp;_xlfn.XLOOKUP(B336,'2627PR_Loading'!$K$3:$K$501,'2627PR_Loading'!$B$3:$B$501,"",0)&amp;_xlfn.XLOOKUP(B336,'2627PR_Loading'!$Q$3:$Q$501,'2627PR_Loading'!$B$3:$B$501,"",0),"")</f>
        <v/>
      </c>
      <c r="K336" s="211" t="str">
        <f>IF(B336&lt;&gt;"",_xlfn.XLOOKUP(B336,'2627PR_Loading'!$E$3:$E$501,'2627PR_Loading'!$C$3:$C$501,"",0)&amp;_xlfn.XLOOKUP(B336,'2627PR_Loading'!$K$3:$K$501,'2627PR_Loading'!$C$3:$C$501,"",0)&amp;_xlfn.XLOOKUP(B336,'2627PR_Loading'!$Q$3:$Q$501,'2627PR_Loading'!$C$3:$C$501,"",0),"")</f>
        <v/>
      </c>
      <c r="P336" s="248" t="str">
        <f>IF(B336&lt;&gt;"",_xlfn.XLOOKUP(B336,'2627PR_Loading'!$E$3:$E$501,'2627PR_Loading'!$J$3:$J$501,"",0)&amp;_xlfn.XLOOKUP(B336,'2627PR_Loading'!$K$3:$K$501,'2627PR_Loading'!$P$3:$P$501,"",0)&amp;_xlfn.XLOOKUP(B336,'2627PR_Loading'!$Q$3:$Q$501,'2627PR_Loading'!$V$3:$V$501,"",0),"")</f>
        <v/>
      </c>
      <c r="Q336" s="98" t="str">
        <f>IF(B336&lt;&gt;"",_xlfn.XLOOKUP(B336,TableDispatch[Uniq Id],TableDispatch[Delivery Date],"",0),"")</f>
        <v/>
      </c>
      <c r="R336" s="98" t="str">
        <f>IF(B336&lt;&gt;"",_xlfn.XLOOKUP(B336,TableDispatch[Uniq Id],TableDispatch[Our Ch No.],"",0),"")</f>
        <v/>
      </c>
      <c r="T336" s="26" t="str">
        <f>IF(B336&lt;&gt;"",_xlfn.XLOOKUP(B336,TableDispatch[Uniq Id],TableDispatch[Eway Bill Out],"",0),"")</f>
        <v/>
      </c>
    </row>
    <row r="337" spans="5:20" x14ac:dyDescent="0.25">
      <c r="E337" s="99"/>
      <c r="J337" s="211" t="str">
        <f>IF(B337&lt;&gt;"",_xlfn.XLOOKUP(B337,'2627PR_Loading'!$E$3:$E$501,'2627PR_Loading'!$B$3:$B$501,"",0)&amp;_xlfn.XLOOKUP(B337,'2627PR_Loading'!$K$3:$K$501,'2627PR_Loading'!$B$3:$B$501,"",0)&amp;_xlfn.XLOOKUP(B337,'2627PR_Loading'!$Q$3:$Q$501,'2627PR_Loading'!$B$3:$B$501,"",0),"")</f>
        <v/>
      </c>
      <c r="K337" s="211" t="str">
        <f>IF(B337&lt;&gt;"",_xlfn.XLOOKUP(B337,'2627PR_Loading'!$E$3:$E$501,'2627PR_Loading'!$C$3:$C$501,"",0)&amp;_xlfn.XLOOKUP(B337,'2627PR_Loading'!$K$3:$K$501,'2627PR_Loading'!$C$3:$C$501,"",0)&amp;_xlfn.XLOOKUP(B337,'2627PR_Loading'!$Q$3:$Q$501,'2627PR_Loading'!$C$3:$C$501,"",0),"")</f>
        <v/>
      </c>
      <c r="P337" s="248" t="str">
        <f>IF(B337&lt;&gt;"",_xlfn.XLOOKUP(B337,'2627PR_Loading'!$E$3:$E$501,'2627PR_Loading'!$J$3:$J$501,"",0)&amp;_xlfn.XLOOKUP(B337,'2627PR_Loading'!$K$3:$K$501,'2627PR_Loading'!$P$3:$P$501,"",0)&amp;_xlfn.XLOOKUP(B337,'2627PR_Loading'!$Q$3:$Q$501,'2627PR_Loading'!$V$3:$V$501,"",0),"")</f>
        <v/>
      </c>
      <c r="Q337" s="98" t="str">
        <f>IF(B337&lt;&gt;"",_xlfn.XLOOKUP(B337,TableDispatch[Uniq Id],TableDispatch[Delivery Date],"",0),"")</f>
        <v/>
      </c>
      <c r="R337" s="98" t="str">
        <f>IF(B337&lt;&gt;"",_xlfn.XLOOKUP(B337,TableDispatch[Uniq Id],TableDispatch[Our Ch No.],"",0),"")</f>
        <v/>
      </c>
      <c r="T337" s="26" t="str">
        <f>IF(B337&lt;&gt;"",_xlfn.XLOOKUP(B337,TableDispatch[Uniq Id],TableDispatch[Eway Bill Out],"",0),"")</f>
        <v/>
      </c>
    </row>
    <row r="338" spans="5:20" x14ac:dyDescent="0.25">
      <c r="E338" s="99"/>
      <c r="J338" s="211" t="str">
        <f>IF(B338&lt;&gt;"",_xlfn.XLOOKUP(B338,'2627PR_Loading'!$E$3:$E$501,'2627PR_Loading'!$B$3:$B$501,"",0)&amp;_xlfn.XLOOKUP(B338,'2627PR_Loading'!$K$3:$K$501,'2627PR_Loading'!$B$3:$B$501,"",0)&amp;_xlfn.XLOOKUP(B338,'2627PR_Loading'!$Q$3:$Q$501,'2627PR_Loading'!$B$3:$B$501,"",0),"")</f>
        <v/>
      </c>
      <c r="K338" s="211" t="str">
        <f>IF(B338&lt;&gt;"",_xlfn.XLOOKUP(B338,'2627PR_Loading'!$E$3:$E$501,'2627PR_Loading'!$C$3:$C$501,"",0)&amp;_xlfn.XLOOKUP(B338,'2627PR_Loading'!$K$3:$K$501,'2627PR_Loading'!$C$3:$C$501,"",0)&amp;_xlfn.XLOOKUP(B338,'2627PR_Loading'!$Q$3:$Q$501,'2627PR_Loading'!$C$3:$C$501,"",0),"")</f>
        <v/>
      </c>
      <c r="P338" s="248" t="str">
        <f>IF(B338&lt;&gt;"",_xlfn.XLOOKUP(B338,'2627PR_Loading'!$E$3:$E$501,'2627PR_Loading'!$J$3:$J$501,"",0)&amp;_xlfn.XLOOKUP(B338,'2627PR_Loading'!$K$3:$K$501,'2627PR_Loading'!$P$3:$P$501,"",0)&amp;_xlfn.XLOOKUP(B338,'2627PR_Loading'!$Q$3:$Q$501,'2627PR_Loading'!$V$3:$V$501,"",0),"")</f>
        <v/>
      </c>
      <c r="Q338" s="98" t="str">
        <f>IF(B338&lt;&gt;"",_xlfn.XLOOKUP(B338,TableDispatch[Uniq Id],TableDispatch[Delivery Date],"",0),"")</f>
        <v/>
      </c>
      <c r="R338" s="98" t="str">
        <f>IF(B338&lt;&gt;"",_xlfn.XLOOKUP(B338,TableDispatch[Uniq Id],TableDispatch[Our Ch No.],"",0),"")</f>
        <v/>
      </c>
      <c r="T338" s="26" t="str">
        <f>IF(B338&lt;&gt;"",_xlfn.XLOOKUP(B338,TableDispatch[Uniq Id],TableDispatch[Eway Bill Out],"",0),"")</f>
        <v/>
      </c>
    </row>
    <row r="339" spans="5:20" x14ac:dyDescent="0.25">
      <c r="E339" s="99"/>
      <c r="J339" s="211" t="str">
        <f>IF(B339&lt;&gt;"",_xlfn.XLOOKUP(B339,'2627PR_Loading'!$E$3:$E$501,'2627PR_Loading'!$B$3:$B$501,"",0)&amp;_xlfn.XLOOKUP(B339,'2627PR_Loading'!$K$3:$K$501,'2627PR_Loading'!$B$3:$B$501,"",0)&amp;_xlfn.XLOOKUP(B339,'2627PR_Loading'!$Q$3:$Q$501,'2627PR_Loading'!$B$3:$B$501,"",0),"")</f>
        <v/>
      </c>
      <c r="K339" s="211" t="str">
        <f>IF(B339&lt;&gt;"",_xlfn.XLOOKUP(B339,'2627PR_Loading'!$E$3:$E$501,'2627PR_Loading'!$C$3:$C$501,"",0)&amp;_xlfn.XLOOKUP(B339,'2627PR_Loading'!$K$3:$K$501,'2627PR_Loading'!$C$3:$C$501,"",0)&amp;_xlfn.XLOOKUP(B339,'2627PR_Loading'!$Q$3:$Q$501,'2627PR_Loading'!$C$3:$C$501,"",0),"")</f>
        <v/>
      </c>
      <c r="P339" s="248" t="str">
        <f>IF(B339&lt;&gt;"",_xlfn.XLOOKUP(B339,'2627PR_Loading'!$E$3:$E$501,'2627PR_Loading'!$J$3:$J$501,"",0)&amp;_xlfn.XLOOKUP(B339,'2627PR_Loading'!$K$3:$K$501,'2627PR_Loading'!$P$3:$P$501,"",0)&amp;_xlfn.XLOOKUP(B339,'2627PR_Loading'!$Q$3:$Q$501,'2627PR_Loading'!$V$3:$V$501,"",0),"")</f>
        <v/>
      </c>
      <c r="Q339" s="98" t="str">
        <f>IF(B339&lt;&gt;"",_xlfn.XLOOKUP(B339,TableDispatch[Uniq Id],TableDispatch[Delivery Date],"",0),"")</f>
        <v/>
      </c>
      <c r="R339" s="98" t="str">
        <f>IF(B339&lt;&gt;"",_xlfn.XLOOKUP(B339,TableDispatch[Uniq Id],TableDispatch[Our Ch No.],"",0),"")</f>
        <v/>
      </c>
      <c r="T339" s="26" t="str">
        <f>IF(B339&lt;&gt;"",_xlfn.XLOOKUP(B339,TableDispatch[Uniq Id],TableDispatch[Eway Bill Out],"",0),"")</f>
        <v/>
      </c>
    </row>
    <row r="340" spans="5:20" x14ac:dyDescent="0.25">
      <c r="E340" s="99"/>
      <c r="J340" s="211" t="str">
        <f>IF(B340&lt;&gt;"",_xlfn.XLOOKUP(B340,'2627PR_Loading'!$E$3:$E$501,'2627PR_Loading'!$B$3:$B$501,"",0)&amp;_xlfn.XLOOKUP(B340,'2627PR_Loading'!$K$3:$K$501,'2627PR_Loading'!$B$3:$B$501,"",0)&amp;_xlfn.XLOOKUP(B340,'2627PR_Loading'!$Q$3:$Q$501,'2627PR_Loading'!$B$3:$B$501,"",0),"")</f>
        <v/>
      </c>
      <c r="K340" s="211" t="str">
        <f>IF(B340&lt;&gt;"",_xlfn.XLOOKUP(B340,'2627PR_Loading'!$E$3:$E$501,'2627PR_Loading'!$C$3:$C$501,"",0)&amp;_xlfn.XLOOKUP(B340,'2627PR_Loading'!$K$3:$K$501,'2627PR_Loading'!$C$3:$C$501,"",0)&amp;_xlfn.XLOOKUP(B340,'2627PR_Loading'!$Q$3:$Q$501,'2627PR_Loading'!$C$3:$C$501,"",0),"")</f>
        <v/>
      </c>
      <c r="P340" s="248" t="str">
        <f>IF(B340&lt;&gt;"",_xlfn.XLOOKUP(B340,'2627PR_Loading'!$E$3:$E$501,'2627PR_Loading'!$J$3:$J$501,"",0)&amp;_xlfn.XLOOKUP(B340,'2627PR_Loading'!$K$3:$K$501,'2627PR_Loading'!$P$3:$P$501,"",0)&amp;_xlfn.XLOOKUP(B340,'2627PR_Loading'!$Q$3:$Q$501,'2627PR_Loading'!$V$3:$V$501,"",0),"")</f>
        <v/>
      </c>
      <c r="Q340" s="98" t="str">
        <f>IF(B340&lt;&gt;"",_xlfn.XLOOKUP(B340,TableDispatch[Uniq Id],TableDispatch[Delivery Date],"",0),"")</f>
        <v/>
      </c>
      <c r="R340" s="98" t="str">
        <f>IF(B340&lt;&gt;"",_xlfn.XLOOKUP(B340,TableDispatch[Uniq Id],TableDispatch[Our Ch No.],"",0),"")</f>
        <v/>
      </c>
      <c r="T340" s="26" t="str">
        <f>IF(B340&lt;&gt;"",_xlfn.XLOOKUP(B340,TableDispatch[Uniq Id],TableDispatch[Eway Bill Out],"",0),"")</f>
        <v/>
      </c>
    </row>
    <row r="341" spans="5:20" x14ac:dyDescent="0.25">
      <c r="E341" s="99"/>
      <c r="J341" s="211" t="str">
        <f>IF(B341&lt;&gt;"",_xlfn.XLOOKUP(B341,'2627PR_Loading'!$E$3:$E$501,'2627PR_Loading'!$B$3:$B$501,"",0)&amp;_xlfn.XLOOKUP(B341,'2627PR_Loading'!$K$3:$K$501,'2627PR_Loading'!$B$3:$B$501,"",0)&amp;_xlfn.XLOOKUP(B341,'2627PR_Loading'!$Q$3:$Q$501,'2627PR_Loading'!$B$3:$B$501,"",0),"")</f>
        <v/>
      </c>
      <c r="K341" s="211" t="str">
        <f>IF(B341&lt;&gt;"",_xlfn.XLOOKUP(B341,'2627PR_Loading'!$E$3:$E$501,'2627PR_Loading'!$C$3:$C$501,"",0)&amp;_xlfn.XLOOKUP(B341,'2627PR_Loading'!$K$3:$K$501,'2627PR_Loading'!$C$3:$C$501,"",0)&amp;_xlfn.XLOOKUP(B341,'2627PR_Loading'!$Q$3:$Q$501,'2627PR_Loading'!$C$3:$C$501,"",0),"")</f>
        <v/>
      </c>
      <c r="P341" s="248" t="str">
        <f>IF(B341&lt;&gt;"",_xlfn.XLOOKUP(B341,'2627PR_Loading'!$E$3:$E$501,'2627PR_Loading'!$J$3:$J$501,"",0)&amp;_xlfn.XLOOKUP(B341,'2627PR_Loading'!$K$3:$K$501,'2627PR_Loading'!$P$3:$P$501,"",0)&amp;_xlfn.XLOOKUP(B341,'2627PR_Loading'!$Q$3:$Q$501,'2627PR_Loading'!$V$3:$V$501,"",0),"")</f>
        <v/>
      </c>
      <c r="Q341" s="98" t="str">
        <f>IF(B341&lt;&gt;"",_xlfn.XLOOKUP(B341,TableDispatch[Uniq Id],TableDispatch[Delivery Date],"",0),"")</f>
        <v/>
      </c>
      <c r="R341" s="98" t="str">
        <f>IF(B341&lt;&gt;"",_xlfn.XLOOKUP(B341,TableDispatch[Uniq Id],TableDispatch[Our Ch No.],"",0),"")</f>
        <v/>
      </c>
      <c r="T341" s="26" t="str">
        <f>IF(B341&lt;&gt;"",_xlfn.XLOOKUP(B341,TableDispatch[Uniq Id],TableDispatch[Eway Bill Out],"",0),"")</f>
        <v/>
      </c>
    </row>
    <row r="342" spans="5:20" x14ac:dyDescent="0.25">
      <c r="E342" s="99"/>
      <c r="J342" s="211" t="str">
        <f>IF(B342&lt;&gt;"",_xlfn.XLOOKUP(B342,'2627PR_Loading'!$E$3:$E$501,'2627PR_Loading'!$B$3:$B$501,"",0)&amp;_xlfn.XLOOKUP(B342,'2627PR_Loading'!$K$3:$K$501,'2627PR_Loading'!$B$3:$B$501,"",0)&amp;_xlfn.XLOOKUP(B342,'2627PR_Loading'!$Q$3:$Q$501,'2627PR_Loading'!$B$3:$B$501,"",0),"")</f>
        <v/>
      </c>
      <c r="K342" s="211" t="str">
        <f>IF(B342&lt;&gt;"",_xlfn.XLOOKUP(B342,'2627PR_Loading'!$E$3:$E$501,'2627PR_Loading'!$C$3:$C$501,"",0)&amp;_xlfn.XLOOKUP(B342,'2627PR_Loading'!$K$3:$K$501,'2627PR_Loading'!$C$3:$C$501,"",0)&amp;_xlfn.XLOOKUP(B342,'2627PR_Loading'!$Q$3:$Q$501,'2627PR_Loading'!$C$3:$C$501,"",0),"")</f>
        <v/>
      </c>
      <c r="P342" s="248" t="str">
        <f>IF(B342&lt;&gt;"",_xlfn.XLOOKUP(B342,'2627PR_Loading'!$E$3:$E$501,'2627PR_Loading'!$J$3:$J$501,"",0)&amp;_xlfn.XLOOKUP(B342,'2627PR_Loading'!$K$3:$K$501,'2627PR_Loading'!$P$3:$P$501,"",0)&amp;_xlfn.XLOOKUP(B342,'2627PR_Loading'!$Q$3:$Q$501,'2627PR_Loading'!$V$3:$V$501,"",0),"")</f>
        <v/>
      </c>
      <c r="Q342" s="98" t="str">
        <f>IF(B342&lt;&gt;"",_xlfn.XLOOKUP(B342,TableDispatch[Uniq Id],TableDispatch[Delivery Date],"",0),"")</f>
        <v/>
      </c>
      <c r="R342" s="98" t="str">
        <f>IF(B342&lt;&gt;"",_xlfn.XLOOKUP(B342,TableDispatch[Uniq Id],TableDispatch[Our Ch No.],"",0),"")</f>
        <v/>
      </c>
      <c r="T342" s="26" t="str">
        <f>IF(B342&lt;&gt;"",_xlfn.XLOOKUP(B342,TableDispatch[Uniq Id],TableDispatch[Eway Bill Out],"",0),"")</f>
        <v/>
      </c>
    </row>
    <row r="343" spans="5:20" x14ac:dyDescent="0.25">
      <c r="E343" s="99"/>
      <c r="J343" s="211" t="str">
        <f>IF(B343&lt;&gt;"",_xlfn.XLOOKUP(B343,'2627PR_Loading'!$E$3:$E$501,'2627PR_Loading'!$B$3:$B$501,"",0)&amp;_xlfn.XLOOKUP(B343,'2627PR_Loading'!$K$3:$K$501,'2627PR_Loading'!$B$3:$B$501,"",0)&amp;_xlfn.XLOOKUP(B343,'2627PR_Loading'!$Q$3:$Q$501,'2627PR_Loading'!$B$3:$B$501,"",0),"")</f>
        <v/>
      </c>
      <c r="K343" s="211" t="str">
        <f>IF(B343&lt;&gt;"",_xlfn.XLOOKUP(B343,'2627PR_Loading'!$E$3:$E$501,'2627PR_Loading'!$C$3:$C$501,"",0)&amp;_xlfn.XLOOKUP(B343,'2627PR_Loading'!$K$3:$K$501,'2627PR_Loading'!$C$3:$C$501,"",0)&amp;_xlfn.XLOOKUP(B343,'2627PR_Loading'!$Q$3:$Q$501,'2627PR_Loading'!$C$3:$C$501,"",0),"")</f>
        <v/>
      </c>
      <c r="P343" s="248" t="str">
        <f>IF(B343&lt;&gt;"",_xlfn.XLOOKUP(B343,'2627PR_Loading'!$E$3:$E$501,'2627PR_Loading'!$J$3:$J$501,"",0)&amp;_xlfn.XLOOKUP(B343,'2627PR_Loading'!$K$3:$K$501,'2627PR_Loading'!$P$3:$P$501,"",0)&amp;_xlfn.XLOOKUP(B343,'2627PR_Loading'!$Q$3:$Q$501,'2627PR_Loading'!$V$3:$V$501,"",0),"")</f>
        <v/>
      </c>
      <c r="Q343" s="98" t="str">
        <f>IF(B343&lt;&gt;"",_xlfn.XLOOKUP(B343,TableDispatch[Uniq Id],TableDispatch[Delivery Date],"",0),"")</f>
        <v/>
      </c>
      <c r="R343" s="98" t="str">
        <f>IF(B343&lt;&gt;"",_xlfn.XLOOKUP(B343,TableDispatch[Uniq Id],TableDispatch[Our Ch No.],"",0),"")</f>
        <v/>
      </c>
      <c r="T343" s="26" t="str">
        <f>IF(B343&lt;&gt;"",_xlfn.XLOOKUP(B343,TableDispatch[Uniq Id],TableDispatch[Eway Bill Out],"",0),"")</f>
        <v/>
      </c>
    </row>
    <row r="344" spans="5:20" x14ac:dyDescent="0.25">
      <c r="E344" s="99"/>
      <c r="J344" s="211" t="str">
        <f>IF(B344&lt;&gt;"",_xlfn.XLOOKUP(B344,'2627PR_Loading'!$E$3:$E$501,'2627PR_Loading'!$B$3:$B$501,"",0)&amp;_xlfn.XLOOKUP(B344,'2627PR_Loading'!$K$3:$K$501,'2627PR_Loading'!$B$3:$B$501,"",0)&amp;_xlfn.XLOOKUP(B344,'2627PR_Loading'!$Q$3:$Q$501,'2627PR_Loading'!$B$3:$B$501,"",0),"")</f>
        <v/>
      </c>
      <c r="K344" s="211" t="str">
        <f>IF(B344&lt;&gt;"",_xlfn.XLOOKUP(B344,'2627PR_Loading'!$E$3:$E$501,'2627PR_Loading'!$C$3:$C$501,"",0)&amp;_xlfn.XLOOKUP(B344,'2627PR_Loading'!$K$3:$K$501,'2627PR_Loading'!$C$3:$C$501,"",0)&amp;_xlfn.XLOOKUP(B344,'2627PR_Loading'!$Q$3:$Q$501,'2627PR_Loading'!$C$3:$C$501,"",0),"")</f>
        <v/>
      </c>
      <c r="P344" s="248" t="str">
        <f>IF(B344&lt;&gt;"",_xlfn.XLOOKUP(B344,'2627PR_Loading'!$E$3:$E$501,'2627PR_Loading'!$J$3:$J$501,"",0)&amp;_xlfn.XLOOKUP(B344,'2627PR_Loading'!$K$3:$K$501,'2627PR_Loading'!$P$3:$P$501,"",0)&amp;_xlfn.XLOOKUP(B344,'2627PR_Loading'!$Q$3:$Q$501,'2627PR_Loading'!$V$3:$V$501,"",0),"")</f>
        <v/>
      </c>
      <c r="Q344" s="98" t="str">
        <f>IF(B344&lt;&gt;"",_xlfn.XLOOKUP(B344,TableDispatch[Uniq Id],TableDispatch[Delivery Date],"",0),"")</f>
        <v/>
      </c>
      <c r="R344" s="98" t="str">
        <f>IF(B344&lt;&gt;"",_xlfn.XLOOKUP(B344,TableDispatch[Uniq Id],TableDispatch[Our Ch No.],"",0),"")</f>
        <v/>
      </c>
      <c r="T344" s="26" t="str">
        <f>IF(B344&lt;&gt;"",_xlfn.XLOOKUP(B344,TableDispatch[Uniq Id],TableDispatch[Eway Bill Out],"",0),"")</f>
        <v/>
      </c>
    </row>
    <row r="345" spans="5:20" x14ac:dyDescent="0.25">
      <c r="E345" s="99"/>
      <c r="J345" s="211" t="str">
        <f>IF(B345&lt;&gt;"",_xlfn.XLOOKUP(B345,'2627PR_Loading'!$E$3:$E$501,'2627PR_Loading'!$B$3:$B$501,"",0)&amp;_xlfn.XLOOKUP(B345,'2627PR_Loading'!$K$3:$K$501,'2627PR_Loading'!$B$3:$B$501,"",0)&amp;_xlfn.XLOOKUP(B345,'2627PR_Loading'!$Q$3:$Q$501,'2627PR_Loading'!$B$3:$B$501,"",0),"")</f>
        <v/>
      </c>
      <c r="K345" s="211" t="str">
        <f>IF(B345&lt;&gt;"",_xlfn.XLOOKUP(B345,'2627PR_Loading'!$E$3:$E$501,'2627PR_Loading'!$C$3:$C$501,"",0)&amp;_xlfn.XLOOKUP(B345,'2627PR_Loading'!$K$3:$K$501,'2627PR_Loading'!$C$3:$C$501,"",0)&amp;_xlfn.XLOOKUP(B345,'2627PR_Loading'!$Q$3:$Q$501,'2627PR_Loading'!$C$3:$C$501,"",0),"")</f>
        <v/>
      </c>
      <c r="P345" s="248" t="str">
        <f>IF(B345&lt;&gt;"",_xlfn.XLOOKUP(B345,'2627PR_Loading'!$E$3:$E$501,'2627PR_Loading'!$J$3:$J$501,"",0)&amp;_xlfn.XLOOKUP(B345,'2627PR_Loading'!$K$3:$K$501,'2627PR_Loading'!$P$3:$P$501,"",0)&amp;_xlfn.XLOOKUP(B345,'2627PR_Loading'!$Q$3:$Q$501,'2627PR_Loading'!$V$3:$V$501,"",0),"")</f>
        <v/>
      </c>
      <c r="Q345" s="98" t="str">
        <f>IF(B345&lt;&gt;"",_xlfn.XLOOKUP(B345,TableDispatch[Uniq Id],TableDispatch[Delivery Date],"",0),"")</f>
        <v/>
      </c>
      <c r="R345" s="98" t="str">
        <f>IF(B345&lt;&gt;"",_xlfn.XLOOKUP(B345,TableDispatch[Uniq Id],TableDispatch[Our Ch No.],"",0),"")</f>
        <v/>
      </c>
      <c r="T345" s="26" t="str">
        <f>IF(B345&lt;&gt;"",_xlfn.XLOOKUP(B345,TableDispatch[Uniq Id],TableDispatch[Eway Bill Out],"",0),"")</f>
        <v/>
      </c>
    </row>
    <row r="346" spans="5:20" x14ac:dyDescent="0.25">
      <c r="E346" s="99"/>
      <c r="J346" s="211" t="str">
        <f>IF(B346&lt;&gt;"",_xlfn.XLOOKUP(B346,'2627PR_Loading'!$E$3:$E$501,'2627PR_Loading'!$B$3:$B$501,"",0)&amp;_xlfn.XLOOKUP(B346,'2627PR_Loading'!$K$3:$K$501,'2627PR_Loading'!$B$3:$B$501,"",0)&amp;_xlfn.XLOOKUP(B346,'2627PR_Loading'!$Q$3:$Q$501,'2627PR_Loading'!$B$3:$B$501,"",0),"")</f>
        <v/>
      </c>
      <c r="K346" s="211" t="str">
        <f>IF(B346&lt;&gt;"",_xlfn.XLOOKUP(B346,'2627PR_Loading'!$E$3:$E$501,'2627PR_Loading'!$C$3:$C$501,"",0)&amp;_xlfn.XLOOKUP(B346,'2627PR_Loading'!$K$3:$K$501,'2627PR_Loading'!$C$3:$C$501,"",0)&amp;_xlfn.XLOOKUP(B346,'2627PR_Loading'!$Q$3:$Q$501,'2627PR_Loading'!$C$3:$C$501,"",0),"")</f>
        <v/>
      </c>
      <c r="P346" s="248" t="str">
        <f>IF(B346&lt;&gt;"",_xlfn.XLOOKUP(B346,'2627PR_Loading'!$E$3:$E$501,'2627PR_Loading'!$J$3:$J$501,"",0)&amp;_xlfn.XLOOKUP(B346,'2627PR_Loading'!$K$3:$K$501,'2627PR_Loading'!$P$3:$P$501,"",0)&amp;_xlfn.XLOOKUP(B346,'2627PR_Loading'!$Q$3:$Q$501,'2627PR_Loading'!$V$3:$V$501,"",0),"")</f>
        <v/>
      </c>
      <c r="Q346" s="98" t="str">
        <f>IF(B346&lt;&gt;"",_xlfn.XLOOKUP(B346,TableDispatch[Uniq Id],TableDispatch[Delivery Date],"",0),"")</f>
        <v/>
      </c>
      <c r="R346" s="98" t="str">
        <f>IF(B346&lt;&gt;"",_xlfn.XLOOKUP(B346,TableDispatch[Uniq Id],TableDispatch[Our Ch No.],"",0),"")</f>
        <v/>
      </c>
      <c r="T346" s="26" t="str">
        <f>IF(B346&lt;&gt;"",_xlfn.XLOOKUP(B346,TableDispatch[Uniq Id],TableDispatch[Eway Bill Out],"",0),"")</f>
        <v/>
      </c>
    </row>
    <row r="347" spans="5:20" x14ac:dyDescent="0.25">
      <c r="E347" s="99"/>
      <c r="J347" s="211" t="str">
        <f>IF(B347&lt;&gt;"",_xlfn.XLOOKUP(B347,'2627PR_Loading'!$E$3:$E$501,'2627PR_Loading'!$B$3:$B$501,"",0)&amp;_xlfn.XLOOKUP(B347,'2627PR_Loading'!$K$3:$K$501,'2627PR_Loading'!$B$3:$B$501,"",0)&amp;_xlfn.XLOOKUP(B347,'2627PR_Loading'!$Q$3:$Q$501,'2627PR_Loading'!$B$3:$B$501,"",0),"")</f>
        <v/>
      </c>
      <c r="K347" s="211" t="str">
        <f>IF(B347&lt;&gt;"",_xlfn.XLOOKUP(B347,'2627PR_Loading'!$E$3:$E$501,'2627PR_Loading'!$C$3:$C$501,"",0)&amp;_xlfn.XLOOKUP(B347,'2627PR_Loading'!$K$3:$K$501,'2627PR_Loading'!$C$3:$C$501,"",0)&amp;_xlfn.XLOOKUP(B347,'2627PR_Loading'!$Q$3:$Q$501,'2627PR_Loading'!$C$3:$C$501,"",0),"")</f>
        <v/>
      </c>
      <c r="P347" s="248" t="str">
        <f>IF(B347&lt;&gt;"",_xlfn.XLOOKUP(B347,'2627PR_Loading'!$E$3:$E$501,'2627PR_Loading'!$J$3:$J$501,"",0)&amp;_xlfn.XLOOKUP(B347,'2627PR_Loading'!$K$3:$K$501,'2627PR_Loading'!$P$3:$P$501,"",0)&amp;_xlfn.XLOOKUP(B347,'2627PR_Loading'!$Q$3:$Q$501,'2627PR_Loading'!$V$3:$V$501,"",0),"")</f>
        <v/>
      </c>
      <c r="Q347" s="98" t="str">
        <f>IF(B347&lt;&gt;"",_xlfn.XLOOKUP(B347,TableDispatch[Uniq Id],TableDispatch[Delivery Date],"",0),"")</f>
        <v/>
      </c>
      <c r="R347" s="98" t="str">
        <f>IF(B347&lt;&gt;"",_xlfn.XLOOKUP(B347,TableDispatch[Uniq Id],TableDispatch[Our Ch No.],"",0),"")</f>
        <v/>
      </c>
      <c r="T347" s="26" t="str">
        <f>IF(B347&lt;&gt;"",_xlfn.XLOOKUP(B347,TableDispatch[Uniq Id],TableDispatch[Eway Bill Out],"",0),"")</f>
        <v/>
      </c>
    </row>
    <row r="348" spans="5:20" x14ac:dyDescent="0.25">
      <c r="E348" s="99"/>
      <c r="J348" s="211" t="str">
        <f>IF(B348&lt;&gt;"",_xlfn.XLOOKUP(B348,'2627PR_Loading'!$E$3:$E$501,'2627PR_Loading'!$B$3:$B$501,"",0)&amp;_xlfn.XLOOKUP(B348,'2627PR_Loading'!$K$3:$K$501,'2627PR_Loading'!$B$3:$B$501,"",0)&amp;_xlfn.XLOOKUP(B348,'2627PR_Loading'!$Q$3:$Q$501,'2627PR_Loading'!$B$3:$B$501,"",0),"")</f>
        <v/>
      </c>
      <c r="K348" s="211" t="str">
        <f>IF(B348&lt;&gt;"",_xlfn.XLOOKUP(B348,'2627PR_Loading'!$E$3:$E$501,'2627PR_Loading'!$C$3:$C$501,"",0)&amp;_xlfn.XLOOKUP(B348,'2627PR_Loading'!$K$3:$K$501,'2627PR_Loading'!$C$3:$C$501,"",0)&amp;_xlfn.XLOOKUP(B348,'2627PR_Loading'!$Q$3:$Q$501,'2627PR_Loading'!$C$3:$C$501,"",0),"")</f>
        <v/>
      </c>
      <c r="P348" s="248" t="str">
        <f>IF(B348&lt;&gt;"",_xlfn.XLOOKUP(B348,'2627PR_Loading'!$E$3:$E$501,'2627PR_Loading'!$J$3:$J$501,"",0)&amp;_xlfn.XLOOKUP(B348,'2627PR_Loading'!$K$3:$K$501,'2627PR_Loading'!$P$3:$P$501,"",0)&amp;_xlfn.XLOOKUP(B348,'2627PR_Loading'!$Q$3:$Q$501,'2627PR_Loading'!$V$3:$V$501,"",0),"")</f>
        <v/>
      </c>
      <c r="Q348" s="98" t="str">
        <f>IF(B348&lt;&gt;"",_xlfn.XLOOKUP(B348,TableDispatch[Uniq Id],TableDispatch[Delivery Date],"",0),"")</f>
        <v/>
      </c>
      <c r="R348" s="98" t="str">
        <f>IF(B348&lt;&gt;"",_xlfn.XLOOKUP(B348,TableDispatch[Uniq Id],TableDispatch[Our Ch No.],"",0),"")</f>
        <v/>
      </c>
      <c r="T348" s="26" t="str">
        <f>IF(B348&lt;&gt;"",_xlfn.XLOOKUP(B348,TableDispatch[Uniq Id],TableDispatch[Eway Bill Out],"",0),"")</f>
        <v/>
      </c>
    </row>
    <row r="349" spans="5:20" x14ac:dyDescent="0.25">
      <c r="E349" s="99"/>
      <c r="J349" s="211" t="str">
        <f>IF(B349&lt;&gt;"",_xlfn.XLOOKUP(B349,'2627PR_Loading'!$E$3:$E$501,'2627PR_Loading'!$B$3:$B$501,"",0)&amp;_xlfn.XLOOKUP(B349,'2627PR_Loading'!$K$3:$K$501,'2627PR_Loading'!$B$3:$B$501,"",0)&amp;_xlfn.XLOOKUP(B349,'2627PR_Loading'!$Q$3:$Q$501,'2627PR_Loading'!$B$3:$B$501,"",0),"")</f>
        <v/>
      </c>
      <c r="K349" s="211" t="str">
        <f>IF(B349&lt;&gt;"",_xlfn.XLOOKUP(B349,'2627PR_Loading'!$E$3:$E$501,'2627PR_Loading'!$C$3:$C$501,"",0)&amp;_xlfn.XLOOKUP(B349,'2627PR_Loading'!$K$3:$K$501,'2627PR_Loading'!$C$3:$C$501,"",0)&amp;_xlfn.XLOOKUP(B349,'2627PR_Loading'!$Q$3:$Q$501,'2627PR_Loading'!$C$3:$C$501,"",0),"")</f>
        <v/>
      </c>
      <c r="P349" s="248" t="str">
        <f>IF(B349&lt;&gt;"",_xlfn.XLOOKUP(B349,'2627PR_Loading'!$E$3:$E$501,'2627PR_Loading'!$J$3:$J$501,"",0)&amp;_xlfn.XLOOKUP(B349,'2627PR_Loading'!$K$3:$K$501,'2627PR_Loading'!$P$3:$P$501,"",0)&amp;_xlfn.XLOOKUP(B349,'2627PR_Loading'!$Q$3:$Q$501,'2627PR_Loading'!$V$3:$V$501,"",0),"")</f>
        <v/>
      </c>
      <c r="Q349" s="98" t="str">
        <f>IF(B349&lt;&gt;"",_xlfn.XLOOKUP(B349,TableDispatch[Uniq Id],TableDispatch[Delivery Date],"",0),"")</f>
        <v/>
      </c>
      <c r="R349" s="98" t="str">
        <f>IF(B349&lt;&gt;"",_xlfn.XLOOKUP(B349,TableDispatch[Uniq Id],TableDispatch[Our Ch No.],"",0),"")</f>
        <v/>
      </c>
      <c r="T349" s="26" t="str">
        <f>IF(B349&lt;&gt;"",_xlfn.XLOOKUP(B349,TableDispatch[Uniq Id],TableDispatch[Eway Bill Out],"",0),"")</f>
        <v/>
      </c>
    </row>
    <row r="350" spans="5:20" x14ac:dyDescent="0.25">
      <c r="E350" s="99"/>
      <c r="J350" s="211" t="str">
        <f>IF(B350&lt;&gt;"",_xlfn.XLOOKUP(B350,'2627PR_Loading'!$E$3:$E$501,'2627PR_Loading'!$B$3:$B$501,"",0)&amp;_xlfn.XLOOKUP(B350,'2627PR_Loading'!$K$3:$K$501,'2627PR_Loading'!$B$3:$B$501,"",0)&amp;_xlfn.XLOOKUP(B350,'2627PR_Loading'!$Q$3:$Q$501,'2627PR_Loading'!$B$3:$B$501,"",0),"")</f>
        <v/>
      </c>
      <c r="K350" s="211" t="str">
        <f>IF(B350&lt;&gt;"",_xlfn.XLOOKUP(B350,'2627PR_Loading'!$E$3:$E$501,'2627PR_Loading'!$C$3:$C$501,"",0)&amp;_xlfn.XLOOKUP(B350,'2627PR_Loading'!$K$3:$K$501,'2627PR_Loading'!$C$3:$C$501,"",0)&amp;_xlfn.XLOOKUP(B350,'2627PR_Loading'!$Q$3:$Q$501,'2627PR_Loading'!$C$3:$C$501,"",0),"")</f>
        <v/>
      </c>
      <c r="P350" s="248" t="str">
        <f>IF(B350&lt;&gt;"",_xlfn.XLOOKUP(B350,'2627PR_Loading'!$E$3:$E$501,'2627PR_Loading'!$J$3:$J$501,"",0)&amp;_xlfn.XLOOKUP(B350,'2627PR_Loading'!$K$3:$K$501,'2627PR_Loading'!$P$3:$P$501,"",0)&amp;_xlfn.XLOOKUP(B350,'2627PR_Loading'!$Q$3:$Q$501,'2627PR_Loading'!$V$3:$V$501,"",0),"")</f>
        <v/>
      </c>
      <c r="Q350" s="98" t="str">
        <f>IF(B350&lt;&gt;"",_xlfn.XLOOKUP(B350,TableDispatch[Uniq Id],TableDispatch[Delivery Date],"",0),"")</f>
        <v/>
      </c>
      <c r="R350" s="98" t="str">
        <f>IF(B350&lt;&gt;"",_xlfn.XLOOKUP(B350,TableDispatch[Uniq Id],TableDispatch[Our Ch No.],"",0),"")</f>
        <v/>
      </c>
      <c r="T350" s="26" t="str">
        <f>IF(B350&lt;&gt;"",_xlfn.XLOOKUP(B350,TableDispatch[Uniq Id],TableDispatch[Eway Bill Out],"",0),"")</f>
        <v/>
      </c>
    </row>
    <row r="351" spans="5:20" x14ac:dyDescent="0.25">
      <c r="E351" s="99"/>
      <c r="J351" s="211" t="str">
        <f>IF(B351&lt;&gt;"",_xlfn.XLOOKUP(B351,'2627PR_Loading'!$E$3:$E$501,'2627PR_Loading'!$B$3:$B$501,"",0)&amp;_xlfn.XLOOKUP(B351,'2627PR_Loading'!$K$3:$K$501,'2627PR_Loading'!$B$3:$B$501,"",0)&amp;_xlfn.XLOOKUP(B351,'2627PR_Loading'!$Q$3:$Q$501,'2627PR_Loading'!$B$3:$B$501,"",0),"")</f>
        <v/>
      </c>
      <c r="K351" s="211" t="str">
        <f>IF(B351&lt;&gt;"",_xlfn.XLOOKUP(B351,'2627PR_Loading'!$E$3:$E$501,'2627PR_Loading'!$C$3:$C$501,"",0)&amp;_xlfn.XLOOKUP(B351,'2627PR_Loading'!$K$3:$K$501,'2627PR_Loading'!$C$3:$C$501,"",0)&amp;_xlfn.XLOOKUP(B351,'2627PR_Loading'!$Q$3:$Q$501,'2627PR_Loading'!$C$3:$C$501,"",0),"")</f>
        <v/>
      </c>
      <c r="P351" s="248" t="str">
        <f>IF(B351&lt;&gt;"",_xlfn.XLOOKUP(B351,'2627PR_Loading'!$E$3:$E$501,'2627PR_Loading'!$J$3:$J$501,"",0)&amp;_xlfn.XLOOKUP(B351,'2627PR_Loading'!$K$3:$K$501,'2627PR_Loading'!$P$3:$P$501,"",0)&amp;_xlfn.XLOOKUP(B351,'2627PR_Loading'!$Q$3:$Q$501,'2627PR_Loading'!$V$3:$V$501,"",0),"")</f>
        <v/>
      </c>
      <c r="Q351" s="98" t="str">
        <f>IF(B351&lt;&gt;"",_xlfn.XLOOKUP(B351,TableDispatch[Uniq Id],TableDispatch[Delivery Date],"",0),"")</f>
        <v/>
      </c>
      <c r="R351" s="98" t="str">
        <f>IF(B351&lt;&gt;"",_xlfn.XLOOKUP(B351,TableDispatch[Uniq Id],TableDispatch[Our Ch No.],"",0),"")</f>
        <v/>
      </c>
      <c r="T351" s="26" t="str">
        <f>IF(B351&lt;&gt;"",_xlfn.XLOOKUP(B351,TableDispatch[Uniq Id],TableDispatch[Eway Bill Out],"",0),"")</f>
        <v/>
      </c>
    </row>
    <row r="352" spans="5:20" x14ac:dyDescent="0.25">
      <c r="E352" s="99"/>
      <c r="J352" s="211" t="str">
        <f>IF(B352&lt;&gt;"",_xlfn.XLOOKUP(B352,'2627PR_Loading'!$E$3:$E$501,'2627PR_Loading'!$B$3:$B$501,"",0)&amp;_xlfn.XLOOKUP(B352,'2627PR_Loading'!$K$3:$K$501,'2627PR_Loading'!$B$3:$B$501,"",0)&amp;_xlfn.XLOOKUP(B352,'2627PR_Loading'!$Q$3:$Q$501,'2627PR_Loading'!$B$3:$B$501,"",0),"")</f>
        <v/>
      </c>
      <c r="K352" s="211" t="str">
        <f>IF(B352&lt;&gt;"",_xlfn.XLOOKUP(B352,'2627PR_Loading'!$E$3:$E$501,'2627PR_Loading'!$C$3:$C$501,"",0)&amp;_xlfn.XLOOKUP(B352,'2627PR_Loading'!$K$3:$K$501,'2627PR_Loading'!$C$3:$C$501,"",0)&amp;_xlfn.XLOOKUP(B352,'2627PR_Loading'!$Q$3:$Q$501,'2627PR_Loading'!$C$3:$C$501,"",0),"")</f>
        <v/>
      </c>
      <c r="P352" s="248" t="str">
        <f>IF(B352&lt;&gt;"",_xlfn.XLOOKUP(B352,'2627PR_Loading'!$E$3:$E$501,'2627PR_Loading'!$J$3:$J$501,"",0)&amp;_xlfn.XLOOKUP(B352,'2627PR_Loading'!$K$3:$K$501,'2627PR_Loading'!$P$3:$P$501,"",0)&amp;_xlfn.XLOOKUP(B352,'2627PR_Loading'!$Q$3:$Q$501,'2627PR_Loading'!$V$3:$V$501,"",0),"")</f>
        <v/>
      </c>
      <c r="Q352" s="98" t="str">
        <f>IF(B352&lt;&gt;"",_xlfn.XLOOKUP(B352,TableDispatch[Uniq Id],TableDispatch[Delivery Date],"",0),"")</f>
        <v/>
      </c>
      <c r="R352" s="98" t="str">
        <f>IF(B352&lt;&gt;"",_xlfn.XLOOKUP(B352,TableDispatch[Uniq Id],TableDispatch[Our Ch No.],"",0),"")</f>
        <v/>
      </c>
      <c r="T352" s="26" t="str">
        <f>IF(B352&lt;&gt;"",_xlfn.XLOOKUP(B352,TableDispatch[Uniq Id],TableDispatch[Eway Bill Out],"",0),"")</f>
        <v/>
      </c>
    </row>
    <row r="353" spans="5:20" x14ac:dyDescent="0.25">
      <c r="E353" s="99"/>
      <c r="J353" s="211" t="str">
        <f>IF(B353&lt;&gt;"",_xlfn.XLOOKUP(B353,'2627PR_Loading'!$E$3:$E$501,'2627PR_Loading'!$B$3:$B$501,"",0)&amp;_xlfn.XLOOKUP(B353,'2627PR_Loading'!$K$3:$K$501,'2627PR_Loading'!$B$3:$B$501,"",0)&amp;_xlfn.XLOOKUP(B353,'2627PR_Loading'!$Q$3:$Q$501,'2627PR_Loading'!$B$3:$B$501,"",0),"")</f>
        <v/>
      </c>
      <c r="K353" s="211" t="str">
        <f>IF(B353&lt;&gt;"",_xlfn.XLOOKUP(B353,'2627PR_Loading'!$E$3:$E$501,'2627PR_Loading'!$C$3:$C$501,"",0)&amp;_xlfn.XLOOKUP(B353,'2627PR_Loading'!$K$3:$K$501,'2627PR_Loading'!$C$3:$C$501,"",0)&amp;_xlfn.XLOOKUP(B353,'2627PR_Loading'!$Q$3:$Q$501,'2627PR_Loading'!$C$3:$C$501,"",0),"")</f>
        <v/>
      </c>
      <c r="P353" s="248" t="str">
        <f>IF(B353&lt;&gt;"",_xlfn.XLOOKUP(B353,'2627PR_Loading'!$E$3:$E$501,'2627PR_Loading'!$J$3:$J$501,"",0)&amp;_xlfn.XLOOKUP(B353,'2627PR_Loading'!$K$3:$K$501,'2627PR_Loading'!$P$3:$P$501,"",0)&amp;_xlfn.XLOOKUP(B353,'2627PR_Loading'!$Q$3:$Q$501,'2627PR_Loading'!$V$3:$V$501,"",0),"")</f>
        <v/>
      </c>
      <c r="Q353" s="98" t="str">
        <f>IF(B353&lt;&gt;"",_xlfn.XLOOKUP(B353,TableDispatch[Uniq Id],TableDispatch[Delivery Date],"",0),"")</f>
        <v/>
      </c>
      <c r="R353" s="98" t="str">
        <f>IF(B353&lt;&gt;"",_xlfn.XLOOKUP(B353,TableDispatch[Uniq Id],TableDispatch[Our Ch No.],"",0),"")</f>
        <v/>
      </c>
      <c r="T353" s="26" t="str">
        <f>IF(B353&lt;&gt;"",_xlfn.XLOOKUP(B353,TableDispatch[Uniq Id],TableDispatch[Eway Bill Out],"",0),"")</f>
        <v/>
      </c>
    </row>
    <row r="354" spans="5:20" x14ac:dyDescent="0.25">
      <c r="E354" s="99"/>
      <c r="J354" s="211" t="str">
        <f>IF(B354&lt;&gt;"",_xlfn.XLOOKUP(B354,'2627PR_Loading'!$E$3:$E$501,'2627PR_Loading'!$B$3:$B$501,"",0)&amp;_xlfn.XLOOKUP(B354,'2627PR_Loading'!$K$3:$K$501,'2627PR_Loading'!$B$3:$B$501,"",0)&amp;_xlfn.XLOOKUP(B354,'2627PR_Loading'!$Q$3:$Q$501,'2627PR_Loading'!$B$3:$B$501,"",0),"")</f>
        <v/>
      </c>
      <c r="K354" s="211" t="str">
        <f>IF(B354&lt;&gt;"",_xlfn.XLOOKUP(B354,'2627PR_Loading'!$E$3:$E$501,'2627PR_Loading'!$C$3:$C$501,"",0)&amp;_xlfn.XLOOKUP(B354,'2627PR_Loading'!$K$3:$K$501,'2627PR_Loading'!$C$3:$C$501,"",0)&amp;_xlfn.XLOOKUP(B354,'2627PR_Loading'!$Q$3:$Q$501,'2627PR_Loading'!$C$3:$C$501,"",0),"")</f>
        <v/>
      </c>
      <c r="P354" s="248" t="str">
        <f>IF(B354&lt;&gt;"",_xlfn.XLOOKUP(B354,'2627PR_Loading'!$E$3:$E$501,'2627PR_Loading'!$J$3:$J$501,"",0)&amp;_xlfn.XLOOKUP(B354,'2627PR_Loading'!$K$3:$K$501,'2627PR_Loading'!$P$3:$P$501,"",0)&amp;_xlfn.XLOOKUP(B354,'2627PR_Loading'!$Q$3:$Q$501,'2627PR_Loading'!$V$3:$V$501,"",0),"")</f>
        <v/>
      </c>
      <c r="Q354" s="98" t="str">
        <f>IF(B354&lt;&gt;"",_xlfn.XLOOKUP(B354,TableDispatch[Uniq Id],TableDispatch[Delivery Date],"",0),"")</f>
        <v/>
      </c>
      <c r="R354" s="98" t="str">
        <f>IF(B354&lt;&gt;"",_xlfn.XLOOKUP(B354,TableDispatch[Uniq Id],TableDispatch[Our Ch No.],"",0),"")</f>
        <v/>
      </c>
      <c r="T354" s="26" t="str">
        <f>IF(B354&lt;&gt;"",_xlfn.XLOOKUP(B354,TableDispatch[Uniq Id],TableDispatch[Eway Bill Out],"",0),"")</f>
        <v/>
      </c>
    </row>
    <row r="355" spans="5:20" x14ac:dyDescent="0.25">
      <c r="E355" s="99"/>
      <c r="J355" s="211" t="str">
        <f>IF(B355&lt;&gt;"",_xlfn.XLOOKUP(B355,'2627PR_Loading'!$E$3:$E$501,'2627PR_Loading'!$B$3:$B$501,"",0)&amp;_xlfn.XLOOKUP(B355,'2627PR_Loading'!$K$3:$K$501,'2627PR_Loading'!$B$3:$B$501,"",0)&amp;_xlfn.XLOOKUP(B355,'2627PR_Loading'!$Q$3:$Q$501,'2627PR_Loading'!$B$3:$B$501,"",0),"")</f>
        <v/>
      </c>
      <c r="K355" s="211" t="str">
        <f>IF(B355&lt;&gt;"",_xlfn.XLOOKUP(B355,'2627PR_Loading'!$E$3:$E$501,'2627PR_Loading'!$C$3:$C$501,"",0)&amp;_xlfn.XLOOKUP(B355,'2627PR_Loading'!$K$3:$K$501,'2627PR_Loading'!$C$3:$C$501,"",0)&amp;_xlfn.XLOOKUP(B355,'2627PR_Loading'!$Q$3:$Q$501,'2627PR_Loading'!$C$3:$C$501,"",0),"")</f>
        <v/>
      </c>
      <c r="P355" s="248" t="str">
        <f>IF(B355&lt;&gt;"",_xlfn.XLOOKUP(B355,'2627PR_Loading'!$E$3:$E$501,'2627PR_Loading'!$J$3:$J$501,"",0)&amp;_xlfn.XLOOKUP(B355,'2627PR_Loading'!$K$3:$K$501,'2627PR_Loading'!$P$3:$P$501,"",0)&amp;_xlfn.XLOOKUP(B355,'2627PR_Loading'!$Q$3:$Q$501,'2627PR_Loading'!$V$3:$V$501,"",0),"")</f>
        <v/>
      </c>
      <c r="Q355" s="98" t="str">
        <f>IF(B355&lt;&gt;"",_xlfn.XLOOKUP(B355,TableDispatch[Uniq Id],TableDispatch[Delivery Date],"",0),"")</f>
        <v/>
      </c>
      <c r="R355" s="98" t="str">
        <f>IF(B355&lt;&gt;"",_xlfn.XLOOKUP(B355,TableDispatch[Uniq Id],TableDispatch[Our Ch No.],"",0),"")</f>
        <v/>
      </c>
      <c r="T355" s="26" t="str">
        <f>IF(B355&lt;&gt;"",_xlfn.XLOOKUP(B355,TableDispatch[Uniq Id],TableDispatch[Eway Bill Out],"",0),"")</f>
        <v/>
      </c>
    </row>
    <row r="356" spans="5:20" x14ac:dyDescent="0.25">
      <c r="E356" s="99"/>
      <c r="J356" s="211" t="str">
        <f>IF(B356&lt;&gt;"",_xlfn.XLOOKUP(B356,'2627PR_Loading'!$E$3:$E$501,'2627PR_Loading'!$B$3:$B$501,"",0)&amp;_xlfn.XLOOKUP(B356,'2627PR_Loading'!$K$3:$K$501,'2627PR_Loading'!$B$3:$B$501,"",0)&amp;_xlfn.XLOOKUP(B356,'2627PR_Loading'!$Q$3:$Q$501,'2627PR_Loading'!$B$3:$B$501,"",0),"")</f>
        <v/>
      </c>
      <c r="K356" s="211" t="str">
        <f>IF(B356&lt;&gt;"",_xlfn.XLOOKUP(B356,'2627PR_Loading'!$E$3:$E$501,'2627PR_Loading'!$C$3:$C$501,"",0)&amp;_xlfn.XLOOKUP(B356,'2627PR_Loading'!$K$3:$K$501,'2627PR_Loading'!$C$3:$C$501,"",0)&amp;_xlfn.XLOOKUP(B356,'2627PR_Loading'!$Q$3:$Q$501,'2627PR_Loading'!$C$3:$C$501,"",0),"")</f>
        <v/>
      </c>
      <c r="P356" s="248" t="str">
        <f>IF(B356&lt;&gt;"",_xlfn.XLOOKUP(B356,'2627PR_Loading'!$E$3:$E$501,'2627PR_Loading'!$J$3:$J$501,"",0)&amp;_xlfn.XLOOKUP(B356,'2627PR_Loading'!$K$3:$K$501,'2627PR_Loading'!$P$3:$P$501,"",0)&amp;_xlfn.XLOOKUP(B356,'2627PR_Loading'!$Q$3:$Q$501,'2627PR_Loading'!$V$3:$V$501,"",0),"")</f>
        <v/>
      </c>
      <c r="Q356" s="98" t="str">
        <f>IF(B356&lt;&gt;"",_xlfn.XLOOKUP(B356,TableDispatch[Uniq Id],TableDispatch[Delivery Date],"",0),"")</f>
        <v/>
      </c>
      <c r="R356" s="98" t="str">
        <f>IF(B356&lt;&gt;"",_xlfn.XLOOKUP(B356,TableDispatch[Uniq Id],TableDispatch[Our Ch No.],"",0),"")</f>
        <v/>
      </c>
      <c r="T356" s="26" t="str">
        <f>IF(B356&lt;&gt;"",_xlfn.XLOOKUP(B356,TableDispatch[Uniq Id],TableDispatch[Eway Bill Out],"",0),"")</f>
        <v/>
      </c>
    </row>
    <row r="357" spans="5:20" x14ac:dyDescent="0.25">
      <c r="E357" s="99"/>
      <c r="J357" s="211" t="str">
        <f>IF(B357&lt;&gt;"",_xlfn.XLOOKUP(B357,'2627PR_Loading'!$E$3:$E$501,'2627PR_Loading'!$B$3:$B$501,"",0)&amp;_xlfn.XLOOKUP(B357,'2627PR_Loading'!$K$3:$K$501,'2627PR_Loading'!$B$3:$B$501,"",0)&amp;_xlfn.XLOOKUP(B357,'2627PR_Loading'!$Q$3:$Q$501,'2627PR_Loading'!$B$3:$B$501,"",0),"")</f>
        <v/>
      </c>
      <c r="K357" s="211" t="str">
        <f>IF(B357&lt;&gt;"",_xlfn.XLOOKUP(B357,'2627PR_Loading'!$E$3:$E$501,'2627PR_Loading'!$C$3:$C$501,"",0)&amp;_xlfn.XLOOKUP(B357,'2627PR_Loading'!$K$3:$K$501,'2627PR_Loading'!$C$3:$C$501,"",0)&amp;_xlfn.XLOOKUP(B357,'2627PR_Loading'!$Q$3:$Q$501,'2627PR_Loading'!$C$3:$C$501,"",0),"")</f>
        <v/>
      </c>
      <c r="P357" s="248" t="str">
        <f>IF(B357&lt;&gt;"",_xlfn.XLOOKUP(B357,'2627PR_Loading'!$E$3:$E$501,'2627PR_Loading'!$J$3:$J$501,"",0)&amp;_xlfn.XLOOKUP(B357,'2627PR_Loading'!$K$3:$K$501,'2627PR_Loading'!$P$3:$P$501,"",0)&amp;_xlfn.XLOOKUP(B357,'2627PR_Loading'!$Q$3:$Q$501,'2627PR_Loading'!$V$3:$V$501,"",0),"")</f>
        <v/>
      </c>
      <c r="Q357" s="98" t="str">
        <f>IF(B357&lt;&gt;"",_xlfn.XLOOKUP(B357,TableDispatch[Uniq Id],TableDispatch[Delivery Date],"",0),"")</f>
        <v/>
      </c>
      <c r="R357" s="98" t="str">
        <f>IF(B357&lt;&gt;"",_xlfn.XLOOKUP(B357,TableDispatch[Uniq Id],TableDispatch[Our Ch No.],"",0),"")</f>
        <v/>
      </c>
      <c r="T357" s="26" t="str">
        <f>IF(B357&lt;&gt;"",_xlfn.XLOOKUP(B357,TableDispatch[Uniq Id],TableDispatch[Eway Bill Out],"",0),"")</f>
        <v/>
      </c>
    </row>
    <row r="358" spans="5:20" x14ac:dyDescent="0.25">
      <c r="E358" s="99"/>
      <c r="J358" s="211" t="str">
        <f>IF(B358&lt;&gt;"",_xlfn.XLOOKUP(B358,'2627PR_Loading'!$E$3:$E$501,'2627PR_Loading'!$B$3:$B$501,"",0)&amp;_xlfn.XLOOKUP(B358,'2627PR_Loading'!$K$3:$K$501,'2627PR_Loading'!$B$3:$B$501,"",0)&amp;_xlfn.XLOOKUP(B358,'2627PR_Loading'!$Q$3:$Q$501,'2627PR_Loading'!$B$3:$B$501,"",0),"")</f>
        <v/>
      </c>
      <c r="K358" s="211" t="str">
        <f>IF(B358&lt;&gt;"",_xlfn.XLOOKUP(B358,'2627PR_Loading'!$E$3:$E$501,'2627PR_Loading'!$C$3:$C$501,"",0)&amp;_xlfn.XLOOKUP(B358,'2627PR_Loading'!$K$3:$K$501,'2627PR_Loading'!$C$3:$C$501,"",0)&amp;_xlfn.XLOOKUP(B358,'2627PR_Loading'!$Q$3:$Q$501,'2627PR_Loading'!$C$3:$C$501,"",0),"")</f>
        <v/>
      </c>
      <c r="P358" s="248" t="str">
        <f>IF(B358&lt;&gt;"",_xlfn.XLOOKUP(B358,'2627PR_Loading'!$E$3:$E$501,'2627PR_Loading'!$J$3:$J$501,"",0)&amp;_xlfn.XLOOKUP(B358,'2627PR_Loading'!$K$3:$K$501,'2627PR_Loading'!$P$3:$P$501,"",0)&amp;_xlfn.XLOOKUP(B358,'2627PR_Loading'!$Q$3:$Q$501,'2627PR_Loading'!$V$3:$V$501,"",0),"")</f>
        <v/>
      </c>
      <c r="Q358" s="98" t="str">
        <f>IF(B358&lt;&gt;"",_xlfn.XLOOKUP(B358,TableDispatch[Uniq Id],TableDispatch[Delivery Date],"",0),"")</f>
        <v/>
      </c>
      <c r="R358" s="98" t="str">
        <f>IF(B358&lt;&gt;"",_xlfn.XLOOKUP(B358,TableDispatch[Uniq Id],TableDispatch[Our Ch No.],"",0),"")</f>
        <v/>
      </c>
      <c r="T358" s="26" t="str">
        <f>IF(B358&lt;&gt;"",_xlfn.XLOOKUP(B358,TableDispatch[Uniq Id],TableDispatch[Eway Bill Out],"",0),"")</f>
        <v/>
      </c>
    </row>
    <row r="359" spans="5:20" x14ac:dyDescent="0.25">
      <c r="E359" s="99"/>
      <c r="J359" s="211" t="str">
        <f>IF(B359&lt;&gt;"",_xlfn.XLOOKUP(B359,'2627PR_Loading'!$E$3:$E$501,'2627PR_Loading'!$B$3:$B$501,"",0)&amp;_xlfn.XLOOKUP(B359,'2627PR_Loading'!$K$3:$K$501,'2627PR_Loading'!$B$3:$B$501,"",0)&amp;_xlfn.XLOOKUP(B359,'2627PR_Loading'!$Q$3:$Q$501,'2627PR_Loading'!$B$3:$B$501,"",0),"")</f>
        <v/>
      </c>
      <c r="K359" s="211" t="str">
        <f>IF(B359&lt;&gt;"",_xlfn.XLOOKUP(B359,'2627PR_Loading'!$E$3:$E$501,'2627PR_Loading'!$C$3:$C$501,"",0)&amp;_xlfn.XLOOKUP(B359,'2627PR_Loading'!$K$3:$K$501,'2627PR_Loading'!$C$3:$C$501,"",0)&amp;_xlfn.XLOOKUP(B359,'2627PR_Loading'!$Q$3:$Q$501,'2627PR_Loading'!$C$3:$C$501,"",0),"")</f>
        <v/>
      </c>
      <c r="P359" s="248" t="str">
        <f>IF(B359&lt;&gt;"",_xlfn.XLOOKUP(B359,'2627PR_Loading'!$E$3:$E$501,'2627PR_Loading'!$J$3:$J$501,"",0)&amp;_xlfn.XLOOKUP(B359,'2627PR_Loading'!$K$3:$K$501,'2627PR_Loading'!$P$3:$P$501,"",0)&amp;_xlfn.XLOOKUP(B359,'2627PR_Loading'!$Q$3:$Q$501,'2627PR_Loading'!$V$3:$V$501,"",0),"")</f>
        <v/>
      </c>
      <c r="Q359" s="98" t="str">
        <f>IF(B359&lt;&gt;"",_xlfn.XLOOKUP(B359,TableDispatch[Uniq Id],TableDispatch[Delivery Date],"",0),"")</f>
        <v/>
      </c>
      <c r="R359" s="98" t="str">
        <f>IF(B359&lt;&gt;"",_xlfn.XLOOKUP(B359,TableDispatch[Uniq Id],TableDispatch[Our Ch No.],"",0),"")</f>
        <v/>
      </c>
      <c r="T359" s="26" t="str">
        <f>IF(B359&lt;&gt;"",_xlfn.XLOOKUP(B359,TableDispatch[Uniq Id],TableDispatch[Eway Bill Out],"",0),"")</f>
        <v/>
      </c>
    </row>
    <row r="360" spans="5:20" x14ac:dyDescent="0.25">
      <c r="E360" s="99"/>
      <c r="J360" s="211" t="str">
        <f>IF(B360&lt;&gt;"",_xlfn.XLOOKUP(B360,'2627PR_Loading'!$E$3:$E$501,'2627PR_Loading'!$B$3:$B$501,"",0)&amp;_xlfn.XLOOKUP(B360,'2627PR_Loading'!$K$3:$K$501,'2627PR_Loading'!$B$3:$B$501,"",0)&amp;_xlfn.XLOOKUP(B360,'2627PR_Loading'!$Q$3:$Q$501,'2627PR_Loading'!$B$3:$B$501,"",0),"")</f>
        <v/>
      </c>
      <c r="K360" s="211" t="str">
        <f>IF(B360&lt;&gt;"",_xlfn.XLOOKUP(B360,'2627PR_Loading'!$E$3:$E$501,'2627PR_Loading'!$C$3:$C$501,"",0)&amp;_xlfn.XLOOKUP(B360,'2627PR_Loading'!$K$3:$K$501,'2627PR_Loading'!$C$3:$C$501,"",0)&amp;_xlfn.XLOOKUP(B360,'2627PR_Loading'!$Q$3:$Q$501,'2627PR_Loading'!$C$3:$C$501,"",0),"")</f>
        <v/>
      </c>
      <c r="P360" s="248" t="str">
        <f>IF(B360&lt;&gt;"",_xlfn.XLOOKUP(B360,'2627PR_Loading'!$E$3:$E$501,'2627PR_Loading'!$J$3:$J$501,"",0)&amp;_xlfn.XLOOKUP(B360,'2627PR_Loading'!$K$3:$K$501,'2627PR_Loading'!$P$3:$P$501,"",0)&amp;_xlfn.XLOOKUP(B360,'2627PR_Loading'!$Q$3:$Q$501,'2627PR_Loading'!$V$3:$V$501,"",0),"")</f>
        <v/>
      </c>
      <c r="Q360" s="98" t="str">
        <f>IF(B360&lt;&gt;"",_xlfn.XLOOKUP(B360,TableDispatch[Uniq Id],TableDispatch[Delivery Date],"",0),"")</f>
        <v/>
      </c>
      <c r="R360" s="98" t="str">
        <f>IF(B360&lt;&gt;"",_xlfn.XLOOKUP(B360,TableDispatch[Uniq Id],TableDispatch[Our Ch No.],"",0),"")</f>
        <v/>
      </c>
      <c r="T360" s="26" t="str">
        <f>IF(B360&lt;&gt;"",_xlfn.XLOOKUP(B360,TableDispatch[Uniq Id],TableDispatch[Eway Bill Out],"",0),"")</f>
        <v/>
      </c>
    </row>
    <row r="361" spans="5:20" x14ac:dyDescent="0.25">
      <c r="E361" s="99"/>
      <c r="J361" s="211" t="str">
        <f>IF(B361&lt;&gt;"",_xlfn.XLOOKUP(B361,'2627PR_Loading'!$E$3:$E$501,'2627PR_Loading'!$B$3:$B$501,"",0)&amp;_xlfn.XLOOKUP(B361,'2627PR_Loading'!$K$3:$K$501,'2627PR_Loading'!$B$3:$B$501,"",0)&amp;_xlfn.XLOOKUP(B361,'2627PR_Loading'!$Q$3:$Q$501,'2627PR_Loading'!$B$3:$B$501,"",0),"")</f>
        <v/>
      </c>
      <c r="K361" s="211" t="str">
        <f>IF(B361&lt;&gt;"",_xlfn.XLOOKUP(B361,'2627PR_Loading'!$E$3:$E$501,'2627PR_Loading'!$C$3:$C$501,"",0)&amp;_xlfn.XLOOKUP(B361,'2627PR_Loading'!$K$3:$K$501,'2627PR_Loading'!$C$3:$C$501,"",0)&amp;_xlfn.XLOOKUP(B361,'2627PR_Loading'!$Q$3:$Q$501,'2627PR_Loading'!$C$3:$C$501,"",0),"")</f>
        <v/>
      </c>
      <c r="P361" s="248" t="str">
        <f>IF(B361&lt;&gt;"",_xlfn.XLOOKUP(B361,'2627PR_Loading'!$E$3:$E$501,'2627PR_Loading'!$J$3:$J$501,"",0)&amp;_xlfn.XLOOKUP(B361,'2627PR_Loading'!$K$3:$K$501,'2627PR_Loading'!$P$3:$P$501,"",0)&amp;_xlfn.XLOOKUP(B361,'2627PR_Loading'!$Q$3:$Q$501,'2627PR_Loading'!$V$3:$V$501,"",0),"")</f>
        <v/>
      </c>
      <c r="Q361" s="98" t="str">
        <f>IF(B361&lt;&gt;"",_xlfn.XLOOKUP(B361,TableDispatch[Uniq Id],TableDispatch[Delivery Date],"",0),"")</f>
        <v/>
      </c>
      <c r="R361" s="98" t="str">
        <f>IF(B361&lt;&gt;"",_xlfn.XLOOKUP(B361,TableDispatch[Uniq Id],TableDispatch[Our Ch No.],"",0),"")</f>
        <v/>
      </c>
      <c r="T361" s="26" t="str">
        <f>IF(B361&lt;&gt;"",_xlfn.XLOOKUP(B361,TableDispatch[Uniq Id],TableDispatch[Eway Bill Out],"",0),"")</f>
        <v/>
      </c>
    </row>
    <row r="362" spans="5:20" x14ac:dyDescent="0.25">
      <c r="E362" s="99"/>
      <c r="J362" s="211" t="str">
        <f>IF(B362&lt;&gt;"",_xlfn.XLOOKUP(B362,'2627PR_Loading'!$E$3:$E$501,'2627PR_Loading'!$B$3:$B$501,"",0)&amp;_xlfn.XLOOKUP(B362,'2627PR_Loading'!$K$3:$K$501,'2627PR_Loading'!$B$3:$B$501,"",0)&amp;_xlfn.XLOOKUP(B362,'2627PR_Loading'!$Q$3:$Q$501,'2627PR_Loading'!$B$3:$B$501,"",0),"")</f>
        <v/>
      </c>
      <c r="K362" s="211" t="str">
        <f>IF(B362&lt;&gt;"",_xlfn.XLOOKUP(B362,'2627PR_Loading'!$E$3:$E$501,'2627PR_Loading'!$C$3:$C$501,"",0)&amp;_xlfn.XLOOKUP(B362,'2627PR_Loading'!$K$3:$K$501,'2627PR_Loading'!$C$3:$C$501,"",0)&amp;_xlfn.XLOOKUP(B362,'2627PR_Loading'!$Q$3:$Q$501,'2627PR_Loading'!$C$3:$C$501,"",0),"")</f>
        <v/>
      </c>
      <c r="P362" s="248" t="str">
        <f>IF(B362&lt;&gt;"",_xlfn.XLOOKUP(B362,'2627PR_Loading'!$E$3:$E$501,'2627PR_Loading'!$J$3:$J$501,"",0)&amp;_xlfn.XLOOKUP(B362,'2627PR_Loading'!$K$3:$K$501,'2627PR_Loading'!$P$3:$P$501,"",0)&amp;_xlfn.XLOOKUP(B362,'2627PR_Loading'!$Q$3:$Q$501,'2627PR_Loading'!$V$3:$V$501,"",0),"")</f>
        <v/>
      </c>
      <c r="Q362" s="98" t="str">
        <f>IF(B362&lt;&gt;"",_xlfn.XLOOKUP(B362,TableDispatch[Uniq Id],TableDispatch[Delivery Date],"",0),"")</f>
        <v/>
      </c>
      <c r="R362" s="98" t="str">
        <f>IF(B362&lt;&gt;"",_xlfn.XLOOKUP(B362,TableDispatch[Uniq Id],TableDispatch[Our Ch No.],"",0),"")</f>
        <v/>
      </c>
      <c r="T362" s="26" t="str">
        <f>IF(B362&lt;&gt;"",_xlfn.XLOOKUP(B362,TableDispatch[Uniq Id],TableDispatch[Eway Bill Out],"",0),"")</f>
        <v/>
      </c>
    </row>
    <row r="363" spans="5:20" x14ac:dyDescent="0.25">
      <c r="E363" s="99"/>
      <c r="J363" s="211" t="str">
        <f>IF(B363&lt;&gt;"",_xlfn.XLOOKUP(B363,'2627PR_Loading'!$E$3:$E$501,'2627PR_Loading'!$B$3:$B$501,"",0)&amp;_xlfn.XLOOKUP(B363,'2627PR_Loading'!$K$3:$K$501,'2627PR_Loading'!$B$3:$B$501,"",0)&amp;_xlfn.XLOOKUP(B363,'2627PR_Loading'!$Q$3:$Q$501,'2627PR_Loading'!$B$3:$B$501,"",0),"")</f>
        <v/>
      </c>
      <c r="K363" s="211" t="str">
        <f>IF(B363&lt;&gt;"",_xlfn.XLOOKUP(B363,'2627PR_Loading'!$E$3:$E$501,'2627PR_Loading'!$C$3:$C$501,"",0)&amp;_xlfn.XLOOKUP(B363,'2627PR_Loading'!$K$3:$K$501,'2627PR_Loading'!$C$3:$C$501,"",0)&amp;_xlfn.XLOOKUP(B363,'2627PR_Loading'!$Q$3:$Q$501,'2627PR_Loading'!$C$3:$C$501,"",0),"")</f>
        <v/>
      </c>
      <c r="P363" s="248" t="str">
        <f>IF(B363&lt;&gt;"",_xlfn.XLOOKUP(B363,'2627PR_Loading'!$E$3:$E$501,'2627PR_Loading'!$J$3:$J$501,"",0)&amp;_xlfn.XLOOKUP(B363,'2627PR_Loading'!$K$3:$K$501,'2627PR_Loading'!$P$3:$P$501,"",0)&amp;_xlfn.XLOOKUP(B363,'2627PR_Loading'!$Q$3:$Q$501,'2627PR_Loading'!$V$3:$V$501,"",0),"")</f>
        <v/>
      </c>
      <c r="Q363" s="98" t="str">
        <f>IF(B363&lt;&gt;"",_xlfn.XLOOKUP(B363,TableDispatch[Uniq Id],TableDispatch[Delivery Date],"",0),"")</f>
        <v/>
      </c>
      <c r="R363" s="98" t="str">
        <f>IF(B363&lt;&gt;"",_xlfn.XLOOKUP(B363,TableDispatch[Uniq Id],TableDispatch[Our Ch No.],"",0),"")</f>
        <v/>
      </c>
      <c r="T363" s="26" t="str">
        <f>IF(B363&lt;&gt;"",_xlfn.XLOOKUP(B363,TableDispatch[Uniq Id],TableDispatch[Eway Bill Out],"",0),"")</f>
        <v/>
      </c>
    </row>
    <row r="364" spans="5:20" x14ac:dyDescent="0.25">
      <c r="E364" s="99"/>
      <c r="J364" s="211" t="str">
        <f>IF(B364&lt;&gt;"",_xlfn.XLOOKUP(B364,'2627PR_Loading'!$E$3:$E$501,'2627PR_Loading'!$B$3:$B$501,"",0)&amp;_xlfn.XLOOKUP(B364,'2627PR_Loading'!$K$3:$K$501,'2627PR_Loading'!$B$3:$B$501,"",0)&amp;_xlfn.XLOOKUP(B364,'2627PR_Loading'!$Q$3:$Q$501,'2627PR_Loading'!$B$3:$B$501,"",0),"")</f>
        <v/>
      </c>
      <c r="K364" s="211" t="str">
        <f>IF(B364&lt;&gt;"",_xlfn.XLOOKUP(B364,'2627PR_Loading'!$E$3:$E$501,'2627PR_Loading'!$C$3:$C$501,"",0)&amp;_xlfn.XLOOKUP(B364,'2627PR_Loading'!$K$3:$K$501,'2627PR_Loading'!$C$3:$C$501,"",0)&amp;_xlfn.XLOOKUP(B364,'2627PR_Loading'!$Q$3:$Q$501,'2627PR_Loading'!$C$3:$C$501,"",0),"")</f>
        <v/>
      </c>
      <c r="P364" s="248" t="str">
        <f>IF(B364&lt;&gt;"",_xlfn.XLOOKUP(B364,'2627PR_Loading'!$E$3:$E$501,'2627PR_Loading'!$J$3:$J$501,"",0)&amp;_xlfn.XLOOKUP(B364,'2627PR_Loading'!$K$3:$K$501,'2627PR_Loading'!$P$3:$P$501,"",0)&amp;_xlfn.XLOOKUP(B364,'2627PR_Loading'!$Q$3:$Q$501,'2627PR_Loading'!$V$3:$V$501,"",0),"")</f>
        <v/>
      </c>
      <c r="Q364" s="98" t="str">
        <f>IF(B364&lt;&gt;"",_xlfn.XLOOKUP(B364,TableDispatch[Uniq Id],TableDispatch[Delivery Date],"",0),"")</f>
        <v/>
      </c>
      <c r="R364" s="98" t="str">
        <f>IF(B364&lt;&gt;"",_xlfn.XLOOKUP(B364,TableDispatch[Uniq Id],TableDispatch[Our Ch No.],"",0),"")</f>
        <v/>
      </c>
      <c r="T364" s="26" t="str">
        <f>IF(B364&lt;&gt;"",_xlfn.XLOOKUP(B364,TableDispatch[Uniq Id],TableDispatch[Eway Bill Out],"",0),"")</f>
        <v/>
      </c>
    </row>
    <row r="365" spans="5:20" x14ac:dyDescent="0.25">
      <c r="E365" s="99"/>
      <c r="J365" s="211" t="str">
        <f>IF(B365&lt;&gt;"",_xlfn.XLOOKUP(B365,'2627PR_Loading'!$E$3:$E$501,'2627PR_Loading'!$B$3:$B$501,"",0)&amp;_xlfn.XLOOKUP(B365,'2627PR_Loading'!$K$3:$K$501,'2627PR_Loading'!$B$3:$B$501,"",0)&amp;_xlfn.XLOOKUP(B365,'2627PR_Loading'!$Q$3:$Q$501,'2627PR_Loading'!$B$3:$B$501,"",0),"")</f>
        <v/>
      </c>
      <c r="K365" s="211" t="str">
        <f>IF(B365&lt;&gt;"",_xlfn.XLOOKUP(B365,'2627PR_Loading'!$E$3:$E$501,'2627PR_Loading'!$C$3:$C$501,"",0)&amp;_xlfn.XLOOKUP(B365,'2627PR_Loading'!$K$3:$K$501,'2627PR_Loading'!$C$3:$C$501,"",0)&amp;_xlfn.XLOOKUP(B365,'2627PR_Loading'!$Q$3:$Q$501,'2627PR_Loading'!$C$3:$C$501,"",0),"")</f>
        <v/>
      </c>
      <c r="P365" s="248" t="str">
        <f>IF(B365&lt;&gt;"",_xlfn.XLOOKUP(B365,'2627PR_Loading'!$E$3:$E$501,'2627PR_Loading'!$J$3:$J$501,"",0)&amp;_xlfn.XLOOKUP(B365,'2627PR_Loading'!$K$3:$K$501,'2627PR_Loading'!$P$3:$P$501,"",0)&amp;_xlfn.XLOOKUP(B365,'2627PR_Loading'!$Q$3:$Q$501,'2627PR_Loading'!$V$3:$V$501,"",0),"")</f>
        <v/>
      </c>
      <c r="Q365" s="98" t="str">
        <f>IF(B365&lt;&gt;"",_xlfn.XLOOKUP(B365,TableDispatch[Uniq Id],TableDispatch[Delivery Date],"",0),"")</f>
        <v/>
      </c>
      <c r="R365" s="98" t="str">
        <f>IF(B365&lt;&gt;"",_xlfn.XLOOKUP(B365,TableDispatch[Uniq Id],TableDispatch[Our Ch No.],"",0),"")</f>
        <v/>
      </c>
      <c r="T365" s="26" t="str">
        <f>IF(B365&lt;&gt;"",_xlfn.XLOOKUP(B365,TableDispatch[Uniq Id],TableDispatch[Eway Bill Out],"",0),"")</f>
        <v/>
      </c>
    </row>
    <row r="366" spans="5:20" x14ac:dyDescent="0.25">
      <c r="E366" s="99"/>
      <c r="J366" s="211" t="str">
        <f>IF(B366&lt;&gt;"",_xlfn.XLOOKUP(B366,'2627PR_Loading'!$E$3:$E$501,'2627PR_Loading'!$B$3:$B$501,"",0)&amp;_xlfn.XLOOKUP(B366,'2627PR_Loading'!$K$3:$K$501,'2627PR_Loading'!$B$3:$B$501,"",0)&amp;_xlfn.XLOOKUP(B366,'2627PR_Loading'!$Q$3:$Q$501,'2627PR_Loading'!$B$3:$B$501,"",0),"")</f>
        <v/>
      </c>
      <c r="K366" s="211" t="str">
        <f>IF(B366&lt;&gt;"",_xlfn.XLOOKUP(B366,'2627PR_Loading'!$E$3:$E$501,'2627PR_Loading'!$C$3:$C$501,"",0)&amp;_xlfn.XLOOKUP(B366,'2627PR_Loading'!$K$3:$K$501,'2627PR_Loading'!$C$3:$C$501,"",0)&amp;_xlfn.XLOOKUP(B366,'2627PR_Loading'!$Q$3:$Q$501,'2627PR_Loading'!$C$3:$C$501,"",0),"")</f>
        <v/>
      </c>
      <c r="P366" s="248" t="str">
        <f>IF(B366&lt;&gt;"",_xlfn.XLOOKUP(B366,'2627PR_Loading'!$E$3:$E$501,'2627PR_Loading'!$J$3:$J$501,"",0)&amp;_xlfn.XLOOKUP(B366,'2627PR_Loading'!$K$3:$K$501,'2627PR_Loading'!$P$3:$P$501,"",0)&amp;_xlfn.XLOOKUP(B366,'2627PR_Loading'!$Q$3:$Q$501,'2627PR_Loading'!$V$3:$V$501,"",0),"")</f>
        <v/>
      </c>
      <c r="Q366" s="98" t="str">
        <f>IF(B366&lt;&gt;"",_xlfn.XLOOKUP(B366,TableDispatch[Uniq Id],TableDispatch[Delivery Date],"",0),"")</f>
        <v/>
      </c>
      <c r="R366" s="98" t="str">
        <f>IF(B366&lt;&gt;"",_xlfn.XLOOKUP(B366,TableDispatch[Uniq Id],TableDispatch[Our Ch No.],"",0),"")</f>
        <v/>
      </c>
      <c r="T366" s="26" t="str">
        <f>IF(B366&lt;&gt;"",_xlfn.XLOOKUP(B366,TableDispatch[Uniq Id],TableDispatch[Eway Bill Out],"",0),"")</f>
        <v/>
      </c>
    </row>
    <row r="367" spans="5:20" x14ac:dyDescent="0.25">
      <c r="E367" s="99"/>
      <c r="J367" s="211" t="str">
        <f>IF(B367&lt;&gt;"",_xlfn.XLOOKUP(B367,'2627PR_Loading'!$E$3:$E$501,'2627PR_Loading'!$B$3:$B$501,"",0)&amp;_xlfn.XLOOKUP(B367,'2627PR_Loading'!$K$3:$K$501,'2627PR_Loading'!$B$3:$B$501,"",0)&amp;_xlfn.XLOOKUP(B367,'2627PR_Loading'!$Q$3:$Q$501,'2627PR_Loading'!$B$3:$B$501,"",0),"")</f>
        <v/>
      </c>
      <c r="K367" s="211" t="str">
        <f>IF(B367&lt;&gt;"",_xlfn.XLOOKUP(B367,'2627PR_Loading'!$E$3:$E$501,'2627PR_Loading'!$C$3:$C$501,"",0)&amp;_xlfn.XLOOKUP(B367,'2627PR_Loading'!$K$3:$K$501,'2627PR_Loading'!$C$3:$C$501,"",0)&amp;_xlfn.XLOOKUP(B367,'2627PR_Loading'!$Q$3:$Q$501,'2627PR_Loading'!$C$3:$C$501,"",0),"")</f>
        <v/>
      </c>
      <c r="P367" s="248" t="str">
        <f>IF(B367&lt;&gt;"",_xlfn.XLOOKUP(B367,'2627PR_Loading'!$E$3:$E$501,'2627PR_Loading'!$J$3:$J$501,"",0)&amp;_xlfn.XLOOKUP(B367,'2627PR_Loading'!$K$3:$K$501,'2627PR_Loading'!$P$3:$P$501,"",0)&amp;_xlfn.XLOOKUP(B367,'2627PR_Loading'!$Q$3:$Q$501,'2627PR_Loading'!$V$3:$V$501,"",0),"")</f>
        <v/>
      </c>
      <c r="Q367" s="98" t="str">
        <f>IF(B367&lt;&gt;"",_xlfn.XLOOKUP(B367,TableDispatch[Uniq Id],TableDispatch[Delivery Date],"",0),"")</f>
        <v/>
      </c>
      <c r="R367" s="98" t="str">
        <f>IF(B367&lt;&gt;"",_xlfn.XLOOKUP(B367,TableDispatch[Uniq Id],TableDispatch[Our Ch No.],"",0),"")</f>
        <v/>
      </c>
      <c r="T367" s="26" t="str">
        <f>IF(B367&lt;&gt;"",_xlfn.XLOOKUP(B367,TableDispatch[Uniq Id],TableDispatch[Eway Bill Out],"",0),"")</f>
        <v/>
      </c>
    </row>
    <row r="368" spans="5:20" x14ac:dyDescent="0.25">
      <c r="E368" s="99"/>
      <c r="J368" s="211" t="str">
        <f>IF(B368&lt;&gt;"",_xlfn.XLOOKUP(B368,'2627PR_Loading'!$E$3:$E$501,'2627PR_Loading'!$B$3:$B$501,"",0)&amp;_xlfn.XLOOKUP(B368,'2627PR_Loading'!$K$3:$K$501,'2627PR_Loading'!$B$3:$B$501,"",0)&amp;_xlfn.XLOOKUP(B368,'2627PR_Loading'!$Q$3:$Q$501,'2627PR_Loading'!$B$3:$B$501,"",0),"")</f>
        <v/>
      </c>
      <c r="K368" s="211" t="str">
        <f>IF(B368&lt;&gt;"",_xlfn.XLOOKUP(B368,'2627PR_Loading'!$E$3:$E$501,'2627PR_Loading'!$C$3:$C$501,"",0)&amp;_xlfn.XLOOKUP(B368,'2627PR_Loading'!$K$3:$K$501,'2627PR_Loading'!$C$3:$C$501,"",0)&amp;_xlfn.XLOOKUP(B368,'2627PR_Loading'!$Q$3:$Q$501,'2627PR_Loading'!$C$3:$C$501,"",0),"")</f>
        <v/>
      </c>
      <c r="P368" s="248" t="str">
        <f>IF(B368&lt;&gt;"",_xlfn.XLOOKUP(B368,'2627PR_Loading'!$E$3:$E$501,'2627PR_Loading'!$J$3:$J$501,"",0)&amp;_xlfn.XLOOKUP(B368,'2627PR_Loading'!$K$3:$K$501,'2627PR_Loading'!$P$3:$P$501,"",0)&amp;_xlfn.XLOOKUP(B368,'2627PR_Loading'!$Q$3:$Q$501,'2627PR_Loading'!$V$3:$V$501,"",0),"")</f>
        <v/>
      </c>
      <c r="Q368" s="98" t="str">
        <f>IF(B368&lt;&gt;"",_xlfn.XLOOKUP(B368,TableDispatch[Uniq Id],TableDispatch[Delivery Date],"",0),"")</f>
        <v/>
      </c>
      <c r="R368" s="98" t="str">
        <f>IF(B368&lt;&gt;"",_xlfn.XLOOKUP(B368,TableDispatch[Uniq Id],TableDispatch[Our Ch No.],"",0),"")</f>
        <v/>
      </c>
      <c r="T368" s="26" t="str">
        <f>IF(B368&lt;&gt;"",_xlfn.XLOOKUP(B368,TableDispatch[Uniq Id],TableDispatch[Eway Bill Out],"",0),"")</f>
        <v/>
      </c>
    </row>
    <row r="369" spans="5:20" x14ac:dyDescent="0.25">
      <c r="E369" s="99"/>
      <c r="J369" s="211" t="str">
        <f>IF(B369&lt;&gt;"",_xlfn.XLOOKUP(B369,'2627PR_Loading'!$E$3:$E$501,'2627PR_Loading'!$B$3:$B$501,"",0)&amp;_xlfn.XLOOKUP(B369,'2627PR_Loading'!$K$3:$K$501,'2627PR_Loading'!$B$3:$B$501,"",0)&amp;_xlfn.XLOOKUP(B369,'2627PR_Loading'!$Q$3:$Q$501,'2627PR_Loading'!$B$3:$B$501,"",0),"")</f>
        <v/>
      </c>
      <c r="K369" s="211" t="str">
        <f>IF(B369&lt;&gt;"",_xlfn.XLOOKUP(B369,'2627PR_Loading'!$E$3:$E$501,'2627PR_Loading'!$C$3:$C$501,"",0)&amp;_xlfn.XLOOKUP(B369,'2627PR_Loading'!$K$3:$K$501,'2627PR_Loading'!$C$3:$C$501,"",0)&amp;_xlfn.XLOOKUP(B369,'2627PR_Loading'!$Q$3:$Q$501,'2627PR_Loading'!$C$3:$C$501,"",0),"")</f>
        <v/>
      </c>
      <c r="P369" s="248" t="str">
        <f>IF(B369&lt;&gt;"",_xlfn.XLOOKUP(B369,'2627PR_Loading'!$E$3:$E$501,'2627PR_Loading'!$J$3:$J$501,"",0)&amp;_xlfn.XLOOKUP(B369,'2627PR_Loading'!$K$3:$K$501,'2627PR_Loading'!$P$3:$P$501,"",0)&amp;_xlfn.XLOOKUP(B369,'2627PR_Loading'!$Q$3:$Q$501,'2627PR_Loading'!$V$3:$V$501,"",0),"")</f>
        <v/>
      </c>
      <c r="Q369" s="98" t="str">
        <f>IF(B369&lt;&gt;"",_xlfn.XLOOKUP(B369,TableDispatch[Uniq Id],TableDispatch[Delivery Date],"",0),"")</f>
        <v/>
      </c>
      <c r="R369" s="98" t="str">
        <f>IF(B369&lt;&gt;"",_xlfn.XLOOKUP(B369,TableDispatch[Uniq Id],TableDispatch[Our Ch No.],"",0),"")</f>
        <v/>
      </c>
      <c r="T369" s="26" t="str">
        <f>IF(B369&lt;&gt;"",_xlfn.XLOOKUP(B369,TableDispatch[Uniq Id],TableDispatch[Eway Bill Out],"",0),"")</f>
        <v/>
      </c>
    </row>
    <row r="370" spans="5:20" x14ac:dyDescent="0.25">
      <c r="E370" s="99"/>
      <c r="J370" s="211" t="str">
        <f>IF(B370&lt;&gt;"",_xlfn.XLOOKUP(B370,'2627PR_Loading'!$E$3:$E$501,'2627PR_Loading'!$B$3:$B$501,"",0)&amp;_xlfn.XLOOKUP(B370,'2627PR_Loading'!$K$3:$K$501,'2627PR_Loading'!$B$3:$B$501,"",0)&amp;_xlfn.XLOOKUP(B370,'2627PR_Loading'!$Q$3:$Q$501,'2627PR_Loading'!$B$3:$B$501,"",0),"")</f>
        <v/>
      </c>
      <c r="K370" s="211" t="str">
        <f>IF(B370&lt;&gt;"",_xlfn.XLOOKUP(B370,'2627PR_Loading'!$E$3:$E$501,'2627PR_Loading'!$C$3:$C$501,"",0)&amp;_xlfn.XLOOKUP(B370,'2627PR_Loading'!$K$3:$K$501,'2627PR_Loading'!$C$3:$C$501,"",0)&amp;_xlfn.XLOOKUP(B370,'2627PR_Loading'!$Q$3:$Q$501,'2627PR_Loading'!$C$3:$C$501,"",0),"")</f>
        <v/>
      </c>
      <c r="P370" s="248" t="str">
        <f>IF(B370&lt;&gt;"",_xlfn.XLOOKUP(B370,'2627PR_Loading'!$E$3:$E$501,'2627PR_Loading'!$J$3:$J$501,"",0)&amp;_xlfn.XLOOKUP(B370,'2627PR_Loading'!$K$3:$K$501,'2627PR_Loading'!$P$3:$P$501,"",0)&amp;_xlfn.XLOOKUP(B370,'2627PR_Loading'!$Q$3:$Q$501,'2627PR_Loading'!$V$3:$V$501,"",0),"")</f>
        <v/>
      </c>
      <c r="Q370" s="98" t="str">
        <f>IF(B370&lt;&gt;"",_xlfn.XLOOKUP(B370,TableDispatch[Uniq Id],TableDispatch[Delivery Date],"",0),"")</f>
        <v/>
      </c>
      <c r="R370" s="98" t="str">
        <f>IF(B370&lt;&gt;"",_xlfn.XLOOKUP(B370,TableDispatch[Uniq Id],TableDispatch[Our Ch No.],"",0),"")</f>
        <v/>
      </c>
      <c r="T370" s="26" t="str">
        <f>IF(B370&lt;&gt;"",_xlfn.XLOOKUP(B370,TableDispatch[Uniq Id],TableDispatch[Eway Bill Out],"",0),"")</f>
        <v/>
      </c>
    </row>
    <row r="371" spans="5:20" x14ac:dyDescent="0.25">
      <c r="E371" s="99"/>
      <c r="J371" s="211" t="str">
        <f>IF(B371&lt;&gt;"",_xlfn.XLOOKUP(B371,'2627PR_Loading'!$E$3:$E$501,'2627PR_Loading'!$B$3:$B$501,"",0)&amp;_xlfn.XLOOKUP(B371,'2627PR_Loading'!$K$3:$K$501,'2627PR_Loading'!$B$3:$B$501,"",0)&amp;_xlfn.XLOOKUP(B371,'2627PR_Loading'!$Q$3:$Q$501,'2627PR_Loading'!$B$3:$B$501,"",0),"")</f>
        <v/>
      </c>
      <c r="K371" s="211" t="str">
        <f>IF(B371&lt;&gt;"",_xlfn.XLOOKUP(B371,'2627PR_Loading'!$E$3:$E$501,'2627PR_Loading'!$C$3:$C$501,"",0)&amp;_xlfn.XLOOKUP(B371,'2627PR_Loading'!$K$3:$K$501,'2627PR_Loading'!$C$3:$C$501,"",0)&amp;_xlfn.XLOOKUP(B371,'2627PR_Loading'!$Q$3:$Q$501,'2627PR_Loading'!$C$3:$C$501,"",0),"")</f>
        <v/>
      </c>
      <c r="P371" s="248" t="str">
        <f>IF(B371&lt;&gt;"",_xlfn.XLOOKUP(B371,'2627PR_Loading'!$E$3:$E$501,'2627PR_Loading'!$J$3:$J$501,"",0)&amp;_xlfn.XLOOKUP(B371,'2627PR_Loading'!$K$3:$K$501,'2627PR_Loading'!$P$3:$P$501,"",0)&amp;_xlfn.XLOOKUP(B371,'2627PR_Loading'!$Q$3:$Q$501,'2627PR_Loading'!$V$3:$V$501,"",0),"")</f>
        <v/>
      </c>
      <c r="Q371" s="98" t="str">
        <f>IF(B371&lt;&gt;"",_xlfn.XLOOKUP(B371,TableDispatch[Uniq Id],TableDispatch[Delivery Date],"",0),"")</f>
        <v/>
      </c>
      <c r="R371" s="98" t="str">
        <f>IF(B371&lt;&gt;"",_xlfn.XLOOKUP(B371,TableDispatch[Uniq Id],TableDispatch[Our Ch No.],"",0),"")</f>
        <v/>
      </c>
      <c r="T371" s="26" t="str">
        <f>IF(B371&lt;&gt;"",_xlfn.XLOOKUP(B371,TableDispatch[Uniq Id],TableDispatch[Eway Bill Out],"",0),"")</f>
        <v/>
      </c>
    </row>
    <row r="372" spans="5:20" x14ac:dyDescent="0.25">
      <c r="E372" s="99"/>
      <c r="J372" s="211" t="str">
        <f>IF(B372&lt;&gt;"",_xlfn.XLOOKUP(B372,'2627PR_Loading'!$E$3:$E$501,'2627PR_Loading'!$B$3:$B$501,"",0)&amp;_xlfn.XLOOKUP(B372,'2627PR_Loading'!$K$3:$K$501,'2627PR_Loading'!$B$3:$B$501,"",0)&amp;_xlfn.XLOOKUP(B372,'2627PR_Loading'!$Q$3:$Q$501,'2627PR_Loading'!$B$3:$B$501,"",0),"")</f>
        <v/>
      </c>
      <c r="K372" s="211" t="str">
        <f>IF(B372&lt;&gt;"",_xlfn.XLOOKUP(B372,'2627PR_Loading'!$E$3:$E$501,'2627PR_Loading'!$C$3:$C$501,"",0)&amp;_xlfn.XLOOKUP(B372,'2627PR_Loading'!$K$3:$K$501,'2627PR_Loading'!$C$3:$C$501,"",0)&amp;_xlfn.XLOOKUP(B372,'2627PR_Loading'!$Q$3:$Q$501,'2627PR_Loading'!$C$3:$C$501,"",0),"")</f>
        <v/>
      </c>
      <c r="P372" s="248" t="str">
        <f>IF(B372&lt;&gt;"",_xlfn.XLOOKUP(B372,'2627PR_Loading'!$E$3:$E$501,'2627PR_Loading'!$J$3:$J$501,"",0)&amp;_xlfn.XLOOKUP(B372,'2627PR_Loading'!$K$3:$K$501,'2627PR_Loading'!$P$3:$P$501,"",0)&amp;_xlfn.XLOOKUP(B372,'2627PR_Loading'!$Q$3:$Q$501,'2627PR_Loading'!$V$3:$V$501,"",0),"")</f>
        <v/>
      </c>
      <c r="Q372" s="98" t="str">
        <f>IF(B372&lt;&gt;"",_xlfn.XLOOKUP(B372,TableDispatch[Uniq Id],TableDispatch[Delivery Date],"",0),"")</f>
        <v/>
      </c>
      <c r="R372" s="98" t="str">
        <f>IF(B372&lt;&gt;"",_xlfn.XLOOKUP(B372,TableDispatch[Uniq Id],TableDispatch[Our Ch No.],"",0),"")</f>
        <v/>
      </c>
      <c r="T372" s="26" t="str">
        <f>IF(B372&lt;&gt;"",_xlfn.XLOOKUP(B372,TableDispatch[Uniq Id],TableDispatch[Eway Bill Out],"",0),"")</f>
        <v/>
      </c>
    </row>
    <row r="373" spans="5:20" x14ac:dyDescent="0.25">
      <c r="E373" s="99"/>
      <c r="J373" s="211" t="str">
        <f>IF(B373&lt;&gt;"",_xlfn.XLOOKUP(B373,'2627PR_Loading'!$E$3:$E$501,'2627PR_Loading'!$B$3:$B$501,"",0)&amp;_xlfn.XLOOKUP(B373,'2627PR_Loading'!$K$3:$K$501,'2627PR_Loading'!$B$3:$B$501,"",0)&amp;_xlfn.XLOOKUP(B373,'2627PR_Loading'!$Q$3:$Q$501,'2627PR_Loading'!$B$3:$B$501,"",0),"")</f>
        <v/>
      </c>
      <c r="K373" s="211" t="str">
        <f>IF(B373&lt;&gt;"",_xlfn.XLOOKUP(B373,'2627PR_Loading'!$E$3:$E$501,'2627PR_Loading'!$C$3:$C$501,"",0)&amp;_xlfn.XLOOKUP(B373,'2627PR_Loading'!$K$3:$K$501,'2627PR_Loading'!$C$3:$C$501,"",0)&amp;_xlfn.XLOOKUP(B373,'2627PR_Loading'!$Q$3:$Q$501,'2627PR_Loading'!$C$3:$C$501,"",0),"")</f>
        <v/>
      </c>
      <c r="P373" s="248" t="str">
        <f>IF(B373&lt;&gt;"",_xlfn.XLOOKUP(B373,'2627PR_Loading'!$E$3:$E$501,'2627PR_Loading'!$J$3:$J$501,"",0)&amp;_xlfn.XLOOKUP(B373,'2627PR_Loading'!$K$3:$K$501,'2627PR_Loading'!$P$3:$P$501,"",0)&amp;_xlfn.XLOOKUP(B373,'2627PR_Loading'!$Q$3:$Q$501,'2627PR_Loading'!$V$3:$V$501,"",0),"")</f>
        <v/>
      </c>
      <c r="Q373" s="98" t="str">
        <f>IF(B373&lt;&gt;"",_xlfn.XLOOKUP(B373,TableDispatch[Uniq Id],TableDispatch[Delivery Date],"",0),"")</f>
        <v/>
      </c>
      <c r="R373" s="98" t="str">
        <f>IF(B373&lt;&gt;"",_xlfn.XLOOKUP(B373,TableDispatch[Uniq Id],TableDispatch[Our Ch No.],"",0),"")</f>
        <v/>
      </c>
      <c r="T373" s="26" t="str">
        <f>IF(B373&lt;&gt;"",_xlfn.XLOOKUP(B373,TableDispatch[Uniq Id],TableDispatch[Eway Bill Out],"",0),"")</f>
        <v/>
      </c>
    </row>
    <row r="374" spans="5:20" x14ac:dyDescent="0.25">
      <c r="E374" s="99"/>
      <c r="J374" s="211" t="str">
        <f>IF(B374&lt;&gt;"",_xlfn.XLOOKUP(B374,'2627PR_Loading'!$E$3:$E$501,'2627PR_Loading'!$B$3:$B$501,"",0)&amp;_xlfn.XLOOKUP(B374,'2627PR_Loading'!$K$3:$K$501,'2627PR_Loading'!$B$3:$B$501,"",0)&amp;_xlfn.XLOOKUP(B374,'2627PR_Loading'!$Q$3:$Q$501,'2627PR_Loading'!$B$3:$B$501,"",0),"")</f>
        <v/>
      </c>
      <c r="K374" s="211" t="str">
        <f>IF(B374&lt;&gt;"",_xlfn.XLOOKUP(B374,'2627PR_Loading'!$E$3:$E$501,'2627PR_Loading'!$C$3:$C$501,"",0)&amp;_xlfn.XLOOKUP(B374,'2627PR_Loading'!$K$3:$K$501,'2627PR_Loading'!$C$3:$C$501,"",0)&amp;_xlfn.XLOOKUP(B374,'2627PR_Loading'!$Q$3:$Q$501,'2627PR_Loading'!$C$3:$C$501,"",0),"")</f>
        <v/>
      </c>
      <c r="P374" s="248" t="str">
        <f>IF(B374&lt;&gt;"",_xlfn.XLOOKUP(B374,'2627PR_Loading'!$E$3:$E$501,'2627PR_Loading'!$J$3:$J$501,"",0)&amp;_xlfn.XLOOKUP(B374,'2627PR_Loading'!$K$3:$K$501,'2627PR_Loading'!$P$3:$P$501,"",0)&amp;_xlfn.XLOOKUP(B374,'2627PR_Loading'!$Q$3:$Q$501,'2627PR_Loading'!$V$3:$V$501,"",0),"")</f>
        <v/>
      </c>
      <c r="Q374" s="98" t="str">
        <f>IF(B374&lt;&gt;"",_xlfn.XLOOKUP(B374,TableDispatch[Uniq Id],TableDispatch[Delivery Date],"",0),"")</f>
        <v/>
      </c>
      <c r="R374" s="98" t="str">
        <f>IF(B374&lt;&gt;"",_xlfn.XLOOKUP(B374,TableDispatch[Uniq Id],TableDispatch[Our Ch No.],"",0),"")</f>
        <v/>
      </c>
      <c r="T374" s="26" t="str">
        <f>IF(B374&lt;&gt;"",_xlfn.XLOOKUP(B374,TableDispatch[Uniq Id],TableDispatch[Eway Bill Out],"",0),"")</f>
        <v/>
      </c>
    </row>
    <row r="375" spans="5:20" x14ac:dyDescent="0.25">
      <c r="E375" s="99"/>
      <c r="J375" s="211" t="str">
        <f>IF(B375&lt;&gt;"",_xlfn.XLOOKUP(B375,'2627PR_Loading'!$E$3:$E$501,'2627PR_Loading'!$B$3:$B$501,"",0)&amp;_xlfn.XLOOKUP(B375,'2627PR_Loading'!$K$3:$K$501,'2627PR_Loading'!$B$3:$B$501,"",0)&amp;_xlfn.XLOOKUP(B375,'2627PR_Loading'!$Q$3:$Q$501,'2627PR_Loading'!$B$3:$B$501,"",0),"")</f>
        <v/>
      </c>
      <c r="K375" s="211" t="str">
        <f>IF(B375&lt;&gt;"",_xlfn.XLOOKUP(B375,'2627PR_Loading'!$E$3:$E$501,'2627PR_Loading'!$C$3:$C$501,"",0)&amp;_xlfn.XLOOKUP(B375,'2627PR_Loading'!$K$3:$K$501,'2627PR_Loading'!$C$3:$C$501,"",0)&amp;_xlfn.XLOOKUP(B375,'2627PR_Loading'!$Q$3:$Q$501,'2627PR_Loading'!$C$3:$C$501,"",0),"")</f>
        <v/>
      </c>
      <c r="P375" s="248" t="str">
        <f>IF(B375&lt;&gt;"",_xlfn.XLOOKUP(B375,'2627PR_Loading'!$E$3:$E$501,'2627PR_Loading'!$J$3:$J$501,"",0)&amp;_xlfn.XLOOKUP(B375,'2627PR_Loading'!$K$3:$K$501,'2627PR_Loading'!$P$3:$P$501,"",0)&amp;_xlfn.XLOOKUP(B375,'2627PR_Loading'!$Q$3:$Q$501,'2627PR_Loading'!$V$3:$V$501,"",0),"")</f>
        <v/>
      </c>
      <c r="Q375" s="98" t="str">
        <f>IF(B375&lt;&gt;"",_xlfn.XLOOKUP(B375,TableDispatch[Uniq Id],TableDispatch[Delivery Date],"",0),"")</f>
        <v/>
      </c>
      <c r="R375" s="98" t="str">
        <f>IF(B375&lt;&gt;"",_xlfn.XLOOKUP(B375,TableDispatch[Uniq Id],TableDispatch[Our Ch No.],"",0),"")</f>
        <v/>
      </c>
      <c r="T375" s="26" t="str">
        <f>IF(B375&lt;&gt;"",_xlfn.XLOOKUP(B375,TableDispatch[Uniq Id],TableDispatch[Eway Bill Out],"",0),"")</f>
        <v/>
      </c>
    </row>
    <row r="376" spans="5:20" x14ac:dyDescent="0.25">
      <c r="E376" s="99"/>
      <c r="J376" s="211" t="str">
        <f>IF(B376&lt;&gt;"",_xlfn.XLOOKUP(B376,'2627PR_Loading'!$E$3:$E$501,'2627PR_Loading'!$B$3:$B$501,"",0)&amp;_xlfn.XLOOKUP(B376,'2627PR_Loading'!$K$3:$K$501,'2627PR_Loading'!$B$3:$B$501,"",0)&amp;_xlfn.XLOOKUP(B376,'2627PR_Loading'!$Q$3:$Q$501,'2627PR_Loading'!$B$3:$B$501,"",0),"")</f>
        <v/>
      </c>
      <c r="K376" s="211" t="str">
        <f>IF(B376&lt;&gt;"",_xlfn.XLOOKUP(B376,'2627PR_Loading'!$E$3:$E$501,'2627PR_Loading'!$C$3:$C$501,"",0)&amp;_xlfn.XLOOKUP(B376,'2627PR_Loading'!$K$3:$K$501,'2627PR_Loading'!$C$3:$C$501,"",0)&amp;_xlfn.XLOOKUP(B376,'2627PR_Loading'!$Q$3:$Q$501,'2627PR_Loading'!$C$3:$C$501,"",0),"")</f>
        <v/>
      </c>
      <c r="P376" s="248" t="str">
        <f>IF(B376&lt;&gt;"",_xlfn.XLOOKUP(B376,'2627PR_Loading'!$E$3:$E$501,'2627PR_Loading'!$J$3:$J$501,"",0)&amp;_xlfn.XLOOKUP(B376,'2627PR_Loading'!$K$3:$K$501,'2627PR_Loading'!$P$3:$P$501,"",0)&amp;_xlfn.XLOOKUP(B376,'2627PR_Loading'!$Q$3:$Q$501,'2627PR_Loading'!$V$3:$V$501,"",0),"")</f>
        <v/>
      </c>
      <c r="Q376" s="98" t="str">
        <f>IF(B376&lt;&gt;"",_xlfn.XLOOKUP(B376,TableDispatch[Uniq Id],TableDispatch[Delivery Date],"",0),"")</f>
        <v/>
      </c>
      <c r="R376" s="98" t="str">
        <f>IF(B376&lt;&gt;"",_xlfn.XLOOKUP(B376,TableDispatch[Uniq Id],TableDispatch[Our Ch No.],"",0),"")</f>
        <v/>
      </c>
      <c r="T376" s="26" t="str">
        <f>IF(B376&lt;&gt;"",_xlfn.XLOOKUP(B376,TableDispatch[Uniq Id],TableDispatch[Eway Bill Out],"",0),"")</f>
        <v/>
      </c>
    </row>
    <row r="377" spans="5:20" x14ac:dyDescent="0.25">
      <c r="E377" s="99"/>
      <c r="J377" s="211" t="str">
        <f>IF(B377&lt;&gt;"",_xlfn.XLOOKUP(B377,'2627PR_Loading'!$E$3:$E$501,'2627PR_Loading'!$B$3:$B$501,"",0)&amp;_xlfn.XLOOKUP(B377,'2627PR_Loading'!$K$3:$K$501,'2627PR_Loading'!$B$3:$B$501,"",0)&amp;_xlfn.XLOOKUP(B377,'2627PR_Loading'!$Q$3:$Q$501,'2627PR_Loading'!$B$3:$B$501,"",0),"")</f>
        <v/>
      </c>
      <c r="K377" s="211" t="str">
        <f>IF(B377&lt;&gt;"",_xlfn.XLOOKUP(B377,'2627PR_Loading'!$E$3:$E$501,'2627PR_Loading'!$C$3:$C$501,"",0)&amp;_xlfn.XLOOKUP(B377,'2627PR_Loading'!$K$3:$K$501,'2627PR_Loading'!$C$3:$C$501,"",0)&amp;_xlfn.XLOOKUP(B377,'2627PR_Loading'!$Q$3:$Q$501,'2627PR_Loading'!$C$3:$C$501,"",0),"")</f>
        <v/>
      </c>
      <c r="P377" s="248" t="str">
        <f>IF(B377&lt;&gt;"",_xlfn.XLOOKUP(B377,'2627PR_Loading'!$E$3:$E$501,'2627PR_Loading'!$J$3:$J$501,"",0)&amp;_xlfn.XLOOKUP(B377,'2627PR_Loading'!$K$3:$K$501,'2627PR_Loading'!$P$3:$P$501,"",0)&amp;_xlfn.XLOOKUP(B377,'2627PR_Loading'!$Q$3:$Q$501,'2627PR_Loading'!$V$3:$V$501,"",0),"")</f>
        <v/>
      </c>
      <c r="Q377" s="98" t="str">
        <f>IF(B377&lt;&gt;"",_xlfn.XLOOKUP(B377,TableDispatch[Uniq Id],TableDispatch[Delivery Date],"",0),"")</f>
        <v/>
      </c>
      <c r="R377" s="98" t="str">
        <f>IF(B377&lt;&gt;"",_xlfn.XLOOKUP(B377,TableDispatch[Uniq Id],TableDispatch[Our Ch No.],"",0),"")</f>
        <v/>
      </c>
      <c r="T377" s="26" t="str">
        <f>IF(B377&lt;&gt;"",_xlfn.XLOOKUP(B377,TableDispatch[Uniq Id],TableDispatch[Eway Bill Out],"",0),"")</f>
        <v/>
      </c>
    </row>
    <row r="378" spans="5:20" x14ac:dyDescent="0.25">
      <c r="E378" s="99"/>
      <c r="J378" s="211" t="str">
        <f>IF(B378&lt;&gt;"",_xlfn.XLOOKUP(B378,'2627PR_Loading'!$E$3:$E$501,'2627PR_Loading'!$B$3:$B$501,"",0)&amp;_xlfn.XLOOKUP(B378,'2627PR_Loading'!$K$3:$K$501,'2627PR_Loading'!$B$3:$B$501,"",0)&amp;_xlfn.XLOOKUP(B378,'2627PR_Loading'!$Q$3:$Q$501,'2627PR_Loading'!$B$3:$B$501,"",0),"")</f>
        <v/>
      </c>
      <c r="K378" s="211" t="str">
        <f>IF(B378&lt;&gt;"",_xlfn.XLOOKUP(B378,'2627PR_Loading'!$E$3:$E$501,'2627PR_Loading'!$C$3:$C$501,"",0)&amp;_xlfn.XLOOKUP(B378,'2627PR_Loading'!$K$3:$K$501,'2627PR_Loading'!$C$3:$C$501,"",0)&amp;_xlfn.XLOOKUP(B378,'2627PR_Loading'!$Q$3:$Q$501,'2627PR_Loading'!$C$3:$C$501,"",0),"")</f>
        <v/>
      </c>
      <c r="P378" s="248" t="str">
        <f>IF(B378&lt;&gt;"",_xlfn.XLOOKUP(B378,'2627PR_Loading'!$E$3:$E$501,'2627PR_Loading'!$J$3:$J$501,"",0)&amp;_xlfn.XLOOKUP(B378,'2627PR_Loading'!$K$3:$K$501,'2627PR_Loading'!$P$3:$P$501,"",0)&amp;_xlfn.XLOOKUP(B378,'2627PR_Loading'!$Q$3:$Q$501,'2627PR_Loading'!$V$3:$V$501,"",0),"")</f>
        <v/>
      </c>
      <c r="Q378" s="98" t="str">
        <f>IF(B378&lt;&gt;"",_xlfn.XLOOKUP(B378,TableDispatch[Uniq Id],TableDispatch[Delivery Date],"",0),"")</f>
        <v/>
      </c>
      <c r="R378" s="98" t="str">
        <f>IF(B378&lt;&gt;"",_xlfn.XLOOKUP(B378,TableDispatch[Uniq Id],TableDispatch[Our Ch No.],"",0),"")</f>
        <v/>
      </c>
      <c r="T378" s="26" t="str">
        <f>IF(B378&lt;&gt;"",_xlfn.XLOOKUP(B378,TableDispatch[Uniq Id],TableDispatch[Eway Bill Out],"",0),"")</f>
        <v/>
      </c>
    </row>
    <row r="379" spans="5:20" x14ac:dyDescent="0.25">
      <c r="E379" s="99"/>
      <c r="J379" s="211" t="str">
        <f>IF(B379&lt;&gt;"",_xlfn.XLOOKUP(B379,'2627PR_Loading'!$E$3:$E$501,'2627PR_Loading'!$B$3:$B$501,"",0)&amp;_xlfn.XLOOKUP(B379,'2627PR_Loading'!$K$3:$K$501,'2627PR_Loading'!$B$3:$B$501,"",0)&amp;_xlfn.XLOOKUP(B379,'2627PR_Loading'!$Q$3:$Q$501,'2627PR_Loading'!$B$3:$B$501,"",0),"")</f>
        <v/>
      </c>
      <c r="K379" s="211" t="str">
        <f>IF(B379&lt;&gt;"",_xlfn.XLOOKUP(B379,'2627PR_Loading'!$E$3:$E$501,'2627PR_Loading'!$C$3:$C$501,"",0)&amp;_xlfn.XLOOKUP(B379,'2627PR_Loading'!$K$3:$K$501,'2627PR_Loading'!$C$3:$C$501,"",0)&amp;_xlfn.XLOOKUP(B379,'2627PR_Loading'!$Q$3:$Q$501,'2627PR_Loading'!$C$3:$C$501,"",0),"")</f>
        <v/>
      </c>
      <c r="P379" s="248" t="str">
        <f>IF(B379&lt;&gt;"",_xlfn.XLOOKUP(B379,'2627PR_Loading'!$E$3:$E$501,'2627PR_Loading'!$J$3:$J$501,"",0)&amp;_xlfn.XLOOKUP(B379,'2627PR_Loading'!$K$3:$K$501,'2627PR_Loading'!$P$3:$P$501,"",0)&amp;_xlfn.XLOOKUP(B379,'2627PR_Loading'!$Q$3:$Q$501,'2627PR_Loading'!$V$3:$V$501,"",0),"")</f>
        <v/>
      </c>
      <c r="Q379" s="98" t="str">
        <f>IF(B379&lt;&gt;"",_xlfn.XLOOKUP(B379,TableDispatch[Uniq Id],TableDispatch[Delivery Date],"",0),"")</f>
        <v/>
      </c>
      <c r="R379" s="98" t="str">
        <f>IF(B379&lt;&gt;"",_xlfn.XLOOKUP(B379,TableDispatch[Uniq Id],TableDispatch[Our Ch No.],"",0),"")</f>
        <v/>
      </c>
      <c r="T379" s="26" t="str">
        <f>IF(B379&lt;&gt;"",_xlfn.XLOOKUP(B379,TableDispatch[Uniq Id],TableDispatch[Eway Bill Out],"",0),"")</f>
        <v/>
      </c>
    </row>
    <row r="380" spans="5:20" x14ac:dyDescent="0.25">
      <c r="E380" s="99"/>
      <c r="J380" s="211" t="str">
        <f>IF(B380&lt;&gt;"",_xlfn.XLOOKUP(B380,'2627PR_Loading'!$E$3:$E$501,'2627PR_Loading'!$B$3:$B$501,"",0)&amp;_xlfn.XLOOKUP(B380,'2627PR_Loading'!$K$3:$K$501,'2627PR_Loading'!$B$3:$B$501,"",0)&amp;_xlfn.XLOOKUP(B380,'2627PR_Loading'!$Q$3:$Q$501,'2627PR_Loading'!$B$3:$B$501,"",0),"")</f>
        <v/>
      </c>
      <c r="K380" s="211" t="str">
        <f>IF(B380&lt;&gt;"",_xlfn.XLOOKUP(B380,'2627PR_Loading'!$E$3:$E$501,'2627PR_Loading'!$C$3:$C$501,"",0)&amp;_xlfn.XLOOKUP(B380,'2627PR_Loading'!$K$3:$K$501,'2627PR_Loading'!$C$3:$C$501,"",0)&amp;_xlfn.XLOOKUP(B380,'2627PR_Loading'!$Q$3:$Q$501,'2627PR_Loading'!$C$3:$C$501,"",0),"")</f>
        <v/>
      </c>
      <c r="P380" s="248" t="str">
        <f>IF(B380&lt;&gt;"",_xlfn.XLOOKUP(B380,'2627PR_Loading'!$E$3:$E$501,'2627PR_Loading'!$J$3:$J$501,"",0)&amp;_xlfn.XLOOKUP(B380,'2627PR_Loading'!$K$3:$K$501,'2627PR_Loading'!$P$3:$P$501,"",0)&amp;_xlfn.XLOOKUP(B380,'2627PR_Loading'!$Q$3:$Q$501,'2627PR_Loading'!$V$3:$V$501,"",0),"")</f>
        <v/>
      </c>
      <c r="Q380" s="98" t="str">
        <f>IF(B380&lt;&gt;"",_xlfn.XLOOKUP(B380,TableDispatch[Uniq Id],TableDispatch[Delivery Date],"",0),"")</f>
        <v/>
      </c>
      <c r="R380" s="98" t="str">
        <f>IF(B380&lt;&gt;"",_xlfn.XLOOKUP(B380,TableDispatch[Uniq Id],TableDispatch[Our Ch No.],"",0),"")</f>
        <v/>
      </c>
      <c r="T380" s="26" t="str">
        <f>IF(B380&lt;&gt;"",_xlfn.XLOOKUP(B380,TableDispatch[Uniq Id],TableDispatch[Eway Bill Out],"",0),"")</f>
        <v/>
      </c>
    </row>
    <row r="381" spans="5:20" x14ac:dyDescent="0.25">
      <c r="E381" s="99"/>
      <c r="J381" s="211" t="str">
        <f>IF(B381&lt;&gt;"",_xlfn.XLOOKUP(B381,'2627PR_Loading'!$E$3:$E$501,'2627PR_Loading'!$B$3:$B$501,"",0)&amp;_xlfn.XLOOKUP(B381,'2627PR_Loading'!$K$3:$K$501,'2627PR_Loading'!$B$3:$B$501,"",0)&amp;_xlfn.XLOOKUP(B381,'2627PR_Loading'!$Q$3:$Q$501,'2627PR_Loading'!$B$3:$B$501,"",0),"")</f>
        <v/>
      </c>
      <c r="K381" s="211" t="str">
        <f>IF(B381&lt;&gt;"",_xlfn.XLOOKUP(B381,'2627PR_Loading'!$E$3:$E$501,'2627PR_Loading'!$C$3:$C$501,"",0)&amp;_xlfn.XLOOKUP(B381,'2627PR_Loading'!$K$3:$K$501,'2627PR_Loading'!$C$3:$C$501,"",0)&amp;_xlfn.XLOOKUP(B381,'2627PR_Loading'!$Q$3:$Q$501,'2627PR_Loading'!$C$3:$C$501,"",0),"")</f>
        <v/>
      </c>
      <c r="P381" s="248" t="str">
        <f>IF(B381&lt;&gt;"",_xlfn.XLOOKUP(B381,'2627PR_Loading'!$E$3:$E$501,'2627PR_Loading'!$J$3:$J$501,"",0)&amp;_xlfn.XLOOKUP(B381,'2627PR_Loading'!$K$3:$K$501,'2627PR_Loading'!$P$3:$P$501,"",0)&amp;_xlfn.XLOOKUP(B381,'2627PR_Loading'!$Q$3:$Q$501,'2627PR_Loading'!$V$3:$V$501,"",0),"")</f>
        <v/>
      </c>
      <c r="Q381" s="98" t="str">
        <f>IF(B381&lt;&gt;"",_xlfn.XLOOKUP(B381,TableDispatch[Uniq Id],TableDispatch[Delivery Date],"",0),"")</f>
        <v/>
      </c>
      <c r="R381" s="98" t="str">
        <f>IF(B381&lt;&gt;"",_xlfn.XLOOKUP(B381,TableDispatch[Uniq Id],TableDispatch[Our Ch No.],"",0),"")</f>
        <v/>
      </c>
      <c r="T381" s="26" t="str">
        <f>IF(B381&lt;&gt;"",_xlfn.XLOOKUP(B381,TableDispatch[Uniq Id],TableDispatch[Eway Bill Out],"",0),"")</f>
        <v/>
      </c>
    </row>
    <row r="382" spans="5:20" x14ac:dyDescent="0.25">
      <c r="E382" s="99"/>
      <c r="J382" s="211" t="str">
        <f>IF(B382&lt;&gt;"",_xlfn.XLOOKUP(B382,'2627PR_Loading'!$E$3:$E$501,'2627PR_Loading'!$B$3:$B$501,"",0)&amp;_xlfn.XLOOKUP(B382,'2627PR_Loading'!$K$3:$K$501,'2627PR_Loading'!$B$3:$B$501,"",0)&amp;_xlfn.XLOOKUP(B382,'2627PR_Loading'!$Q$3:$Q$501,'2627PR_Loading'!$B$3:$B$501,"",0),"")</f>
        <v/>
      </c>
      <c r="K382" s="211" t="str">
        <f>IF(B382&lt;&gt;"",_xlfn.XLOOKUP(B382,'2627PR_Loading'!$E$3:$E$501,'2627PR_Loading'!$C$3:$C$501,"",0)&amp;_xlfn.XLOOKUP(B382,'2627PR_Loading'!$K$3:$K$501,'2627PR_Loading'!$C$3:$C$501,"",0)&amp;_xlfn.XLOOKUP(B382,'2627PR_Loading'!$Q$3:$Q$501,'2627PR_Loading'!$C$3:$C$501,"",0),"")</f>
        <v/>
      </c>
      <c r="P382" s="248" t="str">
        <f>IF(B382&lt;&gt;"",_xlfn.XLOOKUP(B382,'2627PR_Loading'!$E$3:$E$501,'2627PR_Loading'!$J$3:$J$501,"",0)&amp;_xlfn.XLOOKUP(B382,'2627PR_Loading'!$K$3:$K$501,'2627PR_Loading'!$P$3:$P$501,"",0)&amp;_xlfn.XLOOKUP(B382,'2627PR_Loading'!$Q$3:$Q$501,'2627PR_Loading'!$V$3:$V$501,"",0),"")</f>
        <v/>
      </c>
      <c r="Q382" s="98" t="str">
        <f>IF(B382&lt;&gt;"",_xlfn.XLOOKUP(B382,TableDispatch[Uniq Id],TableDispatch[Delivery Date],"",0),"")</f>
        <v/>
      </c>
      <c r="R382" s="98" t="str">
        <f>IF(B382&lt;&gt;"",_xlfn.XLOOKUP(B382,TableDispatch[Uniq Id],TableDispatch[Our Ch No.],"",0),"")</f>
        <v/>
      </c>
      <c r="T382" s="26" t="str">
        <f>IF(B382&lt;&gt;"",_xlfn.XLOOKUP(B382,TableDispatch[Uniq Id],TableDispatch[Eway Bill Out],"",0),"")</f>
        <v/>
      </c>
    </row>
    <row r="383" spans="5:20" x14ac:dyDescent="0.25">
      <c r="E383" s="99"/>
      <c r="J383" s="211" t="str">
        <f>IF(B383&lt;&gt;"",_xlfn.XLOOKUP(B383,'2627PR_Loading'!$E$3:$E$501,'2627PR_Loading'!$B$3:$B$501,"",0)&amp;_xlfn.XLOOKUP(B383,'2627PR_Loading'!$K$3:$K$501,'2627PR_Loading'!$B$3:$B$501,"",0)&amp;_xlfn.XLOOKUP(B383,'2627PR_Loading'!$Q$3:$Q$501,'2627PR_Loading'!$B$3:$B$501,"",0),"")</f>
        <v/>
      </c>
      <c r="K383" s="211" t="str">
        <f>IF(B383&lt;&gt;"",_xlfn.XLOOKUP(B383,'2627PR_Loading'!$E$3:$E$501,'2627PR_Loading'!$C$3:$C$501,"",0)&amp;_xlfn.XLOOKUP(B383,'2627PR_Loading'!$K$3:$K$501,'2627PR_Loading'!$C$3:$C$501,"",0)&amp;_xlfn.XLOOKUP(B383,'2627PR_Loading'!$Q$3:$Q$501,'2627PR_Loading'!$C$3:$C$501,"",0),"")</f>
        <v/>
      </c>
      <c r="P383" s="248" t="str">
        <f>IF(B383&lt;&gt;"",_xlfn.XLOOKUP(B383,'2627PR_Loading'!$E$3:$E$501,'2627PR_Loading'!$J$3:$J$501,"",0)&amp;_xlfn.XLOOKUP(B383,'2627PR_Loading'!$K$3:$K$501,'2627PR_Loading'!$P$3:$P$501,"",0)&amp;_xlfn.XLOOKUP(B383,'2627PR_Loading'!$Q$3:$Q$501,'2627PR_Loading'!$V$3:$V$501,"",0),"")</f>
        <v/>
      </c>
      <c r="Q383" s="98" t="str">
        <f>IF(B383&lt;&gt;"",_xlfn.XLOOKUP(B383,TableDispatch[Uniq Id],TableDispatch[Delivery Date],"",0),"")</f>
        <v/>
      </c>
      <c r="R383" s="98" t="str">
        <f>IF(B383&lt;&gt;"",_xlfn.XLOOKUP(B383,TableDispatch[Uniq Id],TableDispatch[Our Ch No.],"",0),"")</f>
        <v/>
      </c>
      <c r="T383" s="26" t="str">
        <f>IF(B383&lt;&gt;"",_xlfn.XLOOKUP(B383,TableDispatch[Uniq Id],TableDispatch[Eway Bill Out],"",0),"")</f>
        <v/>
      </c>
    </row>
    <row r="384" spans="5:20" x14ac:dyDescent="0.25">
      <c r="E384" s="99"/>
      <c r="J384" s="211" t="str">
        <f>IF(B384&lt;&gt;"",_xlfn.XLOOKUP(B384,'2627PR_Loading'!$E$3:$E$501,'2627PR_Loading'!$B$3:$B$501,"",0)&amp;_xlfn.XLOOKUP(B384,'2627PR_Loading'!$K$3:$K$501,'2627PR_Loading'!$B$3:$B$501,"",0)&amp;_xlfn.XLOOKUP(B384,'2627PR_Loading'!$Q$3:$Q$501,'2627PR_Loading'!$B$3:$B$501,"",0),"")</f>
        <v/>
      </c>
      <c r="K384" s="211" t="str">
        <f>IF(B384&lt;&gt;"",_xlfn.XLOOKUP(B384,'2627PR_Loading'!$E$3:$E$501,'2627PR_Loading'!$C$3:$C$501,"",0)&amp;_xlfn.XLOOKUP(B384,'2627PR_Loading'!$K$3:$K$501,'2627PR_Loading'!$C$3:$C$501,"",0)&amp;_xlfn.XLOOKUP(B384,'2627PR_Loading'!$Q$3:$Q$501,'2627PR_Loading'!$C$3:$C$501,"",0),"")</f>
        <v/>
      </c>
      <c r="P384" s="248" t="str">
        <f>IF(B384&lt;&gt;"",_xlfn.XLOOKUP(B384,'2627PR_Loading'!$E$3:$E$501,'2627PR_Loading'!$J$3:$J$501,"",0)&amp;_xlfn.XLOOKUP(B384,'2627PR_Loading'!$K$3:$K$501,'2627PR_Loading'!$P$3:$P$501,"",0)&amp;_xlfn.XLOOKUP(B384,'2627PR_Loading'!$Q$3:$Q$501,'2627PR_Loading'!$V$3:$V$501,"",0),"")</f>
        <v/>
      </c>
      <c r="Q384" s="98" t="str">
        <f>IF(B384&lt;&gt;"",_xlfn.XLOOKUP(B384,TableDispatch[Uniq Id],TableDispatch[Delivery Date],"",0),"")</f>
        <v/>
      </c>
      <c r="R384" s="98" t="str">
        <f>IF(B384&lt;&gt;"",_xlfn.XLOOKUP(B384,TableDispatch[Uniq Id],TableDispatch[Our Ch No.],"",0),"")</f>
        <v/>
      </c>
      <c r="T384" s="26" t="str">
        <f>IF(B384&lt;&gt;"",_xlfn.XLOOKUP(B384,TableDispatch[Uniq Id],TableDispatch[Eway Bill Out],"",0),"")</f>
        <v/>
      </c>
    </row>
    <row r="385" spans="5:20" x14ac:dyDescent="0.25">
      <c r="E385" s="99"/>
      <c r="J385" s="211" t="str">
        <f>IF(B385&lt;&gt;"",_xlfn.XLOOKUP(B385,'2627PR_Loading'!$E$3:$E$501,'2627PR_Loading'!$B$3:$B$501,"",0)&amp;_xlfn.XLOOKUP(B385,'2627PR_Loading'!$K$3:$K$501,'2627PR_Loading'!$B$3:$B$501,"",0)&amp;_xlfn.XLOOKUP(B385,'2627PR_Loading'!$Q$3:$Q$501,'2627PR_Loading'!$B$3:$B$501,"",0),"")</f>
        <v/>
      </c>
      <c r="K385" s="211" t="str">
        <f>IF(B385&lt;&gt;"",_xlfn.XLOOKUP(B385,'2627PR_Loading'!$E$3:$E$501,'2627PR_Loading'!$C$3:$C$501,"",0)&amp;_xlfn.XLOOKUP(B385,'2627PR_Loading'!$K$3:$K$501,'2627PR_Loading'!$C$3:$C$501,"",0)&amp;_xlfn.XLOOKUP(B385,'2627PR_Loading'!$Q$3:$Q$501,'2627PR_Loading'!$C$3:$C$501,"",0),"")</f>
        <v/>
      </c>
      <c r="P385" s="248" t="str">
        <f>IF(B385&lt;&gt;"",_xlfn.XLOOKUP(B385,'2627PR_Loading'!$E$3:$E$501,'2627PR_Loading'!$J$3:$J$501,"",0)&amp;_xlfn.XLOOKUP(B385,'2627PR_Loading'!$K$3:$K$501,'2627PR_Loading'!$P$3:$P$501,"",0)&amp;_xlfn.XLOOKUP(B385,'2627PR_Loading'!$Q$3:$Q$501,'2627PR_Loading'!$V$3:$V$501,"",0),"")</f>
        <v/>
      </c>
      <c r="Q385" s="98" t="str">
        <f>IF(B385&lt;&gt;"",_xlfn.XLOOKUP(B385,TableDispatch[Uniq Id],TableDispatch[Delivery Date],"",0),"")</f>
        <v/>
      </c>
      <c r="R385" s="98" t="str">
        <f>IF(B385&lt;&gt;"",_xlfn.XLOOKUP(B385,TableDispatch[Uniq Id],TableDispatch[Our Ch No.],"",0),"")</f>
        <v/>
      </c>
      <c r="T385" s="26" t="str">
        <f>IF(B385&lt;&gt;"",_xlfn.XLOOKUP(B385,TableDispatch[Uniq Id],TableDispatch[Eway Bill Out],"",0),"")</f>
        <v/>
      </c>
    </row>
    <row r="386" spans="5:20" x14ac:dyDescent="0.25">
      <c r="E386" s="99"/>
      <c r="J386" s="211" t="str">
        <f>IF(B386&lt;&gt;"",_xlfn.XLOOKUP(B386,'2627PR_Loading'!$E$3:$E$501,'2627PR_Loading'!$B$3:$B$501,"",0)&amp;_xlfn.XLOOKUP(B386,'2627PR_Loading'!$K$3:$K$501,'2627PR_Loading'!$B$3:$B$501,"",0)&amp;_xlfn.XLOOKUP(B386,'2627PR_Loading'!$Q$3:$Q$501,'2627PR_Loading'!$B$3:$B$501,"",0),"")</f>
        <v/>
      </c>
      <c r="K386" s="211" t="str">
        <f>IF(B386&lt;&gt;"",_xlfn.XLOOKUP(B386,'2627PR_Loading'!$E$3:$E$501,'2627PR_Loading'!$C$3:$C$501,"",0)&amp;_xlfn.XLOOKUP(B386,'2627PR_Loading'!$K$3:$K$501,'2627PR_Loading'!$C$3:$C$501,"",0)&amp;_xlfn.XLOOKUP(B386,'2627PR_Loading'!$Q$3:$Q$501,'2627PR_Loading'!$C$3:$C$501,"",0),"")</f>
        <v/>
      </c>
      <c r="P386" s="248" t="str">
        <f>IF(B386&lt;&gt;"",_xlfn.XLOOKUP(B386,'2627PR_Loading'!$E$3:$E$501,'2627PR_Loading'!$J$3:$J$501,"",0)&amp;_xlfn.XLOOKUP(B386,'2627PR_Loading'!$K$3:$K$501,'2627PR_Loading'!$P$3:$P$501,"",0)&amp;_xlfn.XLOOKUP(B386,'2627PR_Loading'!$Q$3:$Q$501,'2627PR_Loading'!$V$3:$V$501,"",0),"")</f>
        <v/>
      </c>
      <c r="Q386" s="98" t="str">
        <f>IF(B386&lt;&gt;"",_xlfn.XLOOKUP(B386,TableDispatch[Uniq Id],TableDispatch[Delivery Date],"",0),"")</f>
        <v/>
      </c>
      <c r="R386" s="98" t="str">
        <f>IF(B386&lt;&gt;"",_xlfn.XLOOKUP(B386,TableDispatch[Uniq Id],TableDispatch[Our Ch No.],"",0),"")</f>
        <v/>
      </c>
      <c r="T386" s="26" t="str">
        <f>IF(B386&lt;&gt;"",_xlfn.XLOOKUP(B386,TableDispatch[Uniq Id],TableDispatch[Eway Bill Out],"",0),"")</f>
        <v/>
      </c>
    </row>
    <row r="387" spans="5:20" x14ac:dyDescent="0.25">
      <c r="E387" s="99"/>
      <c r="J387" s="211" t="str">
        <f>IF(B387&lt;&gt;"",_xlfn.XLOOKUP(B387,'2627PR_Loading'!$E$3:$E$501,'2627PR_Loading'!$B$3:$B$501,"",0)&amp;_xlfn.XLOOKUP(B387,'2627PR_Loading'!$K$3:$K$501,'2627PR_Loading'!$B$3:$B$501,"",0)&amp;_xlfn.XLOOKUP(B387,'2627PR_Loading'!$Q$3:$Q$501,'2627PR_Loading'!$B$3:$B$501,"",0),"")</f>
        <v/>
      </c>
      <c r="K387" s="211" t="str">
        <f>IF(B387&lt;&gt;"",_xlfn.XLOOKUP(B387,'2627PR_Loading'!$E$3:$E$501,'2627PR_Loading'!$C$3:$C$501,"",0)&amp;_xlfn.XLOOKUP(B387,'2627PR_Loading'!$K$3:$K$501,'2627PR_Loading'!$C$3:$C$501,"",0)&amp;_xlfn.XLOOKUP(B387,'2627PR_Loading'!$Q$3:$Q$501,'2627PR_Loading'!$C$3:$C$501,"",0),"")</f>
        <v/>
      </c>
      <c r="P387" s="248" t="str">
        <f>IF(B387&lt;&gt;"",_xlfn.XLOOKUP(B387,'2627PR_Loading'!$E$3:$E$501,'2627PR_Loading'!$J$3:$J$501,"",0)&amp;_xlfn.XLOOKUP(B387,'2627PR_Loading'!$K$3:$K$501,'2627PR_Loading'!$P$3:$P$501,"",0)&amp;_xlfn.XLOOKUP(B387,'2627PR_Loading'!$Q$3:$Q$501,'2627PR_Loading'!$V$3:$V$501,"",0),"")</f>
        <v/>
      </c>
      <c r="Q387" s="98" t="str">
        <f>IF(B387&lt;&gt;"",_xlfn.XLOOKUP(B387,TableDispatch[Uniq Id],TableDispatch[Delivery Date],"",0),"")</f>
        <v/>
      </c>
      <c r="R387" s="98" t="str">
        <f>IF(B387&lt;&gt;"",_xlfn.XLOOKUP(B387,TableDispatch[Uniq Id],TableDispatch[Our Ch No.],"",0),"")</f>
        <v/>
      </c>
      <c r="T387" s="26" t="str">
        <f>IF(B387&lt;&gt;"",_xlfn.XLOOKUP(B387,TableDispatch[Uniq Id],TableDispatch[Eway Bill Out],"",0),"")</f>
        <v/>
      </c>
    </row>
    <row r="388" spans="5:20" x14ac:dyDescent="0.25">
      <c r="E388" s="99"/>
      <c r="J388" s="211" t="str">
        <f>IF(B388&lt;&gt;"",_xlfn.XLOOKUP(B388,'2627PR_Loading'!$E$3:$E$501,'2627PR_Loading'!$B$3:$B$501,"",0)&amp;_xlfn.XLOOKUP(B388,'2627PR_Loading'!$K$3:$K$501,'2627PR_Loading'!$B$3:$B$501,"",0)&amp;_xlfn.XLOOKUP(B388,'2627PR_Loading'!$Q$3:$Q$501,'2627PR_Loading'!$B$3:$B$501,"",0),"")</f>
        <v/>
      </c>
      <c r="K388" s="211" t="str">
        <f>IF(B388&lt;&gt;"",_xlfn.XLOOKUP(B388,'2627PR_Loading'!$E$3:$E$501,'2627PR_Loading'!$C$3:$C$501,"",0)&amp;_xlfn.XLOOKUP(B388,'2627PR_Loading'!$K$3:$K$501,'2627PR_Loading'!$C$3:$C$501,"",0)&amp;_xlfn.XLOOKUP(B388,'2627PR_Loading'!$Q$3:$Q$501,'2627PR_Loading'!$C$3:$C$501,"",0),"")</f>
        <v/>
      </c>
      <c r="P388" s="248" t="str">
        <f>IF(B388&lt;&gt;"",_xlfn.XLOOKUP(B388,'2627PR_Loading'!$E$3:$E$501,'2627PR_Loading'!$J$3:$J$501,"",0)&amp;_xlfn.XLOOKUP(B388,'2627PR_Loading'!$K$3:$K$501,'2627PR_Loading'!$P$3:$P$501,"",0)&amp;_xlfn.XLOOKUP(B388,'2627PR_Loading'!$Q$3:$Q$501,'2627PR_Loading'!$V$3:$V$501,"",0),"")</f>
        <v/>
      </c>
      <c r="Q388" s="98" t="str">
        <f>IF(B388&lt;&gt;"",_xlfn.XLOOKUP(B388,TableDispatch[Uniq Id],TableDispatch[Delivery Date],"",0),"")</f>
        <v/>
      </c>
      <c r="R388" s="98" t="str">
        <f>IF(B388&lt;&gt;"",_xlfn.XLOOKUP(B388,TableDispatch[Uniq Id],TableDispatch[Our Ch No.],"",0),"")</f>
        <v/>
      </c>
      <c r="T388" s="26" t="str">
        <f>IF(B388&lt;&gt;"",_xlfn.XLOOKUP(B388,TableDispatch[Uniq Id],TableDispatch[Eway Bill Out],"",0),"")</f>
        <v/>
      </c>
    </row>
    <row r="389" spans="5:20" x14ac:dyDescent="0.25">
      <c r="E389" s="99"/>
      <c r="J389" s="211" t="str">
        <f>IF(B389&lt;&gt;"",_xlfn.XLOOKUP(B389,'2627PR_Loading'!$E$3:$E$501,'2627PR_Loading'!$B$3:$B$501,"",0)&amp;_xlfn.XLOOKUP(B389,'2627PR_Loading'!$K$3:$K$501,'2627PR_Loading'!$B$3:$B$501,"",0)&amp;_xlfn.XLOOKUP(B389,'2627PR_Loading'!$Q$3:$Q$501,'2627PR_Loading'!$B$3:$B$501,"",0),"")</f>
        <v/>
      </c>
      <c r="K389" s="211" t="str">
        <f>IF(B389&lt;&gt;"",_xlfn.XLOOKUP(B389,'2627PR_Loading'!$E$3:$E$501,'2627PR_Loading'!$C$3:$C$501,"",0)&amp;_xlfn.XLOOKUP(B389,'2627PR_Loading'!$K$3:$K$501,'2627PR_Loading'!$C$3:$C$501,"",0)&amp;_xlfn.XLOOKUP(B389,'2627PR_Loading'!$Q$3:$Q$501,'2627PR_Loading'!$C$3:$C$501,"",0),"")</f>
        <v/>
      </c>
      <c r="P389" s="248" t="str">
        <f>IF(B389&lt;&gt;"",_xlfn.XLOOKUP(B389,'2627PR_Loading'!$E$3:$E$501,'2627PR_Loading'!$J$3:$J$501,"",0)&amp;_xlfn.XLOOKUP(B389,'2627PR_Loading'!$K$3:$K$501,'2627PR_Loading'!$P$3:$P$501,"",0)&amp;_xlfn.XLOOKUP(B389,'2627PR_Loading'!$Q$3:$Q$501,'2627PR_Loading'!$V$3:$V$501,"",0),"")</f>
        <v/>
      </c>
      <c r="Q389" s="98" t="str">
        <f>IF(B389&lt;&gt;"",_xlfn.XLOOKUP(B389,TableDispatch[Uniq Id],TableDispatch[Delivery Date],"",0),"")</f>
        <v/>
      </c>
      <c r="R389" s="98" t="str">
        <f>IF(B389&lt;&gt;"",_xlfn.XLOOKUP(B389,TableDispatch[Uniq Id],TableDispatch[Our Ch No.],"",0),"")</f>
        <v/>
      </c>
      <c r="T389" s="26" t="str">
        <f>IF(B389&lt;&gt;"",_xlfn.XLOOKUP(B389,TableDispatch[Uniq Id],TableDispatch[Eway Bill Out],"",0),"")</f>
        <v/>
      </c>
    </row>
    <row r="390" spans="5:20" x14ac:dyDescent="0.25">
      <c r="E390" s="99"/>
      <c r="J390" s="211" t="str">
        <f>IF(B390&lt;&gt;"",_xlfn.XLOOKUP(B390,'2627PR_Loading'!$E$3:$E$501,'2627PR_Loading'!$B$3:$B$501,"",0)&amp;_xlfn.XLOOKUP(B390,'2627PR_Loading'!$K$3:$K$501,'2627PR_Loading'!$B$3:$B$501,"",0)&amp;_xlfn.XLOOKUP(B390,'2627PR_Loading'!$Q$3:$Q$501,'2627PR_Loading'!$B$3:$B$501,"",0),"")</f>
        <v/>
      </c>
      <c r="K390" s="211" t="str">
        <f>IF(B390&lt;&gt;"",_xlfn.XLOOKUP(B390,'2627PR_Loading'!$E$3:$E$501,'2627PR_Loading'!$C$3:$C$501,"",0)&amp;_xlfn.XLOOKUP(B390,'2627PR_Loading'!$K$3:$K$501,'2627PR_Loading'!$C$3:$C$501,"",0)&amp;_xlfn.XLOOKUP(B390,'2627PR_Loading'!$Q$3:$Q$501,'2627PR_Loading'!$C$3:$C$501,"",0),"")</f>
        <v/>
      </c>
      <c r="P390" s="248" t="str">
        <f>IF(B390&lt;&gt;"",_xlfn.XLOOKUP(B390,'2627PR_Loading'!$E$3:$E$501,'2627PR_Loading'!$J$3:$J$501,"",0)&amp;_xlfn.XLOOKUP(B390,'2627PR_Loading'!$K$3:$K$501,'2627PR_Loading'!$P$3:$P$501,"",0)&amp;_xlfn.XLOOKUP(B390,'2627PR_Loading'!$Q$3:$Q$501,'2627PR_Loading'!$V$3:$V$501,"",0),"")</f>
        <v/>
      </c>
      <c r="Q390" s="98" t="str">
        <f>IF(B390&lt;&gt;"",_xlfn.XLOOKUP(B390,TableDispatch[Uniq Id],TableDispatch[Delivery Date],"",0),"")</f>
        <v/>
      </c>
      <c r="R390" s="98" t="str">
        <f>IF(B390&lt;&gt;"",_xlfn.XLOOKUP(B390,TableDispatch[Uniq Id],TableDispatch[Our Ch No.],"",0),"")</f>
        <v/>
      </c>
      <c r="T390" s="26" t="str">
        <f>IF(B390&lt;&gt;"",_xlfn.XLOOKUP(B390,TableDispatch[Uniq Id],TableDispatch[Eway Bill Out],"",0),"")</f>
        <v/>
      </c>
    </row>
    <row r="391" spans="5:20" x14ac:dyDescent="0.25">
      <c r="E391" s="99"/>
      <c r="J391" s="211" t="str">
        <f>IF(B391&lt;&gt;"",_xlfn.XLOOKUP(B391,'2627PR_Loading'!$E$3:$E$501,'2627PR_Loading'!$B$3:$B$501,"",0)&amp;_xlfn.XLOOKUP(B391,'2627PR_Loading'!$K$3:$K$501,'2627PR_Loading'!$B$3:$B$501,"",0)&amp;_xlfn.XLOOKUP(B391,'2627PR_Loading'!$Q$3:$Q$501,'2627PR_Loading'!$B$3:$B$501,"",0),"")</f>
        <v/>
      </c>
      <c r="K391" s="211" t="str">
        <f>IF(B391&lt;&gt;"",_xlfn.XLOOKUP(B391,'2627PR_Loading'!$E$3:$E$501,'2627PR_Loading'!$C$3:$C$501,"",0)&amp;_xlfn.XLOOKUP(B391,'2627PR_Loading'!$K$3:$K$501,'2627PR_Loading'!$C$3:$C$501,"",0)&amp;_xlfn.XLOOKUP(B391,'2627PR_Loading'!$Q$3:$Q$501,'2627PR_Loading'!$C$3:$C$501,"",0),"")</f>
        <v/>
      </c>
      <c r="P391" s="248" t="str">
        <f>IF(B391&lt;&gt;"",_xlfn.XLOOKUP(B391,'2627PR_Loading'!$E$3:$E$501,'2627PR_Loading'!$J$3:$J$501,"",0)&amp;_xlfn.XLOOKUP(B391,'2627PR_Loading'!$K$3:$K$501,'2627PR_Loading'!$P$3:$P$501,"",0)&amp;_xlfn.XLOOKUP(B391,'2627PR_Loading'!$Q$3:$Q$501,'2627PR_Loading'!$V$3:$V$501,"",0),"")</f>
        <v/>
      </c>
      <c r="Q391" s="98" t="str">
        <f>IF(B391&lt;&gt;"",_xlfn.XLOOKUP(B391,TableDispatch[Uniq Id],TableDispatch[Delivery Date],"",0),"")</f>
        <v/>
      </c>
      <c r="R391" s="98" t="str">
        <f>IF(B391&lt;&gt;"",_xlfn.XLOOKUP(B391,TableDispatch[Uniq Id],TableDispatch[Our Ch No.],"",0),"")</f>
        <v/>
      </c>
      <c r="T391" s="26" t="str">
        <f>IF(B391&lt;&gt;"",_xlfn.XLOOKUP(B391,TableDispatch[Uniq Id],TableDispatch[Eway Bill Out],"",0),"")</f>
        <v/>
      </c>
    </row>
    <row r="392" spans="5:20" x14ac:dyDescent="0.25">
      <c r="E392" s="99"/>
      <c r="J392" s="211" t="str">
        <f>IF(B392&lt;&gt;"",_xlfn.XLOOKUP(B392,'2627PR_Loading'!$E$3:$E$501,'2627PR_Loading'!$B$3:$B$501,"",0)&amp;_xlfn.XLOOKUP(B392,'2627PR_Loading'!$K$3:$K$501,'2627PR_Loading'!$B$3:$B$501,"",0)&amp;_xlfn.XLOOKUP(B392,'2627PR_Loading'!$Q$3:$Q$501,'2627PR_Loading'!$B$3:$B$501,"",0),"")</f>
        <v/>
      </c>
      <c r="K392" s="211" t="str">
        <f>IF(B392&lt;&gt;"",_xlfn.XLOOKUP(B392,'2627PR_Loading'!$E$3:$E$501,'2627PR_Loading'!$C$3:$C$501,"",0)&amp;_xlfn.XLOOKUP(B392,'2627PR_Loading'!$K$3:$K$501,'2627PR_Loading'!$C$3:$C$501,"",0)&amp;_xlfn.XLOOKUP(B392,'2627PR_Loading'!$Q$3:$Q$501,'2627PR_Loading'!$C$3:$C$501,"",0),"")</f>
        <v/>
      </c>
      <c r="P392" s="248" t="str">
        <f>IF(B392&lt;&gt;"",_xlfn.XLOOKUP(B392,'2627PR_Loading'!$E$3:$E$501,'2627PR_Loading'!$J$3:$J$501,"",0)&amp;_xlfn.XLOOKUP(B392,'2627PR_Loading'!$K$3:$K$501,'2627PR_Loading'!$P$3:$P$501,"",0)&amp;_xlfn.XLOOKUP(B392,'2627PR_Loading'!$Q$3:$Q$501,'2627PR_Loading'!$V$3:$V$501,"",0),"")</f>
        <v/>
      </c>
      <c r="Q392" s="98" t="str">
        <f>IF(B392&lt;&gt;"",_xlfn.XLOOKUP(B392,TableDispatch[Uniq Id],TableDispatch[Delivery Date],"",0),"")</f>
        <v/>
      </c>
      <c r="R392" s="98" t="str">
        <f>IF(B392&lt;&gt;"",_xlfn.XLOOKUP(B392,TableDispatch[Uniq Id],TableDispatch[Our Ch No.],"",0),"")</f>
        <v/>
      </c>
      <c r="T392" s="26" t="str">
        <f>IF(B392&lt;&gt;"",_xlfn.XLOOKUP(B392,TableDispatch[Uniq Id],TableDispatch[Eway Bill Out],"",0),"")</f>
        <v/>
      </c>
    </row>
    <row r="393" spans="5:20" x14ac:dyDescent="0.25">
      <c r="E393" s="99"/>
      <c r="J393" s="211" t="str">
        <f>IF(B393&lt;&gt;"",_xlfn.XLOOKUP(B393,'2627PR_Loading'!$E$3:$E$501,'2627PR_Loading'!$B$3:$B$501,"",0)&amp;_xlfn.XLOOKUP(B393,'2627PR_Loading'!$K$3:$K$501,'2627PR_Loading'!$B$3:$B$501,"",0)&amp;_xlfn.XLOOKUP(B393,'2627PR_Loading'!$Q$3:$Q$501,'2627PR_Loading'!$B$3:$B$501,"",0),"")</f>
        <v/>
      </c>
      <c r="K393" s="211" t="str">
        <f>IF(B393&lt;&gt;"",_xlfn.XLOOKUP(B393,'2627PR_Loading'!$E$3:$E$501,'2627PR_Loading'!$C$3:$C$501,"",0)&amp;_xlfn.XLOOKUP(B393,'2627PR_Loading'!$K$3:$K$501,'2627PR_Loading'!$C$3:$C$501,"",0)&amp;_xlfn.XLOOKUP(B393,'2627PR_Loading'!$Q$3:$Q$501,'2627PR_Loading'!$C$3:$C$501,"",0),"")</f>
        <v/>
      </c>
      <c r="P393" s="248" t="str">
        <f>IF(B393&lt;&gt;"",_xlfn.XLOOKUP(B393,'2627PR_Loading'!$E$3:$E$501,'2627PR_Loading'!$J$3:$J$501,"",0)&amp;_xlfn.XLOOKUP(B393,'2627PR_Loading'!$K$3:$K$501,'2627PR_Loading'!$P$3:$P$501,"",0)&amp;_xlfn.XLOOKUP(B393,'2627PR_Loading'!$Q$3:$Q$501,'2627PR_Loading'!$V$3:$V$501,"",0),"")</f>
        <v/>
      </c>
      <c r="Q393" s="98" t="str">
        <f>IF(B393&lt;&gt;"",_xlfn.XLOOKUP(B393,TableDispatch[Uniq Id],TableDispatch[Delivery Date],"",0),"")</f>
        <v/>
      </c>
      <c r="R393" s="98" t="str">
        <f>IF(B393&lt;&gt;"",_xlfn.XLOOKUP(B393,TableDispatch[Uniq Id],TableDispatch[Our Ch No.],"",0),"")</f>
        <v/>
      </c>
      <c r="T393" s="26" t="str">
        <f>IF(B393&lt;&gt;"",_xlfn.XLOOKUP(B393,TableDispatch[Uniq Id],TableDispatch[Eway Bill Out],"",0),"")</f>
        <v/>
      </c>
    </row>
    <row r="394" spans="5:20" x14ac:dyDescent="0.25">
      <c r="E394" s="99"/>
      <c r="J394" s="211" t="str">
        <f>IF(B394&lt;&gt;"",_xlfn.XLOOKUP(B394,'2627PR_Loading'!$E$3:$E$501,'2627PR_Loading'!$B$3:$B$501,"",0)&amp;_xlfn.XLOOKUP(B394,'2627PR_Loading'!$K$3:$K$501,'2627PR_Loading'!$B$3:$B$501,"",0)&amp;_xlfn.XLOOKUP(B394,'2627PR_Loading'!$Q$3:$Q$501,'2627PR_Loading'!$B$3:$B$501,"",0),"")</f>
        <v/>
      </c>
      <c r="K394" s="211" t="str">
        <f>IF(B394&lt;&gt;"",_xlfn.XLOOKUP(B394,'2627PR_Loading'!$E$3:$E$501,'2627PR_Loading'!$C$3:$C$501,"",0)&amp;_xlfn.XLOOKUP(B394,'2627PR_Loading'!$K$3:$K$501,'2627PR_Loading'!$C$3:$C$501,"",0)&amp;_xlfn.XLOOKUP(B394,'2627PR_Loading'!$Q$3:$Q$501,'2627PR_Loading'!$C$3:$C$501,"",0),"")</f>
        <v/>
      </c>
      <c r="P394" s="248" t="str">
        <f>IF(B394&lt;&gt;"",_xlfn.XLOOKUP(B394,'2627PR_Loading'!$E$3:$E$501,'2627PR_Loading'!$J$3:$J$501,"",0)&amp;_xlfn.XLOOKUP(B394,'2627PR_Loading'!$K$3:$K$501,'2627PR_Loading'!$P$3:$P$501,"",0)&amp;_xlfn.XLOOKUP(B394,'2627PR_Loading'!$Q$3:$Q$501,'2627PR_Loading'!$V$3:$V$501,"",0),"")</f>
        <v/>
      </c>
      <c r="Q394" s="98" t="str">
        <f>IF(B394&lt;&gt;"",_xlfn.XLOOKUP(B394,TableDispatch[Uniq Id],TableDispatch[Delivery Date],"",0),"")</f>
        <v/>
      </c>
      <c r="R394" s="98" t="str">
        <f>IF(B394&lt;&gt;"",_xlfn.XLOOKUP(B394,TableDispatch[Uniq Id],TableDispatch[Our Ch No.],"",0),"")</f>
        <v/>
      </c>
      <c r="T394" s="26" t="str">
        <f>IF(B394&lt;&gt;"",_xlfn.XLOOKUP(B394,TableDispatch[Uniq Id],TableDispatch[Eway Bill Out],"",0),"")</f>
        <v/>
      </c>
    </row>
    <row r="395" spans="5:20" x14ac:dyDescent="0.25">
      <c r="E395" s="99"/>
      <c r="J395" s="211" t="str">
        <f>IF(B395&lt;&gt;"",_xlfn.XLOOKUP(B395,'2627PR_Loading'!$E$3:$E$501,'2627PR_Loading'!$B$3:$B$501,"",0)&amp;_xlfn.XLOOKUP(B395,'2627PR_Loading'!$K$3:$K$501,'2627PR_Loading'!$B$3:$B$501,"",0)&amp;_xlfn.XLOOKUP(B395,'2627PR_Loading'!$Q$3:$Q$501,'2627PR_Loading'!$B$3:$B$501,"",0),"")</f>
        <v/>
      </c>
      <c r="K395" s="211" t="str">
        <f>IF(B395&lt;&gt;"",_xlfn.XLOOKUP(B395,'2627PR_Loading'!$E$3:$E$501,'2627PR_Loading'!$C$3:$C$501,"",0)&amp;_xlfn.XLOOKUP(B395,'2627PR_Loading'!$K$3:$K$501,'2627PR_Loading'!$C$3:$C$501,"",0)&amp;_xlfn.XLOOKUP(B395,'2627PR_Loading'!$Q$3:$Q$501,'2627PR_Loading'!$C$3:$C$501,"",0),"")</f>
        <v/>
      </c>
      <c r="P395" s="248" t="str">
        <f>IF(B395&lt;&gt;"",_xlfn.XLOOKUP(B395,'2627PR_Loading'!$E$3:$E$501,'2627PR_Loading'!$J$3:$J$501,"",0)&amp;_xlfn.XLOOKUP(B395,'2627PR_Loading'!$K$3:$K$501,'2627PR_Loading'!$P$3:$P$501,"",0)&amp;_xlfn.XLOOKUP(B395,'2627PR_Loading'!$Q$3:$Q$501,'2627PR_Loading'!$V$3:$V$501,"",0),"")</f>
        <v/>
      </c>
      <c r="Q395" s="98" t="str">
        <f>IF(B395&lt;&gt;"",_xlfn.XLOOKUP(B395,TableDispatch[Uniq Id],TableDispatch[Delivery Date],"",0),"")</f>
        <v/>
      </c>
      <c r="R395" s="98" t="str">
        <f>IF(B395&lt;&gt;"",_xlfn.XLOOKUP(B395,TableDispatch[Uniq Id],TableDispatch[Our Ch No.],"",0),"")</f>
        <v/>
      </c>
      <c r="T395" s="26" t="str">
        <f>IF(B395&lt;&gt;"",_xlfn.XLOOKUP(B395,TableDispatch[Uniq Id],TableDispatch[Eway Bill Out],"",0),"")</f>
        <v/>
      </c>
    </row>
    <row r="396" spans="5:20" x14ac:dyDescent="0.25">
      <c r="E396" s="99"/>
      <c r="J396" s="211" t="str">
        <f>IF(B396&lt;&gt;"",_xlfn.XLOOKUP(B396,'2627PR_Loading'!$E$3:$E$501,'2627PR_Loading'!$B$3:$B$501,"",0)&amp;_xlfn.XLOOKUP(B396,'2627PR_Loading'!$K$3:$K$501,'2627PR_Loading'!$B$3:$B$501,"",0)&amp;_xlfn.XLOOKUP(B396,'2627PR_Loading'!$Q$3:$Q$501,'2627PR_Loading'!$B$3:$B$501,"",0),"")</f>
        <v/>
      </c>
      <c r="K396" s="211" t="str">
        <f>IF(B396&lt;&gt;"",_xlfn.XLOOKUP(B396,'2627PR_Loading'!$E$3:$E$501,'2627PR_Loading'!$C$3:$C$501,"",0)&amp;_xlfn.XLOOKUP(B396,'2627PR_Loading'!$K$3:$K$501,'2627PR_Loading'!$C$3:$C$501,"",0)&amp;_xlfn.XLOOKUP(B396,'2627PR_Loading'!$Q$3:$Q$501,'2627PR_Loading'!$C$3:$C$501,"",0),"")</f>
        <v/>
      </c>
      <c r="P396" s="248" t="str">
        <f>IF(B396&lt;&gt;"",_xlfn.XLOOKUP(B396,'2627PR_Loading'!$E$3:$E$501,'2627PR_Loading'!$J$3:$J$501,"",0)&amp;_xlfn.XLOOKUP(B396,'2627PR_Loading'!$K$3:$K$501,'2627PR_Loading'!$P$3:$P$501,"",0)&amp;_xlfn.XLOOKUP(B396,'2627PR_Loading'!$Q$3:$Q$501,'2627PR_Loading'!$V$3:$V$501,"",0),"")</f>
        <v/>
      </c>
      <c r="Q396" s="98" t="str">
        <f>IF(B396&lt;&gt;"",_xlfn.XLOOKUP(B396,TableDispatch[Uniq Id],TableDispatch[Delivery Date],"",0),"")</f>
        <v/>
      </c>
      <c r="R396" s="98" t="str">
        <f>IF(B396&lt;&gt;"",_xlfn.XLOOKUP(B396,TableDispatch[Uniq Id],TableDispatch[Our Ch No.],"",0),"")</f>
        <v/>
      </c>
      <c r="T396" s="26" t="str">
        <f>IF(B396&lt;&gt;"",_xlfn.XLOOKUP(B396,TableDispatch[Uniq Id],TableDispatch[Eway Bill Out],"",0),"")</f>
        <v/>
      </c>
    </row>
    <row r="397" spans="5:20" x14ac:dyDescent="0.25">
      <c r="E397" s="99"/>
      <c r="J397" s="211" t="str">
        <f>IF(B397&lt;&gt;"",_xlfn.XLOOKUP(B397,'2627PR_Loading'!$E$3:$E$501,'2627PR_Loading'!$B$3:$B$501,"",0)&amp;_xlfn.XLOOKUP(B397,'2627PR_Loading'!$K$3:$K$501,'2627PR_Loading'!$B$3:$B$501,"",0)&amp;_xlfn.XLOOKUP(B397,'2627PR_Loading'!$Q$3:$Q$501,'2627PR_Loading'!$B$3:$B$501,"",0),"")</f>
        <v/>
      </c>
      <c r="K397" s="211" t="str">
        <f>IF(B397&lt;&gt;"",_xlfn.XLOOKUP(B397,'2627PR_Loading'!$E$3:$E$501,'2627PR_Loading'!$C$3:$C$501,"",0)&amp;_xlfn.XLOOKUP(B397,'2627PR_Loading'!$K$3:$K$501,'2627PR_Loading'!$C$3:$C$501,"",0)&amp;_xlfn.XLOOKUP(B397,'2627PR_Loading'!$Q$3:$Q$501,'2627PR_Loading'!$C$3:$C$501,"",0),"")</f>
        <v/>
      </c>
      <c r="P397" s="248" t="str">
        <f>IF(B397&lt;&gt;"",_xlfn.XLOOKUP(B397,'2627PR_Loading'!$E$3:$E$501,'2627PR_Loading'!$J$3:$J$501,"",0)&amp;_xlfn.XLOOKUP(B397,'2627PR_Loading'!$K$3:$K$501,'2627PR_Loading'!$P$3:$P$501,"",0)&amp;_xlfn.XLOOKUP(B397,'2627PR_Loading'!$Q$3:$Q$501,'2627PR_Loading'!$V$3:$V$501,"",0),"")</f>
        <v/>
      </c>
      <c r="Q397" s="98" t="str">
        <f>IF(B397&lt;&gt;"",_xlfn.XLOOKUP(B397,TableDispatch[Uniq Id],TableDispatch[Delivery Date],"",0),"")</f>
        <v/>
      </c>
      <c r="R397" s="98" t="str">
        <f>IF(B397&lt;&gt;"",_xlfn.XLOOKUP(B397,TableDispatch[Uniq Id],TableDispatch[Our Ch No.],"",0),"")</f>
        <v/>
      </c>
      <c r="T397" s="26" t="str">
        <f>IF(B397&lt;&gt;"",_xlfn.XLOOKUP(B397,TableDispatch[Uniq Id],TableDispatch[Eway Bill Out],"",0),"")</f>
        <v/>
      </c>
    </row>
    <row r="398" spans="5:20" x14ac:dyDescent="0.25">
      <c r="E398" s="99"/>
      <c r="J398" s="211" t="str">
        <f>IF(B398&lt;&gt;"",_xlfn.XLOOKUP(B398,'2627PR_Loading'!$E$3:$E$501,'2627PR_Loading'!$B$3:$B$501,"",0)&amp;_xlfn.XLOOKUP(B398,'2627PR_Loading'!$K$3:$K$501,'2627PR_Loading'!$B$3:$B$501,"",0)&amp;_xlfn.XLOOKUP(B398,'2627PR_Loading'!$Q$3:$Q$501,'2627PR_Loading'!$B$3:$B$501,"",0),"")</f>
        <v/>
      </c>
      <c r="K398" s="211" t="str">
        <f>IF(B398&lt;&gt;"",_xlfn.XLOOKUP(B398,'2627PR_Loading'!$E$3:$E$501,'2627PR_Loading'!$C$3:$C$501,"",0)&amp;_xlfn.XLOOKUP(B398,'2627PR_Loading'!$K$3:$K$501,'2627PR_Loading'!$C$3:$C$501,"",0)&amp;_xlfn.XLOOKUP(B398,'2627PR_Loading'!$Q$3:$Q$501,'2627PR_Loading'!$C$3:$C$501,"",0),"")</f>
        <v/>
      </c>
      <c r="P398" s="248" t="str">
        <f>IF(B398&lt;&gt;"",_xlfn.XLOOKUP(B398,'2627PR_Loading'!$E$3:$E$501,'2627PR_Loading'!$J$3:$J$501,"",0)&amp;_xlfn.XLOOKUP(B398,'2627PR_Loading'!$K$3:$K$501,'2627PR_Loading'!$P$3:$P$501,"",0)&amp;_xlfn.XLOOKUP(B398,'2627PR_Loading'!$Q$3:$Q$501,'2627PR_Loading'!$V$3:$V$501,"",0),"")</f>
        <v/>
      </c>
      <c r="Q398" s="98" t="str">
        <f>IF(B398&lt;&gt;"",_xlfn.XLOOKUP(B398,TableDispatch[Uniq Id],TableDispatch[Delivery Date],"",0),"")</f>
        <v/>
      </c>
      <c r="R398" s="98" t="str">
        <f>IF(B398&lt;&gt;"",_xlfn.XLOOKUP(B398,TableDispatch[Uniq Id],TableDispatch[Our Ch No.],"",0),"")</f>
        <v/>
      </c>
      <c r="T398" s="26" t="str">
        <f>IF(B398&lt;&gt;"",_xlfn.XLOOKUP(B398,TableDispatch[Uniq Id],TableDispatch[Eway Bill Out],"",0),"")</f>
        <v/>
      </c>
    </row>
    <row r="399" spans="5:20" x14ac:dyDescent="0.25">
      <c r="E399" s="99"/>
      <c r="J399" s="211" t="str">
        <f>IF(B399&lt;&gt;"",_xlfn.XLOOKUP(B399,'2627PR_Loading'!$E$3:$E$501,'2627PR_Loading'!$B$3:$B$501,"",0)&amp;_xlfn.XLOOKUP(B399,'2627PR_Loading'!$K$3:$K$501,'2627PR_Loading'!$B$3:$B$501,"",0)&amp;_xlfn.XLOOKUP(B399,'2627PR_Loading'!$Q$3:$Q$501,'2627PR_Loading'!$B$3:$B$501,"",0),"")</f>
        <v/>
      </c>
      <c r="K399" s="211" t="str">
        <f>IF(B399&lt;&gt;"",_xlfn.XLOOKUP(B399,'2627PR_Loading'!$E$3:$E$501,'2627PR_Loading'!$C$3:$C$501,"",0)&amp;_xlfn.XLOOKUP(B399,'2627PR_Loading'!$K$3:$K$501,'2627PR_Loading'!$C$3:$C$501,"",0)&amp;_xlfn.XLOOKUP(B399,'2627PR_Loading'!$Q$3:$Q$501,'2627PR_Loading'!$C$3:$C$501,"",0),"")</f>
        <v/>
      </c>
      <c r="P399" s="248" t="str">
        <f>IF(B399&lt;&gt;"",_xlfn.XLOOKUP(B399,'2627PR_Loading'!$E$3:$E$501,'2627PR_Loading'!$J$3:$J$501,"",0)&amp;_xlfn.XLOOKUP(B399,'2627PR_Loading'!$K$3:$K$501,'2627PR_Loading'!$P$3:$P$501,"",0)&amp;_xlfn.XLOOKUP(B399,'2627PR_Loading'!$Q$3:$Q$501,'2627PR_Loading'!$V$3:$V$501,"",0),"")</f>
        <v/>
      </c>
      <c r="Q399" s="98" t="str">
        <f>IF(B399&lt;&gt;"",_xlfn.XLOOKUP(B399,TableDispatch[Uniq Id],TableDispatch[Delivery Date],"",0),"")</f>
        <v/>
      </c>
      <c r="R399" s="98" t="str">
        <f>IF(B399&lt;&gt;"",_xlfn.XLOOKUP(B399,TableDispatch[Uniq Id],TableDispatch[Our Ch No.],"",0),"")</f>
        <v/>
      </c>
      <c r="T399" s="26" t="str">
        <f>IF(B399&lt;&gt;"",_xlfn.XLOOKUP(B399,TableDispatch[Uniq Id],TableDispatch[Eway Bill Out],"",0),"")</f>
        <v/>
      </c>
    </row>
    <row r="400" spans="5:20" x14ac:dyDescent="0.25">
      <c r="E400" s="99"/>
      <c r="J400" s="211" t="str">
        <f>IF(B400&lt;&gt;"",_xlfn.XLOOKUP(B400,'2627PR_Loading'!$E$3:$E$501,'2627PR_Loading'!$B$3:$B$501,"",0)&amp;_xlfn.XLOOKUP(B400,'2627PR_Loading'!$K$3:$K$501,'2627PR_Loading'!$B$3:$B$501,"",0)&amp;_xlfn.XLOOKUP(B400,'2627PR_Loading'!$Q$3:$Q$501,'2627PR_Loading'!$B$3:$B$501,"",0),"")</f>
        <v/>
      </c>
      <c r="K400" s="211" t="str">
        <f>IF(B400&lt;&gt;"",_xlfn.XLOOKUP(B400,'2627PR_Loading'!$E$3:$E$501,'2627PR_Loading'!$C$3:$C$501,"",0)&amp;_xlfn.XLOOKUP(B400,'2627PR_Loading'!$K$3:$K$501,'2627PR_Loading'!$C$3:$C$501,"",0)&amp;_xlfn.XLOOKUP(B400,'2627PR_Loading'!$Q$3:$Q$501,'2627PR_Loading'!$C$3:$C$501,"",0),"")</f>
        <v/>
      </c>
      <c r="P400" s="248" t="str">
        <f>IF(B400&lt;&gt;"",_xlfn.XLOOKUP(B400,'2627PR_Loading'!$E$3:$E$501,'2627PR_Loading'!$J$3:$J$501,"",0)&amp;_xlfn.XLOOKUP(B400,'2627PR_Loading'!$K$3:$K$501,'2627PR_Loading'!$P$3:$P$501,"",0)&amp;_xlfn.XLOOKUP(B400,'2627PR_Loading'!$Q$3:$Q$501,'2627PR_Loading'!$V$3:$V$501,"",0),"")</f>
        <v/>
      </c>
      <c r="Q400" s="98" t="str">
        <f>IF(B400&lt;&gt;"",_xlfn.XLOOKUP(B400,TableDispatch[Uniq Id],TableDispatch[Delivery Date],"",0),"")</f>
        <v/>
      </c>
      <c r="R400" s="98" t="str">
        <f>IF(B400&lt;&gt;"",_xlfn.XLOOKUP(B400,TableDispatch[Uniq Id],TableDispatch[Our Ch No.],"",0),"")</f>
        <v/>
      </c>
      <c r="T400" s="26" t="str">
        <f>IF(B400&lt;&gt;"",_xlfn.XLOOKUP(B400,TableDispatch[Uniq Id],TableDispatch[Eway Bill Out],"",0),"")</f>
        <v/>
      </c>
    </row>
    <row r="401" spans="1:24" x14ac:dyDescent="0.25">
      <c r="E401" s="99"/>
      <c r="J401" s="211" t="str">
        <f>IF(B401&lt;&gt;"",_xlfn.XLOOKUP(B401,'2627PR_Loading'!$E$3:$E$501,'2627PR_Loading'!$B$3:$B$501,"",0)&amp;_xlfn.XLOOKUP(B401,'2627PR_Loading'!$K$3:$K$501,'2627PR_Loading'!$B$3:$B$501,"",0)&amp;_xlfn.XLOOKUP(B401,'2627PR_Loading'!$Q$3:$Q$501,'2627PR_Loading'!$B$3:$B$501,"",0),"")</f>
        <v/>
      </c>
      <c r="K401" s="211" t="str">
        <f>IF(B401&lt;&gt;"",_xlfn.XLOOKUP(B401,'2627PR_Loading'!$E$3:$E$501,'2627PR_Loading'!$C$3:$C$501,"",0)&amp;_xlfn.XLOOKUP(B401,'2627PR_Loading'!$K$3:$K$501,'2627PR_Loading'!$C$3:$C$501,"",0)&amp;_xlfn.XLOOKUP(B401,'2627PR_Loading'!$Q$3:$Q$501,'2627PR_Loading'!$C$3:$C$501,"",0),"")</f>
        <v/>
      </c>
      <c r="P401" s="248" t="str">
        <f>IF(B401&lt;&gt;"",_xlfn.XLOOKUP(B401,'2627PR_Loading'!$E$3:$E$501,'2627PR_Loading'!$J$3:$J$501,"",0)&amp;_xlfn.XLOOKUP(B401,'2627PR_Loading'!$K$3:$K$501,'2627PR_Loading'!$P$3:$P$501,"",0)&amp;_xlfn.XLOOKUP(B401,'2627PR_Loading'!$Q$3:$Q$501,'2627PR_Loading'!$V$3:$V$501,"",0),"")</f>
        <v/>
      </c>
      <c r="Q401" s="98" t="str">
        <f>IF(B401&lt;&gt;"",_xlfn.XLOOKUP(B401,TableDispatch[Uniq Id],TableDispatch[Delivery Date],"",0),"")</f>
        <v/>
      </c>
      <c r="R401" s="98" t="str">
        <f>IF(B401&lt;&gt;"",_xlfn.XLOOKUP(B401,TableDispatch[Uniq Id],TableDispatch[Our Ch No.],"",0),"")</f>
        <v/>
      </c>
      <c r="T401" s="26" t="str">
        <f>IF(B401&lt;&gt;"",_xlfn.XLOOKUP(B401,TableDispatch[Uniq Id],TableDispatch[Eway Bill Out],"",0),"")</f>
        <v/>
      </c>
    </row>
    <row r="402" spans="1:24" x14ac:dyDescent="0.25">
      <c r="E402" s="99"/>
      <c r="J402" s="211" t="str">
        <f>IF(B402&lt;&gt;"",_xlfn.XLOOKUP(B402,'2627PR_Loading'!$E$3:$E$501,'2627PR_Loading'!$B$3:$B$501,"",0)&amp;_xlfn.XLOOKUP(B402,'2627PR_Loading'!$K$3:$K$501,'2627PR_Loading'!$B$3:$B$501,"",0)&amp;_xlfn.XLOOKUP(B402,'2627PR_Loading'!$Q$3:$Q$501,'2627PR_Loading'!$B$3:$B$501,"",0),"")</f>
        <v/>
      </c>
      <c r="K402" s="211" t="str">
        <f>IF(B402&lt;&gt;"",_xlfn.XLOOKUP(B402,'2627PR_Loading'!$E$3:$E$501,'2627PR_Loading'!$C$3:$C$501,"",0)&amp;_xlfn.XLOOKUP(B402,'2627PR_Loading'!$K$3:$K$501,'2627PR_Loading'!$C$3:$C$501,"",0)&amp;_xlfn.XLOOKUP(B402,'2627PR_Loading'!$Q$3:$Q$501,'2627PR_Loading'!$C$3:$C$501,"",0),"")</f>
        <v/>
      </c>
      <c r="P402" s="248" t="str">
        <f>IF(B402&lt;&gt;"",_xlfn.XLOOKUP(B402,'2627PR_Loading'!$E$3:$E$501,'2627PR_Loading'!$J$3:$J$501,"",0)&amp;_xlfn.XLOOKUP(B402,'2627PR_Loading'!$K$3:$K$501,'2627PR_Loading'!$P$3:$P$501,"",0)&amp;_xlfn.XLOOKUP(B402,'2627PR_Loading'!$Q$3:$Q$501,'2627PR_Loading'!$V$3:$V$501,"",0),"")</f>
        <v/>
      </c>
      <c r="Q402" s="98" t="str">
        <f>IF(B402&lt;&gt;"",_xlfn.XLOOKUP(B402,TableDispatch[Uniq Id],TableDispatch[Delivery Date],"",0),"")</f>
        <v/>
      </c>
      <c r="R402" s="98" t="str">
        <f>IF(B402&lt;&gt;"",_xlfn.XLOOKUP(B402,TableDispatch[Uniq Id],TableDispatch[Our Ch No.],"",0),"")</f>
        <v/>
      </c>
      <c r="T402" s="26" t="str">
        <f>IF(B402&lt;&gt;"",_xlfn.XLOOKUP(B402,TableDispatch[Uniq Id],TableDispatch[Eway Bill Out],"",0),"")</f>
        <v/>
      </c>
    </row>
    <row r="403" spans="1:24" x14ac:dyDescent="0.25">
      <c r="E403" s="99"/>
      <c r="J403" s="211" t="str">
        <f>IF(B403&lt;&gt;"",_xlfn.XLOOKUP(B403,'2627PR_Loading'!$E$3:$E$501,'2627PR_Loading'!$B$3:$B$501,"",0)&amp;_xlfn.XLOOKUP(B403,'2627PR_Loading'!$K$3:$K$501,'2627PR_Loading'!$B$3:$B$501,"",0)&amp;_xlfn.XLOOKUP(B403,'2627PR_Loading'!$Q$3:$Q$501,'2627PR_Loading'!$B$3:$B$501,"",0),"")</f>
        <v/>
      </c>
      <c r="K403" s="211" t="str">
        <f>IF(B403&lt;&gt;"",_xlfn.XLOOKUP(B403,'2627PR_Loading'!$E$3:$E$501,'2627PR_Loading'!$C$3:$C$501,"",0)&amp;_xlfn.XLOOKUP(B403,'2627PR_Loading'!$K$3:$K$501,'2627PR_Loading'!$C$3:$C$501,"",0)&amp;_xlfn.XLOOKUP(B403,'2627PR_Loading'!$Q$3:$Q$501,'2627PR_Loading'!$C$3:$C$501,"",0),"")</f>
        <v/>
      </c>
      <c r="P403" s="248" t="str">
        <f>IF(B403&lt;&gt;"",_xlfn.XLOOKUP(B403,'2627PR_Loading'!$E$3:$E$501,'2627PR_Loading'!$J$3:$J$501,"",0)&amp;_xlfn.XLOOKUP(B403,'2627PR_Loading'!$K$3:$K$501,'2627PR_Loading'!$P$3:$P$501,"",0)&amp;_xlfn.XLOOKUP(B403,'2627PR_Loading'!$Q$3:$Q$501,'2627PR_Loading'!$V$3:$V$501,"",0),"")</f>
        <v/>
      </c>
      <c r="Q403" s="98" t="str">
        <f>IF(B403&lt;&gt;"",_xlfn.XLOOKUP(B403,TableDispatch[Uniq Id],TableDispatch[Delivery Date],"",0),"")</f>
        <v/>
      </c>
      <c r="R403" s="98" t="str">
        <f>IF(B403&lt;&gt;"",_xlfn.XLOOKUP(B403,TableDispatch[Uniq Id],TableDispatch[Our Ch No.],"",0),"")</f>
        <v/>
      </c>
      <c r="T403" s="26" t="str">
        <f>IF(B403&lt;&gt;"",_xlfn.XLOOKUP(B403,TableDispatch[Uniq Id],TableDispatch[Eway Bill Out],"",0),"")</f>
        <v/>
      </c>
    </row>
    <row r="404" spans="1:24" x14ac:dyDescent="0.25">
      <c r="E404" s="99"/>
      <c r="J404" s="211" t="str">
        <f>IF(B404&lt;&gt;"",_xlfn.XLOOKUP(B404,'2627PR_Loading'!$E$3:$E$501,'2627PR_Loading'!$B$3:$B$501,"",0)&amp;_xlfn.XLOOKUP(B404,'2627PR_Loading'!$K$3:$K$501,'2627PR_Loading'!$B$3:$B$501,"",0)&amp;_xlfn.XLOOKUP(B404,'2627PR_Loading'!$Q$3:$Q$501,'2627PR_Loading'!$B$3:$B$501,"",0),"")</f>
        <v/>
      </c>
      <c r="K404" s="211" t="str">
        <f>IF(B404&lt;&gt;"",_xlfn.XLOOKUP(B404,'2627PR_Loading'!$E$3:$E$501,'2627PR_Loading'!$C$3:$C$501,"",0)&amp;_xlfn.XLOOKUP(B404,'2627PR_Loading'!$K$3:$K$501,'2627PR_Loading'!$C$3:$C$501,"",0)&amp;_xlfn.XLOOKUP(B404,'2627PR_Loading'!$Q$3:$Q$501,'2627PR_Loading'!$C$3:$C$501,"",0),"")</f>
        <v/>
      </c>
      <c r="P404" s="248" t="str">
        <f>IF(B404&lt;&gt;"",_xlfn.XLOOKUP(B404,'2627PR_Loading'!$E$3:$E$501,'2627PR_Loading'!$J$3:$J$501,"",0)&amp;_xlfn.XLOOKUP(B404,'2627PR_Loading'!$K$3:$K$501,'2627PR_Loading'!$P$3:$P$501,"",0)&amp;_xlfn.XLOOKUP(B404,'2627PR_Loading'!$Q$3:$Q$501,'2627PR_Loading'!$V$3:$V$501,"",0),"")</f>
        <v/>
      </c>
      <c r="Q404" s="98" t="str">
        <f>IF(B404&lt;&gt;"",_xlfn.XLOOKUP(B404,TableDispatch[Uniq Id],TableDispatch[Delivery Date],"",0),"")</f>
        <v/>
      </c>
      <c r="R404" s="98" t="str">
        <f>IF(B404&lt;&gt;"",_xlfn.XLOOKUP(B404,TableDispatch[Uniq Id],TableDispatch[Our Ch No.],"",0),"")</f>
        <v/>
      </c>
      <c r="T404" s="26" t="str">
        <f>IF(B404&lt;&gt;"",_xlfn.XLOOKUP(B404,TableDispatch[Uniq Id],TableDispatch[Eway Bill Out],"",0),"")</f>
        <v/>
      </c>
    </row>
    <row r="405" spans="1:24" x14ac:dyDescent="0.25">
      <c r="E405" s="99"/>
      <c r="J405" s="211" t="str">
        <f>IF(B405&lt;&gt;"",_xlfn.XLOOKUP(B405,'2627PR_Loading'!$E$3:$E$501,'2627PR_Loading'!$B$3:$B$501,"",0)&amp;_xlfn.XLOOKUP(B405,'2627PR_Loading'!$K$3:$K$501,'2627PR_Loading'!$B$3:$B$501,"",0)&amp;_xlfn.XLOOKUP(B405,'2627PR_Loading'!$Q$3:$Q$501,'2627PR_Loading'!$B$3:$B$501,"",0),"")</f>
        <v/>
      </c>
      <c r="K405" s="211" t="str">
        <f>IF(B405&lt;&gt;"",_xlfn.XLOOKUP(B405,'2627PR_Loading'!$E$3:$E$501,'2627PR_Loading'!$C$3:$C$501,"",0)&amp;_xlfn.XLOOKUP(B405,'2627PR_Loading'!$K$3:$K$501,'2627PR_Loading'!$C$3:$C$501,"",0)&amp;_xlfn.XLOOKUP(B405,'2627PR_Loading'!$Q$3:$Q$501,'2627PR_Loading'!$C$3:$C$501,"",0),"")</f>
        <v/>
      </c>
      <c r="P405" s="248" t="str">
        <f>IF(B405&lt;&gt;"",_xlfn.XLOOKUP(B405,'2627PR_Loading'!$E$3:$E$501,'2627PR_Loading'!$J$3:$J$501,"",0)&amp;_xlfn.XLOOKUP(B405,'2627PR_Loading'!$K$3:$K$501,'2627PR_Loading'!$P$3:$P$501,"",0)&amp;_xlfn.XLOOKUP(B405,'2627PR_Loading'!$Q$3:$Q$501,'2627PR_Loading'!$V$3:$V$501,"",0),"")</f>
        <v/>
      </c>
      <c r="Q405" s="98" t="str">
        <f>IF(B405&lt;&gt;"",_xlfn.XLOOKUP(B405,TableDispatch[Uniq Id],TableDispatch[Delivery Date],"",0),"")</f>
        <v/>
      </c>
      <c r="R405" s="98" t="str">
        <f>IF(B405&lt;&gt;"",_xlfn.XLOOKUP(B405,TableDispatch[Uniq Id],TableDispatch[Our Ch No.],"",0),"")</f>
        <v/>
      </c>
      <c r="T405" s="26" t="str">
        <f>IF(B405&lt;&gt;"",_xlfn.XLOOKUP(B405,TableDispatch[Uniq Id],TableDispatch[Eway Bill Out],"",0),"")</f>
        <v/>
      </c>
    </row>
    <row r="406" spans="1:24" x14ac:dyDescent="0.25">
      <c r="E406" s="99"/>
      <c r="J406" s="211" t="str">
        <f>IF(B406&lt;&gt;"",_xlfn.XLOOKUP(B406,'2627PR_Loading'!$E$3:$E$501,'2627PR_Loading'!$B$3:$B$501,"",0)&amp;_xlfn.XLOOKUP(B406,'2627PR_Loading'!$K$3:$K$501,'2627PR_Loading'!$B$3:$B$501,"",0)&amp;_xlfn.XLOOKUP(B406,'2627PR_Loading'!$Q$3:$Q$501,'2627PR_Loading'!$B$3:$B$501,"",0),"")</f>
        <v/>
      </c>
      <c r="K406" s="211" t="str">
        <f>IF(B406&lt;&gt;"",_xlfn.XLOOKUP(B406,'2627PR_Loading'!$E$3:$E$501,'2627PR_Loading'!$C$3:$C$501,"",0)&amp;_xlfn.XLOOKUP(B406,'2627PR_Loading'!$K$3:$K$501,'2627PR_Loading'!$C$3:$C$501,"",0)&amp;_xlfn.XLOOKUP(B406,'2627PR_Loading'!$Q$3:$Q$501,'2627PR_Loading'!$C$3:$C$501,"",0),"")</f>
        <v/>
      </c>
      <c r="P406" s="248" t="str">
        <f>IF(B406&lt;&gt;"",_xlfn.XLOOKUP(B406,'2627PR_Loading'!$E$3:$E$501,'2627PR_Loading'!$J$3:$J$501,"",0)&amp;_xlfn.XLOOKUP(B406,'2627PR_Loading'!$K$3:$K$501,'2627PR_Loading'!$P$3:$P$501,"",0)&amp;_xlfn.XLOOKUP(B406,'2627PR_Loading'!$Q$3:$Q$501,'2627PR_Loading'!$V$3:$V$501,"",0),"")</f>
        <v/>
      </c>
      <c r="Q406" s="98" t="str">
        <f>IF(B406&lt;&gt;"",_xlfn.XLOOKUP(B406,TableDispatch[Uniq Id],TableDispatch[Delivery Date],"",0),"")</f>
        <v/>
      </c>
      <c r="R406" s="98" t="str">
        <f>IF(B406&lt;&gt;"",_xlfn.XLOOKUP(B406,TableDispatch[Uniq Id],TableDispatch[Our Ch No.],"",0),"")</f>
        <v/>
      </c>
      <c r="T406" s="26" t="str">
        <f>IF(B406&lt;&gt;"",_xlfn.XLOOKUP(B406,TableDispatch[Uniq Id],TableDispatch[Eway Bill Out],"",0),"")</f>
        <v/>
      </c>
    </row>
    <row r="407" spans="1:24" x14ac:dyDescent="0.25">
      <c r="A407" s="4">
        <v>0</v>
      </c>
      <c r="B407" s="4">
        <v>0</v>
      </c>
      <c r="C407" s="4">
        <v>0</v>
      </c>
      <c r="D407" s="4">
        <v>0</v>
      </c>
      <c r="E407" s="99">
        <v>46115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  <c r="L407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</row>
    <row r="408" spans="1:24" x14ac:dyDescent="0.25">
      <c r="J408" s="211" t="str">
        <f>IF(B408&lt;&gt;"",_xlfn.XLOOKUP(B408,'2627PR_Loading'!$E$3:$E$501,'2627PR_Loading'!$B$3:$B$501,"",0)&amp;_xlfn.XLOOKUP(B408,'2627PR_Loading'!$K$3:$K$501,'2627PR_Loading'!$B$3:$B$501,"",0)&amp;_xlfn.XLOOKUP(B408,'2627PR_Loading'!$Q$3:$Q$501,'2627PR_Loading'!$B$3:$B$501,"",0),"")</f>
        <v/>
      </c>
      <c r="K408" s="211" t="str">
        <f>IF(B408&lt;&gt;"",_xlfn.XLOOKUP(B408,'2627PR_Loading'!$E$3:$E$501,'2627PR_Loading'!$C$3:$C$501,"",0)&amp;_xlfn.XLOOKUP(B408,'2627PR_Loading'!$K$3:$K$501,'2627PR_Loading'!$C$3:$C$501,"",0)&amp;_xlfn.XLOOKUP(B408,'2627PR_Loading'!$Q$3:$Q$501,'2627PR_Loading'!$C$3:$C$501,"",0),"")</f>
        <v/>
      </c>
      <c r="P408" s="248" t="str">
        <f>IF(B408&lt;&gt;"",_xlfn.XLOOKUP(B408,'2627PR_Loading'!$E$3:$E$501,'2627PR_Loading'!$J$3:$J$501,"",0)&amp;_xlfn.XLOOKUP(B408,'2627PR_Loading'!$K$3:$K$501,'2627PR_Loading'!$P$3:$P$501,"",0)&amp;_xlfn.XLOOKUP(B408,'2627PR_Loading'!$Q$3:$Q$501,'2627PR_Loading'!$V$3:$V$501,"",0),"")</f>
        <v/>
      </c>
      <c r="Q408" s="98" t="str">
        <f>IF(B408&lt;&gt;"",_xlfn.XLOOKUP(B408,TableDispatch[Uniq Id],TableDispatch[Delivery Date],"",0),"")</f>
        <v/>
      </c>
      <c r="R408" s="98" t="str">
        <f>IF(B408&lt;&gt;"",_xlfn.XLOOKUP(B408,TableDispatch[Uniq Id],TableDispatch[Our Ch No.],"",0),"")</f>
        <v/>
      </c>
      <c r="T408" s="26" t="str">
        <f>IF(B408&lt;&gt;"",_xlfn.XLOOKUP(B408,TableDispatch[Uniq Id],TableDispatch[Eway Bill Out],"",0),"")</f>
        <v/>
      </c>
    </row>
    <row r="409" spans="1:24" x14ac:dyDescent="0.25">
      <c r="J409" s="211" t="str">
        <f>IF(B409&lt;&gt;"",_xlfn.XLOOKUP(B409,'2627PR_Loading'!$E$3:$E$501,'2627PR_Loading'!$B$3:$B$501,"",0)&amp;_xlfn.XLOOKUP(B409,'2627PR_Loading'!$K$3:$K$501,'2627PR_Loading'!$B$3:$B$501,"",0)&amp;_xlfn.XLOOKUP(B409,'2627PR_Loading'!$Q$3:$Q$501,'2627PR_Loading'!$B$3:$B$501,"",0),"")</f>
        <v/>
      </c>
      <c r="K409" s="211" t="str">
        <f>IF(B409&lt;&gt;"",_xlfn.XLOOKUP(B409,'2627PR_Loading'!$E$3:$E$501,'2627PR_Loading'!$C$3:$C$501,"",0)&amp;_xlfn.XLOOKUP(B409,'2627PR_Loading'!$K$3:$K$501,'2627PR_Loading'!$C$3:$C$501,"",0)&amp;_xlfn.XLOOKUP(B409,'2627PR_Loading'!$Q$3:$Q$501,'2627PR_Loading'!$C$3:$C$501,"",0),"")</f>
        <v/>
      </c>
      <c r="P409" s="248" t="str">
        <f>IF(B409&lt;&gt;"",_xlfn.XLOOKUP(B409,'2627PR_Loading'!$E$3:$E$501,'2627PR_Loading'!$J$3:$J$501,"",0)&amp;_xlfn.XLOOKUP(B409,'2627PR_Loading'!$K$3:$K$501,'2627PR_Loading'!$P$3:$P$501,"",0)&amp;_xlfn.XLOOKUP(B409,'2627PR_Loading'!$Q$3:$Q$501,'2627PR_Loading'!$V$3:$V$501,"",0),"")</f>
        <v/>
      </c>
      <c r="Q409" s="98" t="str">
        <f>IF(B409&lt;&gt;"",_xlfn.XLOOKUP(B409,TableDispatch[Uniq Id],TableDispatch[Delivery Date],"",0),"")</f>
        <v/>
      </c>
      <c r="R409" s="98" t="str">
        <f>IF(B409&lt;&gt;"",_xlfn.XLOOKUP(B409,TableDispatch[Uniq Id],TableDispatch[Our Ch No.],"",0),"")</f>
        <v/>
      </c>
      <c r="T409" s="26" t="str">
        <f>IF(B409&lt;&gt;"",_xlfn.XLOOKUP(B409,TableDispatch[Uniq Id],TableDispatch[Eway Bill Out],"",0),"")</f>
        <v/>
      </c>
    </row>
    <row r="410" spans="1:24" x14ac:dyDescent="0.25">
      <c r="J410" s="211" t="str">
        <f>IF(B410&lt;&gt;"",_xlfn.XLOOKUP(B410,'2627PR_Loading'!$E$3:$E$501,'2627PR_Loading'!$B$3:$B$501,"",0)&amp;_xlfn.XLOOKUP(B410,'2627PR_Loading'!$K$3:$K$501,'2627PR_Loading'!$B$3:$B$501,"",0)&amp;_xlfn.XLOOKUP(B410,'2627PR_Loading'!$Q$3:$Q$501,'2627PR_Loading'!$B$3:$B$501,"",0),"")</f>
        <v/>
      </c>
      <c r="K410" s="211" t="str">
        <f>IF(B410&lt;&gt;"",_xlfn.XLOOKUP(B410,'2627PR_Loading'!$E$3:$E$501,'2627PR_Loading'!$C$3:$C$501,"",0)&amp;_xlfn.XLOOKUP(B410,'2627PR_Loading'!$K$3:$K$501,'2627PR_Loading'!$C$3:$C$501,"",0)&amp;_xlfn.XLOOKUP(B410,'2627PR_Loading'!$Q$3:$Q$501,'2627PR_Loading'!$C$3:$C$501,"",0),"")</f>
        <v/>
      </c>
      <c r="P410" s="248" t="str">
        <f>IF(B410&lt;&gt;"",_xlfn.XLOOKUP(B410,'2627PR_Loading'!$E$3:$E$501,'2627PR_Loading'!$J$3:$J$501,"",0)&amp;_xlfn.XLOOKUP(B410,'2627PR_Loading'!$K$3:$K$501,'2627PR_Loading'!$P$3:$P$501,"",0)&amp;_xlfn.XLOOKUP(B410,'2627PR_Loading'!$Q$3:$Q$501,'2627PR_Loading'!$V$3:$V$501,"",0),"")</f>
        <v/>
      </c>
      <c r="Q410" s="98" t="str">
        <f>IF(B410&lt;&gt;"",_xlfn.XLOOKUP(B410,TableDispatch[Uniq Id],TableDispatch[Delivery Date],"",0),"")</f>
        <v/>
      </c>
      <c r="R410" s="98" t="str">
        <f>IF(B410&lt;&gt;"",_xlfn.XLOOKUP(B410,TableDispatch[Uniq Id],TableDispatch[Our Ch No.],"",0),"")</f>
        <v/>
      </c>
      <c r="T410" s="26" t="str">
        <f>IF(B410&lt;&gt;"",_xlfn.XLOOKUP(B410,TableDispatch[Uniq Id],TableDispatch[Eway Bill Out],"",0),"")</f>
        <v/>
      </c>
    </row>
    <row r="411" spans="1:24" x14ac:dyDescent="0.25">
      <c r="J411" s="211" t="str">
        <f>IF(B411&lt;&gt;"",_xlfn.XLOOKUP(B411,'2627PR_Loading'!$E$3:$E$501,'2627PR_Loading'!$B$3:$B$501,"",0)&amp;_xlfn.XLOOKUP(B411,'2627PR_Loading'!$K$3:$K$501,'2627PR_Loading'!$B$3:$B$501,"",0)&amp;_xlfn.XLOOKUP(B411,'2627PR_Loading'!$Q$3:$Q$501,'2627PR_Loading'!$B$3:$B$501,"",0),"")</f>
        <v/>
      </c>
      <c r="K411" s="211" t="str">
        <f>IF(B411&lt;&gt;"",_xlfn.XLOOKUP(B411,'2627PR_Loading'!$E$3:$E$501,'2627PR_Loading'!$C$3:$C$501,"",0)&amp;_xlfn.XLOOKUP(B411,'2627PR_Loading'!$K$3:$K$501,'2627PR_Loading'!$C$3:$C$501,"",0)&amp;_xlfn.XLOOKUP(B411,'2627PR_Loading'!$Q$3:$Q$501,'2627PR_Loading'!$C$3:$C$501,"",0),"")</f>
        <v/>
      </c>
      <c r="P411" s="248" t="str">
        <f>IF(B411&lt;&gt;"",_xlfn.XLOOKUP(B411,'2627PR_Loading'!$E$3:$E$501,'2627PR_Loading'!$J$3:$J$501,"",0)&amp;_xlfn.XLOOKUP(B411,'2627PR_Loading'!$K$3:$K$501,'2627PR_Loading'!$P$3:$P$501,"",0)&amp;_xlfn.XLOOKUP(B411,'2627PR_Loading'!$Q$3:$Q$501,'2627PR_Loading'!$V$3:$V$501,"",0),"")</f>
        <v/>
      </c>
      <c r="Q411" s="98" t="str">
        <f>IF(B411&lt;&gt;"",_xlfn.XLOOKUP(B411,TableDispatch[Uniq Id],TableDispatch[Delivery Date],"",0),"")</f>
        <v/>
      </c>
      <c r="R411" s="98" t="str">
        <f>IF(B411&lt;&gt;"",_xlfn.XLOOKUP(B411,TableDispatch[Uniq Id],TableDispatch[Our Ch No.],"",0),"")</f>
        <v/>
      </c>
      <c r="T411" s="26" t="str">
        <f>IF(B411&lt;&gt;"",_xlfn.XLOOKUP(B411,TableDispatch[Uniq Id],TableDispatch[Eway Bill Out],"",0),"")</f>
        <v/>
      </c>
    </row>
    <row r="412" spans="1:24" x14ac:dyDescent="0.25">
      <c r="J412" s="211" t="str">
        <f>IF(B412&lt;&gt;"",_xlfn.XLOOKUP(B412,'2627PR_Loading'!$E$3:$E$501,'2627PR_Loading'!$B$3:$B$501,"",0)&amp;_xlfn.XLOOKUP(B412,'2627PR_Loading'!$K$3:$K$501,'2627PR_Loading'!$B$3:$B$501,"",0)&amp;_xlfn.XLOOKUP(B412,'2627PR_Loading'!$Q$3:$Q$501,'2627PR_Loading'!$B$3:$B$501,"",0),"")</f>
        <v/>
      </c>
      <c r="K412" s="211" t="str">
        <f>IF(B412&lt;&gt;"",_xlfn.XLOOKUP(B412,'2627PR_Loading'!$E$3:$E$501,'2627PR_Loading'!$C$3:$C$501,"",0)&amp;_xlfn.XLOOKUP(B412,'2627PR_Loading'!$K$3:$K$501,'2627PR_Loading'!$C$3:$C$501,"",0)&amp;_xlfn.XLOOKUP(B412,'2627PR_Loading'!$Q$3:$Q$501,'2627PR_Loading'!$C$3:$C$501,"",0),"")</f>
        <v/>
      </c>
      <c r="P412" s="248" t="str">
        <f>IF(B412&lt;&gt;"",_xlfn.XLOOKUP(B412,'2627PR_Loading'!$E$3:$E$501,'2627PR_Loading'!$J$3:$J$501,"",0)&amp;_xlfn.XLOOKUP(B412,'2627PR_Loading'!$K$3:$K$501,'2627PR_Loading'!$P$3:$P$501,"",0)&amp;_xlfn.XLOOKUP(B412,'2627PR_Loading'!$Q$3:$Q$501,'2627PR_Loading'!$V$3:$V$501,"",0),"")</f>
        <v/>
      </c>
      <c r="Q412" s="98" t="str">
        <f>IF(B412&lt;&gt;"",_xlfn.XLOOKUP(B412,TableDispatch[Uniq Id],TableDispatch[Delivery Date],"",0),"")</f>
        <v/>
      </c>
      <c r="R412" s="98" t="str">
        <f>IF(B412&lt;&gt;"",_xlfn.XLOOKUP(B412,TableDispatch[Uniq Id],TableDispatch[Our Ch No.],"",0),"")</f>
        <v/>
      </c>
      <c r="T412" s="26" t="str">
        <f>IF(B412&lt;&gt;"",_xlfn.XLOOKUP(B412,TableDispatch[Uniq Id],TableDispatch[Eway Bill Out],"",0),"")</f>
        <v/>
      </c>
    </row>
    <row r="413" spans="1:24" x14ac:dyDescent="0.25">
      <c r="J413" s="211" t="str">
        <f>IF(B413&lt;&gt;"",_xlfn.XLOOKUP(B413,'2627PR_Loading'!$E$3:$E$501,'2627PR_Loading'!$B$3:$B$501,"",0)&amp;_xlfn.XLOOKUP(B413,'2627PR_Loading'!$K$3:$K$501,'2627PR_Loading'!$B$3:$B$501,"",0)&amp;_xlfn.XLOOKUP(B413,'2627PR_Loading'!$Q$3:$Q$501,'2627PR_Loading'!$B$3:$B$501,"",0),"")</f>
        <v/>
      </c>
      <c r="K413" s="211" t="str">
        <f>IF(B413&lt;&gt;"",_xlfn.XLOOKUP(B413,'2627PR_Loading'!$E$3:$E$501,'2627PR_Loading'!$C$3:$C$501,"",0)&amp;_xlfn.XLOOKUP(B413,'2627PR_Loading'!$K$3:$K$501,'2627PR_Loading'!$C$3:$C$501,"",0)&amp;_xlfn.XLOOKUP(B413,'2627PR_Loading'!$Q$3:$Q$501,'2627PR_Loading'!$C$3:$C$501,"",0),"")</f>
        <v/>
      </c>
      <c r="P413" s="248" t="str">
        <f>IF(B413&lt;&gt;"",_xlfn.XLOOKUP(B413,'2627PR_Loading'!$E$3:$E$501,'2627PR_Loading'!$J$3:$J$501,"",0)&amp;_xlfn.XLOOKUP(B413,'2627PR_Loading'!$K$3:$K$501,'2627PR_Loading'!$P$3:$P$501,"",0)&amp;_xlfn.XLOOKUP(B413,'2627PR_Loading'!$Q$3:$Q$501,'2627PR_Loading'!$V$3:$V$501,"",0),"")</f>
        <v/>
      </c>
      <c r="Q413" s="98" t="str">
        <f>IF(B413&lt;&gt;"",_xlfn.XLOOKUP(B413,TableDispatch[Uniq Id],TableDispatch[Delivery Date],"",0),"")</f>
        <v/>
      </c>
      <c r="R413" s="98" t="str">
        <f>IF(B413&lt;&gt;"",_xlfn.XLOOKUP(B413,TableDispatch[Uniq Id],TableDispatch[Our Ch No.],"",0),"")</f>
        <v/>
      </c>
      <c r="T413" s="26" t="str">
        <f>IF(B413&lt;&gt;"",_xlfn.XLOOKUP(B413,TableDispatch[Uniq Id],TableDispatch[Eway Bill Out],"",0),"")</f>
        <v/>
      </c>
    </row>
    <row r="414" spans="1:24" x14ac:dyDescent="0.25">
      <c r="J414" s="211" t="str">
        <f>IF(B414&lt;&gt;"",_xlfn.XLOOKUP(B414,'2627PR_Loading'!$E$3:$E$501,'2627PR_Loading'!$B$3:$B$501,"",0)&amp;_xlfn.XLOOKUP(B414,'2627PR_Loading'!$K$3:$K$501,'2627PR_Loading'!$B$3:$B$501,"",0)&amp;_xlfn.XLOOKUP(B414,'2627PR_Loading'!$Q$3:$Q$501,'2627PR_Loading'!$B$3:$B$501,"",0),"")</f>
        <v/>
      </c>
      <c r="K414" s="211" t="str">
        <f>IF(B414&lt;&gt;"",_xlfn.XLOOKUP(B414,'2627PR_Loading'!$E$3:$E$501,'2627PR_Loading'!$C$3:$C$501,"",0)&amp;_xlfn.XLOOKUP(B414,'2627PR_Loading'!$K$3:$K$501,'2627PR_Loading'!$C$3:$C$501,"",0)&amp;_xlfn.XLOOKUP(B414,'2627PR_Loading'!$Q$3:$Q$501,'2627PR_Loading'!$C$3:$C$501,"",0),"")</f>
        <v/>
      </c>
      <c r="P414" s="248" t="str">
        <f>IF(B414&lt;&gt;"",_xlfn.XLOOKUP(B414,'2627PR_Loading'!$E$3:$E$501,'2627PR_Loading'!$J$3:$J$501,"",0)&amp;_xlfn.XLOOKUP(B414,'2627PR_Loading'!$K$3:$K$501,'2627PR_Loading'!$P$3:$P$501,"",0)&amp;_xlfn.XLOOKUP(B414,'2627PR_Loading'!$Q$3:$Q$501,'2627PR_Loading'!$V$3:$V$501,"",0),"")</f>
        <v/>
      </c>
      <c r="Q414" s="98" t="str">
        <f>IF(B414&lt;&gt;"",_xlfn.XLOOKUP(B414,TableDispatch[Uniq Id],TableDispatch[Delivery Date],"",0),"")</f>
        <v/>
      </c>
      <c r="R414" s="98" t="str">
        <f>IF(B414&lt;&gt;"",_xlfn.XLOOKUP(B414,TableDispatch[Uniq Id],TableDispatch[Our Ch No.],"",0),"")</f>
        <v/>
      </c>
      <c r="T414" s="26" t="str">
        <f>IF(B414&lt;&gt;"",_xlfn.XLOOKUP(B414,TableDispatch[Uniq Id],TableDispatch[Eway Bill Out],"",0),"")</f>
        <v/>
      </c>
    </row>
    <row r="415" spans="1:24" x14ac:dyDescent="0.25">
      <c r="J415" s="211" t="str">
        <f>IF(B415&lt;&gt;"",_xlfn.XLOOKUP(B415,'2627PR_Loading'!$E$3:$E$501,'2627PR_Loading'!$B$3:$B$501,"",0)&amp;_xlfn.XLOOKUP(B415,'2627PR_Loading'!$K$3:$K$501,'2627PR_Loading'!$B$3:$B$501,"",0)&amp;_xlfn.XLOOKUP(B415,'2627PR_Loading'!$Q$3:$Q$501,'2627PR_Loading'!$B$3:$B$501,"",0),"")</f>
        <v/>
      </c>
      <c r="K415" s="211" t="str">
        <f>IF(B415&lt;&gt;"",_xlfn.XLOOKUP(B415,'2627PR_Loading'!$E$3:$E$501,'2627PR_Loading'!$C$3:$C$501,"",0)&amp;_xlfn.XLOOKUP(B415,'2627PR_Loading'!$K$3:$K$501,'2627PR_Loading'!$C$3:$C$501,"",0)&amp;_xlfn.XLOOKUP(B415,'2627PR_Loading'!$Q$3:$Q$501,'2627PR_Loading'!$C$3:$C$501,"",0),"")</f>
        <v/>
      </c>
      <c r="P415" s="248" t="str">
        <f>IF(B415&lt;&gt;"",_xlfn.XLOOKUP(B415,'2627PR_Loading'!$E$3:$E$501,'2627PR_Loading'!$J$3:$J$501,"",0)&amp;_xlfn.XLOOKUP(B415,'2627PR_Loading'!$K$3:$K$501,'2627PR_Loading'!$P$3:$P$501,"",0)&amp;_xlfn.XLOOKUP(B415,'2627PR_Loading'!$Q$3:$Q$501,'2627PR_Loading'!$V$3:$V$501,"",0),"")</f>
        <v/>
      </c>
      <c r="Q415" s="98" t="str">
        <f>IF(B415&lt;&gt;"",_xlfn.XLOOKUP(B415,TableDispatch[Uniq Id],TableDispatch[Delivery Date],"",0),"")</f>
        <v/>
      </c>
      <c r="R415" s="98" t="str">
        <f>IF(B415&lt;&gt;"",_xlfn.XLOOKUP(B415,TableDispatch[Uniq Id],TableDispatch[Our Ch No.],"",0),"")</f>
        <v/>
      </c>
      <c r="T415" s="26" t="str">
        <f>IF(B415&lt;&gt;"",_xlfn.XLOOKUP(B415,TableDispatch[Uniq Id],TableDispatch[Eway Bill Out],"",0),"")</f>
        <v/>
      </c>
    </row>
    <row r="416" spans="1:24" x14ac:dyDescent="0.25">
      <c r="J416" s="211" t="str">
        <f>IF(B416&lt;&gt;"",_xlfn.XLOOKUP(B416,'2627PR_Loading'!$E$3:$E$501,'2627PR_Loading'!$B$3:$B$501,"",0)&amp;_xlfn.XLOOKUP(B416,'2627PR_Loading'!$K$3:$K$501,'2627PR_Loading'!$B$3:$B$501,"",0)&amp;_xlfn.XLOOKUP(B416,'2627PR_Loading'!$Q$3:$Q$501,'2627PR_Loading'!$B$3:$B$501,"",0),"")</f>
        <v/>
      </c>
      <c r="K416" s="211" t="str">
        <f>IF(B416&lt;&gt;"",_xlfn.XLOOKUP(B416,'2627PR_Loading'!$E$3:$E$501,'2627PR_Loading'!$C$3:$C$501,"",0)&amp;_xlfn.XLOOKUP(B416,'2627PR_Loading'!$K$3:$K$501,'2627PR_Loading'!$C$3:$C$501,"",0)&amp;_xlfn.XLOOKUP(B416,'2627PR_Loading'!$Q$3:$Q$501,'2627PR_Loading'!$C$3:$C$501,"",0),"")</f>
        <v/>
      </c>
      <c r="P416" s="248" t="str">
        <f>IF(B416&lt;&gt;"",_xlfn.XLOOKUP(B416,'2627PR_Loading'!$E$3:$E$501,'2627PR_Loading'!$J$3:$J$501,"",0)&amp;_xlfn.XLOOKUP(B416,'2627PR_Loading'!$K$3:$K$501,'2627PR_Loading'!$P$3:$P$501,"",0)&amp;_xlfn.XLOOKUP(B416,'2627PR_Loading'!$Q$3:$Q$501,'2627PR_Loading'!$V$3:$V$501,"",0),"")</f>
        <v/>
      </c>
      <c r="Q416" s="98" t="str">
        <f>IF(B416&lt;&gt;"",_xlfn.XLOOKUP(B416,TableDispatch[Uniq Id],TableDispatch[Delivery Date],"",0),"")</f>
        <v/>
      </c>
      <c r="R416" s="98" t="str">
        <f>IF(B416&lt;&gt;"",_xlfn.XLOOKUP(B416,TableDispatch[Uniq Id],TableDispatch[Our Ch No.],"",0),"")</f>
        <v/>
      </c>
      <c r="T416" s="26" t="str">
        <f>IF(B416&lt;&gt;"",_xlfn.XLOOKUP(B416,TableDispatch[Uniq Id],TableDispatch[Eway Bill Out],"",0),"")</f>
        <v/>
      </c>
    </row>
  </sheetData>
  <autoFilter ref="A2:X416" xr:uid="{00000000-0001-0000-0600-000000000000}"/>
  <customSheetViews>
    <customSheetView guid="{A079800B-DC1B-408F-91C7-3CFEB27825BC}" scale="85">
      <pane xSplit="1" ySplit="1" topLeftCell="B305" activePane="bottomRight" state="frozen"/>
      <selection pane="bottomRight" activeCell="H334" sqref="H334:H339"/>
      <pageMargins left="0" right="0" top="0" bottom="0" header="0" footer="0"/>
      <pageSetup paperSize="9" orientation="portrait" verticalDpi="0" r:id="rId1"/>
    </customSheetView>
    <customSheetView guid="{6EFE602B-DDBA-4BA7-94F6-DB3212BD68C7}" scale="85">
      <pane xSplit="1" ySplit="1" topLeftCell="B335" activePane="bottomRight" state="frozen"/>
      <selection pane="bottomRight" activeCell="J352" sqref="J352"/>
      <pageMargins left="0" right="0" top="0" bottom="0" header="0" footer="0"/>
      <pageSetup paperSize="9" orientation="portrait" verticalDpi="0" r:id="rId2"/>
    </customSheetView>
  </customSheetViews>
  <mergeCells count="1">
    <mergeCell ref="C1:D1"/>
  </mergeCells>
  <phoneticPr fontId="23" type="noConversion"/>
  <printOptions gridLines="1"/>
  <pageMargins left="0.14000000000000001" right="0.14000000000000001" top="0.74803149606299213" bottom="0.74803149606299213" header="0.31496062992125984" footer="0.31496062992125984"/>
  <pageSetup paperSize="9" orientation="landscape" r:id="rId3"/>
  <headerFooter>
    <oddFooter>&amp;L_x000D_&amp;1#&amp;"Calibri"&amp;8&amp;K000000 Classified as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FFC000"/>
    <pageSetUpPr fitToPage="1"/>
  </sheetPr>
  <dimension ref="A1:AR1680"/>
  <sheetViews>
    <sheetView showWhiteSpace="0" topLeftCell="A60" zoomScale="80" zoomScaleNormal="80" zoomScaleSheetLayoutView="70" zoomScalePageLayoutView="80" workbookViewId="0">
      <pane ySplit="5040" topLeftCell="A672"/>
      <selection activeCell="J72" sqref="J72"/>
      <selection pane="bottomLeft" activeCell="K675" sqref="K675"/>
    </sheetView>
  </sheetViews>
  <sheetFormatPr defaultColWidth="9.42578125" defaultRowHeight="15" x14ac:dyDescent="0.25"/>
  <cols>
    <col min="1" max="1" width="9.42578125" customWidth="1"/>
    <col min="2" max="2" width="6.42578125" style="322" customWidth="1"/>
    <col min="3" max="3" width="5.42578125" style="4" customWidth="1"/>
    <col min="4" max="4" width="7.42578125" style="4" customWidth="1"/>
    <col min="5" max="5" width="12.42578125" style="4" customWidth="1"/>
    <col min="6" max="8" width="7.42578125" style="4" customWidth="1"/>
    <col min="9" max="10" width="7.42578125" customWidth="1"/>
    <col min="11" max="11" width="12.42578125" style="4" customWidth="1"/>
    <col min="12" max="12" width="7.42578125" style="4" customWidth="1"/>
    <col min="13" max="13" width="11.42578125" style="4" bestFit="1" customWidth="1"/>
    <col min="14" max="14" width="9.42578125" style="4" customWidth="1"/>
    <col min="15" max="15" width="7.42578125" customWidth="1"/>
    <col min="16" max="16" width="10" customWidth="1"/>
    <col min="17" max="17" width="11.42578125" style="4" customWidth="1"/>
    <col min="18" max="18" width="8.42578125" style="4" customWidth="1"/>
    <col min="19" max="19" width="7.42578125" style="4" customWidth="1"/>
    <col min="20" max="20" width="10.42578125" style="4" bestFit="1" customWidth="1"/>
    <col min="21" max="21" width="8.28515625" customWidth="1"/>
    <col min="22" max="22" width="7.42578125" customWidth="1"/>
    <col min="23" max="23" width="8.7109375" customWidth="1"/>
    <col min="24" max="24" width="8.42578125" style="4" customWidth="1"/>
    <col min="25" max="25" width="6.42578125" bestFit="1" customWidth="1"/>
    <col min="26" max="26" width="7.42578125" customWidth="1"/>
    <col min="27" max="27" width="5.42578125" style="4" customWidth="1"/>
    <col min="28" max="28" width="4.42578125" style="4" customWidth="1"/>
    <col min="29" max="29" width="7.42578125" style="163" customWidth="1"/>
    <col min="30" max="30" width="9.42578125" style="99"/>
    <col min="31" max="31" width="9.42578125" style="4"/>
    <col min="32" max="32" width="8.5703125" style="99" customWidth="1"/>
    <col min="33" max="33" width="9.42578125" style="83"/>
    <col min="34" max="34" width="7.42578125" style="4" customWidth="1"/>
    <col min="35" max="35" width="9.42578125" style="99"/>
    <col min="36" max="36" width="9.42578125" style="4" customWidth="1"/>
    <col min="37" max="37" width="8.42578125" style="4" bestFit="1" customWidth="1"/>
    <col min="38" max="38" width="16.42578125" style="4" customWidth="1"/>
    <col min="39" max="39" width="15.42578125" style="4" customWidth="1"/>
    <col min="40" max="40" width="35.140625" style="4" customWidth="1"/>
    <col min="41" max="41" width="12.42578125" style="4" customWidth="1"/>
  </cols>
  <sheetData>
    <row r="1" spans="1:41" s="86" customFormat="1" ht="28.5" x14ac:dyDescent="0.25">
      <c r="B1" s="319"/>
      <c r="C1" s="68"/>
      <c r="D1" s="68"/>
      <c r="E1" s="292" t="s">
        <v>429</v>
      </c>
      <c r="F1" s="68"/>
      <c r="G1" s="293" t="s">
        <v>430</v>
      </c>
      <c r="H1" s="293"/>
      <c r="K1" s="68"/>
      <c r="L1" s="68"/>
      <c r="M1" s="68"/>
      <c r="N1" s="68"/>
      <c r="Q1" s="68"/>
      <c r="R1" s="68"/>
      <c r="S1" s="68"/>
      <c r="T1" s="68"/>
      <c r="X1" s="68"/>
      <c r="AA1" s="68"/>
      <c r="AB1" s="68"/>
      <c r="AC1" s="294"/>
      <c r="AD1" s="295"/>
      <c r="AE1" s="68"/>
      <c r="AF1" s="293" t="s">
        <v>117</v>
      </c>
      <c r="AG1" s="296"/>
      <c r="AH1" s="68"/>
      <c r="AI1" s="295"/>
      <c r="AJ1" s="68"/>
      <c r="AK1" s="68"/>
      <c r="AL1" s="68"/>
      <c r="AM1" s="68"/>
      <c r="AN1" s="68"/>
      <c r="AO1" s="68"/>
    </row>
    <row r="2" spans="1:41" s="86" customFormat="1" ht="27" customHeight="1" x14ac:dyDescent="0.25">
      <c r="A2" s="79" t="s">
        <v>490</v>
      </c>
      <c r="B2" s="320" t="s">
        <v>491</v>
      </c>
      <c r="C2" s="81" t="s">
        <v>424</v>
      </c>
      <c r="D2" s="81" t="s">
        <v>492</v>
      </c>
      <c r="E2" s="81" t="s">
        <v>493</v>
      </c>
      <c r="F2" s="81" t="s">
        <v>120</v>
      </c>
      <c r="G2" s="81" t="s">
        <v>494</v>
      </c>
      <c r="H2" s="81" t="s">
        <v>495</v>
      </c>
      <c r="I2" s="81" t="s">
        <v>496</v>
      </c>
      <c r="J2" s="81" t="s">
        <v>439</v>
      </c>
      <c r="K2" s="81" t="s">
        <v>497</v>
      </c>
      <c r="L2" s="81" t="s">
        <v>498</v>
      </c>
      <c r="M2" s="81" t="s">
        <v>499</v>
      </c>
      <c r="N2" s="81" t="s">
        <v>495</v>
      </c>
      <c r="O2" s="81" t="s">
        <v>500</v>
      </c>
      <c r="P2" s="81" t="s">
        <v>439</v>
      </c>
      <c r="Q2" s="81" t="s">
        <v>501</v>
      </c>
      <c r="R2" s="81" t="s">
        <v>502</v>
      </c>
      <c r="S2" s="81" t="s">
        <v>503</v>
      </c>
      <c r="T2" s="81" t="s">
        <v>495</v>
      </c>
      <c r="U2" s="81" t="s">
        <v>504</v>
      </c>
      <c r="V2" s="81" t="s">
        <v>439</v>
      </c>
      <c r="W2" s="82" t="s">
        <v>505</v>
      </c>
      <c r="X2" s="81" t="s">
        <v>506</v>
      </c>
      <c r="Y2" s="81" t="s">
        <v>197</v>
      </c>
      <c r="Z2" s="82" t="s">
        <v>507</v>
      </c>
      <c r="AA2" s="110" t="s">
        <v>508</v>
      </c>
      <c r="AB2" s="81" t="s">
        <v>424</v>
      </c>
      <c r="AC2" s="162" t="s">
        <v>120</v>
      </c>
      <c r="AD2" s="111" t="s">
        <v>509</v>
      </c>
      <c r="AE2" s="112" t="s">
        <v>510</v>
      </c>
      <c r="AF2" s="111" t="s">
        <v>511</v>
      </c>
      <c r="AG2" s="112" t="s">
        <v>512</v>
      </c>
      <c r="AH2" s="81" t="s">
        <v>513</v>
      </c>
      <c r="AI2" s="113" t="s">
        <v>514</v>
      </c>
      <c r="AJ2" s="112" t="s">
        <v>515</v>
      </c>
      <c r="AK2" s="81" t="s">
        <v>516</v>
      </c>
      <c r="AL2" s="84" t="s">
        <v>517</v>
      </c>
      <c r="AM2" s="77" t="s">
        <v>518</v>
      </c>
      <c r="AN2" s="114"/>
      <c r="AO2" s="257" t="s">
        <v>519</v>
      </c>
    </row>
    <row r="3" spans="1:41" x14ac:dyDescent="0.25">
      <c r="B3" s="321">
        <v>164</v>
      </c>
      <c r="C3" s="17">
        <v>12</v>
      </c>
      <c r="E3" s="117">
        <v>610903</v>
      </c>
      <c r="F3" s="4" t="str">
        <f t="shared" ref="F3" si="0">IFERROR(IF(VLOOKUP($E3,Inward,2,FALSE)&gt;0,VLOOKUP($E3,Inward,2,FALSE),""),"")</f>
        <v>BC</v>
      </c>
      <c r="G3" s="4">
        <f t="shared" ref="G3" si="1">IFERROR(IF(VLOOKUP($E3,Inward,7,FALSE)&gt;0,VLOOKUP($E3,Inward,7,FALSE),""),"")</f>
        <v>21</v>
      </c>
      <c r="H3" s="4" t="str">
        <f t="shared" ref="H3" si="2">IFERROR(IF(VLOOKUP($E3,Inward,8,FALSE)&gt;0,VLOOKUP($E3,Inward,8,FALSE),""),"")</f>
        <v>EN31</v>
      </c>
      <c r="I3" s="4">
        <f t="shared" ref="I3" si="3">IFERROR(IF(VLOOKUP($E3,Inward,11,FALSE)&gt;0,VLOOKUP($E3,Inward,11,FALSE),""),"")</f>
        <v>1730</v>
      </c>
      <c r="J3" s="247">
        <v>80</v>
      </c>
      <c r="K3" s="117"/>
      <c r="L3" s="4" t="str">
        <f t="shared" ref="L3" si="4">IFERROR(IF(VLOOKUP($K3,Inward,2,FALSE)&gt;0,VLOOKUP($K3,Inward,2,FALSE),""),"")</f>
        <v/>
      </c>
      <c r="M3" s="4" t="str">
        <f t="shared" ref="M3" si="5">IFERROR(IF(VLOOKUP($K3,Inward,7,FALSE)&gt;0,VLOOKUP($K3,Inward,7,FALSE),""),"")</f>
        <v/>
      </c>
      <c r="N3" s="4" t="str">
        <f t="shared" ref="N3" si="6">IFERROR(IF(VLOOKUP($K3,Inward,8,FALSE)&gt;0,VLOOKUP($K3,Inward,8,FALSE),""),"")</f>
        <v/>
      </c>
      <c r="O3" s="4" t="str">
        <f t="shared" ref="O3" si="7">IFERROR(IF(VLOOKUP($K3,Inward,11,FALSE)&gt;0,VLOOKUP($K3,Inward,11,FALSE),""),"")</f>
        <v/>
      </c>
      <c r="P3" s="247"/>
      <c r="Q3" s="117"/>
      <c r="R3" s="4" t="str">
        <f t="shared" ref="R3:R67" si="8">IFERROR(IF(VLOOKUP($Q3,Inward,2,FALSE)&gt;0,VLOOKUP($Q3,Inward,2,FALSE),""),"")</f>
        <v/>
      </c>
      <c r="S3" s="4" t="str">
        <f t="shared" ref="S3:S67" si="9">IFERROR(IF(VLOOKUP($Q3,Inward,7,FALSE)&gt;0,VLOOKUP($Q3,Inward,7,FALSE),""),"")</f>
        <v/>
      </c>
      <c r="T3" s="4" t="str">
        <f t="shared" ref="T3:T67" si="10">IFERROR(IF(VLOOKUP($Q3,Inward,8,FALSE)&gt;0,VLOOKUP($Q3,Inward,8,FALSE),""),"")</f>
        <v/>
      </c>
      <c r="U3" s="4" t="str">
        <f t="shared" ref="U3:U67" si="11">IFERROR(IF(VLOOKUP($Q3,Inward,11,FALSE)&gt;0,VLOOKUP($Q3,Inward,11,FALSE),""),"")</f>
        <v/>
      </c>
      <c r="V3" s="247"/>
      <c r="W3" s="67">
        <f t="shared" ref="W3" si="12">IF(SUM(I3,O3,U3)&gt;0,(SUM(I3,O3,U3)),"")</f>
        <v>1730</v>
      </c>
      <c r="X3" s="118"/>
      <c r="Z3" s="67">
        <f t="shared" ref="Z3" si="13">IF(SUM(W3,Y3)&gt;0,(SUM(W3,Y3)),"")</f>
        <v>1730</v>
      </c>
      <c r="AA3" s="13">
        <f t="shared" ref="AA3:AA4" si="14">B3</f>
        <v>164</v>
      </c>
      <c r="AB3" s="17">
        <f t="shared" ref="AB3:AB4" si="15">C3</f>
        <v>12</v>
      </c>
      <c r="AC3" s="163" t="str">
        <f t="shared" ref="AC3:AC4" si="16">F3</f>
        <v>BC</v>
      </c>
      <c r="AD3" s="119">
        <v>45573</v>
      </c>
      <c r="AE3" s="120">
        <v>0.91111111111111109</v>
      </c>
      <c r="AF3" s="121">
        <v>45574</v>
      </c>
      <c r="AG3" s="122">
        <v>0.61805555555555558</v>
      </c>
      <c r="AH3" s="83">
        <f t="shared" ref="AH3:AH39" si="17">IF(AG3&lt;&gt;0,((AF3+AG3)-(AD3+AE3)),"")</f>
        <v>0.7069444444423425</v>
      </c>
      <c r="AI3" s="115">
        <v>45575</v>
      </c>
      <c r="AJ3" s="116">
        <v>0.19097222222222221</v>
      </c>
      <c r="AK3" s="83">
        <f t="shared" ref="AK3:AK37" si="18">IF(AJ3&lt;&gt;0,((AI3+AJ3)-(AF3+AG3)),"")</f>
        <v>0.57291666666424135</v>
      </c>
      <c r="AL3" s="85"/>
      <c r="AM3" s="254"/>
      <c r="AN3" s="254"/>
      <c r="AO3" s="255"/>
    </row>
    <row r="4" spans="1:41" x14ac:dyDescent="0.25">
      <c r="B4" s="321">
        <v>71</v>
      </c>
      <c r="C4" s="17">
        <v>11</v>
      </c>
      <c r="D4" s="273"/>
      <c r="E4" s="117">
        <v>6506202403</v>
      </c>
      <c r="F4" s="4" t="str">
        <f t="shared" ref="F4:F59" si="19">IFERROR(IF(VLOOKUP($E4,Inward,2,FALSE)&gt;0,VLOOKUP($E4,Inward,2,FALSE),""),"")</f>
        <v>MLN</v>
      </c>
      <c r="G4" s="4">
        <f t="shared" ref="G4:G59" si="20">IFERROR(IF(VLOOKUP($E4,Inward,7,FALSE)&gt;0,VLOOKUP($E4,Inward,7,FALSE),""),"")</f>
        <v>17.5</v>
      </c>
      <c r="H4" s="4" t="str">
        <f t="shared" ref="H4:H59" si="21">IFERROR(IF(VLOOKUP($E4,Inward,8,FALSE)&gt;0,VLOOKUP($E4,Inward,8,FALSE),""),"")</f>
        <v>EN31</v>
      </c>
      <c r="I4" s="4">
        <f t="shared" ref="I4:I59" si="22">IFERROR(IF(VLOOKUP($E4,Inward,11,FALSE)&gt;0,VLOOKUP($E4,Inward,11,FALSE),""),"")</f>
        <v>350</v>
      </c>
      <c r="J4" s="247">
        <v>76</v>
      </c>
      <c r="K4" s="117"/>
      <c r="L4" s="4" t="str">
        <f t="shared" ref="L4:L68" si="23">IFERROR(IF(VLOOKUP($K4,Inward,2,FALSE)&gt;0,VLOOKUP($K4,Inward,2,FALSE),""),"")</f>
        <v/>
      </c>
      <c r="M4" s="4" t="str">
        <f t="shared" ref="M4:M68" si="24">IFERROR(IF(VLOOKUP($K4,Inward,7,FALSE)&gt;0,VLOOKUP($K4,Inward,7,FALSE),""),"")</f>
        <v/>
      </c>
      <c r="N4" s="4" t="str">
        <f t="shared" ref="N4:N68" si="25">IFERROR(IF(VLOOKUP($K4,Inward,8,FALSE)&gt;0,VLOOKUP($K4,Inward,8,FALSE),""),"")</f>
        <v/>
      </c>
      <c r="O4" s="4" t="str">
        <f t="shared" ref="O4:O68" si="26">IFERROR(IF(VLOOKUP($K4,Inward,11,FALSE)&gt;0,VLOOKUP($K4,Inward,11,FALSE),""),"")</f>
        <v/>
      </c>
      <c r="P4" s="247"/>
      <c r="Q4" s="117"/>
      <c r="R4" s="4" t="str">
        <f t="shared" si="8"/>
        <v/>
      </c>
      <c r="S4" s="4" t="str">
        <f t="shared" si="9"/>
        <v/>
      </c>
      <c r="T4" s="4" t="str">
        <f t="shared" si="10"/>
        <v/>
      </c>
      <c r="U4" s="4" t="str">
        <f t="shared" si="11"/>
        <v/>
      </c>
      <c r="V4" s="247"/>
      <c r="W4" s="67">
        <f t="shared" ref="W4:W68" si="27">IF(SUM(I4,O4,U4)&gt;0,(SUM(I4,O4,U4)),"")</f>
        <v>350</v>
      </c>
      <c r="X4" s="118"/>
      <c r="Z4" s="67">
        <f t="shared" ref="Z4:Z68" si="28">IF(SUM(W4,Y4)&gt;0,(SUM(W4,Y4)),"")</f>
        <v>350</v>
      </c>
      <c r="AA4" s="13">
        <f t="shared" si="14"/>
        <v>71</v>
      </c>
      <c r="AB4" s="17">
        <f t="shared" si="15"/>
        <v>11</v>
      </c>
      <c r="AC4" s="163" t="str">
        <f t="shared" si="16"/>
        <v>MLN</v>
      </c>
      <c r="AD4" s="119">
        <v>45818</v>
      </c>
      <c r="AE4" s="120">
        <v>0.86805555555555558</v>
      </c>
      <c r="AF4" s="121">
        <v>45819</v>
      </c>
      <c r="AG4" s="122">
        <v>0.55555555555555558</v>
      </c>
      <c r="AH4" s="83">
        <f t="shared" si="17"/>
        <v>0.6875</v>
      </c>
      <c r="AI4" s="115">
        <v>45820</v>
      </c>
      <c r="AJ4" s="116">
        <v>0.25</v>
      </c>
      <c r="AK4" s="83">
        <f t="shared" si="18"/>
        <v>0.69444444444525288</v>
      </c>
      <c r="AL4" s="85"/>
      <c r="AM4" s="254"/>
      <c r="AN4" s="254"/>
      <c r="AO4" s="255"/>
    </row>
    <row r="5" spans="1:41" x14ac:dyDescent="0.25">
      <c r="B5" s="321">
        <v>250</v>
      </c>
      <c r="C5" s="17">
        <v>12</v>
      </c>
      <c r="D5" s="273"/>
      <c r="E5" s="117" t="s">
        <v>469</v>
      </c>
      <c r="F5" s="4" t="str">
        <f t="shared" si="19"/>
        <v>BC</v>
      </c>
      <c r="G5" s="4">
        <f t="shared" si="20"/>
        <v>28</v>
      </c>
      <c r="H5" s="4" t="str">
        <f t="shared" si="21"/>
        <v>SAE</v>
      </c>
      <c r="I5" s="4">
        <f t="shared" si="22"/>
        <v>1900</v>
      </c>
      <c r="J5" s="247">
        <v>80</v>
      </c>
      <c r="K5" s="117"/>
      <c r="L5" s="4" t="str">
        <f t="shared" si="23"/>
        <v/>
      </c>
      <c r="M5" s="4" t="str">
        <f t="shared" si="24"/>
        <v/>
      </c>
      <c r="N5" s="4" t="str">
        <f t="shared" si="25"/>
        <v/>
      </c>
      <c r="O5" s="4" t="str">
        <f t="shared" si="26"/>
        <v/>
      </c>
      <c r="P5" s="247"/>
      <c r="Q5" s="117"/>
      <c r="R5" s="4" t="str">
        <f t="shared" si="8"/>
        <v/>
      </c>
      <c r="S5" s="4" t="str">
        <f t="shared" si="9"/>
        <v/>
      </c>
      <c r="T5" s="4" t="str">
        <f t="shared" si="10"/>
        <v/>
      </c>
      <c r="U5" s="4" t="str">
        <f t="shared" si="11"/>
        <v/>
      </c>
      <c r="V5" s="247"/>
      <c r="W5" s="67">
        <f t="shared" si="27"/>
        <v>1900</v>
      </c>
      <c r="X5" s="118"/>
      <c r="Z5" s="67">
        <f t="shared" si="28"/>
        <v>1900</v>
      </c>
      <c r="AA5" s="13">
        <f t="shared" ref="AA5:AA58" si="29">B5</f>
        <v>250</v>
      </c>
      <c r="AB5" s="17">
        <f t="shared" ref="AB5:AB58" si="30">C5</f>
        <v>12</v>
      </c>
      <c r="AC5" s="163" t="str">
        <f t="shared" ref="AC5:AC58" si="31">F5</f>
        <v>BC</v>
      </c>
      <c r="AD5" s="119">
        <v>46052</v>
      </c>
      <c r="AE5" s="120">
        <v>0.72916666666666663</v>
      </c>
      <c r="AF5" s="121">
        <v>46053</v>
      </c>
      <c r="AG5" s="122">
        <v>0.40277777777777779</v>
      </c>
      <c r="AH5" s="83">
        <f t="shared" si="17"/>
        <v>0.67361111111677019</v>
      </c>
      <c r="AI5" s="115">
        <v>46053</v>
      </c>
      <c r="AJ5" s="116">
        <v>0.86458333333333337</v>
      </c>
      <c r="AK5" s="83">
        <f t="shared" si="18"/>
        <v>0.46180555555474712</v>
      </c>
      <c r="AL5" s="85"/>
      <c r="AM5" s="254"/>
      <c r="AN5" s="254"/>
      <c r="AO5" s="255"/>
    </row>
    <row r="6" spans="1:41" x14ac:dyDescent="0.25">
      <c r="B6" s="321">
        <v>253</v>
      </c>
      <c r="C6" s="17">
        <v>12</v>
      </c>
      <c r="E6" s="117" t="s">
        <v>472</v>
      </c>
      <c r="F6" s="4" t="str">
        <f t="shared" si="19"/>
        <v>BC</v>
      </c>
      <c r="G6" s="4">
        <f t="shared" si="20"/>
        <v>21</v>
      </c>
      <c r="H6" s="4" t="str">
        <f t="shared" si="21"/>
        <v>SAE</v>
      </c>
      <c r="I6" s="4">
        <f t="shared" si="22"/>
        <v>2080</v>
      </c>
      <c r="J6" s="247">
        <v>80</v>
      </c>
      <c r="K6" s="117"/>
      <c r="L6" s="4" t="str">
        <f t="shared" si="23"/>
        <v/>
      </c>
      <c r="M6" s="4" t="str">
        <f t="shared" si="24"/>
        <v/>
      </c>
      <c r="N6" s="4" t="str">
        <f t="shared" si="25"/>
        <v/>
      </c>
      <c r="O6" s="4" t="str">
        <f t="shared" si="26"/>
        <v/>
      </c>
      <c r="P6" s="247"/>
      <c r="Q6" s="117"/>
      <c r="R6" s="4" t="str">
        <f t="shared" si="8"/>
        <v/>
      </c>
      <c r="S6" s="4" t="str">
        <f t="shared" si="9"/>
        <v/>
      </c>
      <c r="T6" s="4" t="str">
        <f t="shared" si="10"/>
        <v/>
      </c>
      <c r="U6" s="4" t="str">
        <f t="shared" si="11"/>
        <v/>
      </c>
      <c r="V6" s="247"/>
      <c r="W6" s="67">
        <f t="shared" si="27"/>
        <v>2080</v>
      </c>
      <c r="X6" s="118"/>
      <c r="Z6" s="67">
        <f t="shared" si="28"/>
        <v>2080</v>
      </c>
      <c r="AA6" s="13">
        <f t="shared" si="29"/>
        <v>253</v>
      </c>
      <c r="AB6" s="17">
        <f t="shared" si="30"/>
        <v>12</v>
      </c>
      <c r="AC6" s="163" t="str">
        <f t="shared" si="31"/>
        <v>BC</v>
      </c>
      <c r="AD6" s="119">
        <v>46065</v>
      </c>
      <c r="AE6" s="120">
        <v>0.59722222222222221</v>
      </c>
      <c r="AF6" s="121">
        <v>46066</v>
      </c>
      <c r="AG6" s="122">
        <v>0.3888888888888889</v>
      </c>
      <c r="AH6" s="83">
        <f t="shared" si="17"/>
        <v>0.79166666667151731</v>
      </c>
      <c r="AI6" s="115">
        <v>46066</v>
      </c>
      <c r="AJ6" s="116">
        <v>0.97916666666666663</v>
      </c>
      <c r="AK6" s="83">
        <f t="shared" si="18"/>
        <v>0.59027777777373558</v>
      </c>
      <c r="AL6" s="85" t="s">
        <v>520</v>
      </c>
      <c r="AM6" s="254"/>
      <c r="AN6" s="254"/>
      <c r="AO6" s="255"/>
    </row>
    <row r="7" spans="1:41" x14ac:dyDescent="0.25">
      <c r="B7" s="321">
        <v>258</v>
      </c>
      <c r="C7" s="17">
        <v>12</v>
      </c>
      <c r="D7"/>
      <c r="E7" s="117" t="s">
        <v>479</v>
      </c>
      <c r="F7" s="4" t="str">
        <f t="shared" si="19"/>
        <v>BC</v>
      </c>
      <c r="G7" s="4">
        <f t="shared" si="20"/>
        <v>22</v>
      </c>
      <c r="H7" s="4" t="str">
        <f t="shared" si="21"/>
        <v>EN31</v>
      </c>
      <c r="I7" s="4">
        <f t="shared" si="22"/>
        <v>865</v>
      </c>
      <c r="J7" s="247">
        <v>78</v>
      </c>
      <c r="K7" s="117" t="s">
        <v>473</v>
      </c>
      <c r="L7" s="4" t="str">
        <f t="shared" si="23"/>
        <v>BC</v>
      </c>
      <c r="M7" s="4">
        <f t="shared" si="24"/>
        <v>22</v>
      </c>
      <c r="N7" s="4" t="str">
        <f t="shared" si="25"/>
        <v>EN31</v>
      </c>
      <c r="O7" s="4">
        <f t="shared" si="26"/>
        <v>970</v>
      </c>
      <c r="P7" s="247">
        <v>78</v>
      </c>
      <c r="Q7" s="117"/>
      <c r="R7" s="4" t="str">
        <f t="shared" si="8"/>
        <v/>
      </c>
      <c r="S7" s="4" t="str">
        <f t="shared" si="9"/>
        <v/>
      </c>
      <c r="T7" s="4" t="str">
        <f t="shared" si="10"/>
        <v/>
      </c>
      <c r="U7" s="4" t="str">
        <f t="shared" si="11"/>
        <v/>
      </c>
      <c r="V7" s="247"/>
      <c r="W7" s="67">
        <f t="shared" si="27"/>
        <v>1835</v>
      </c>
      <c r="X7" s="118"/>
      <c r="Z7" s="67">
        <f t="shared" si="28"/>
        <v>1835</v>
      </c>
      <c r="AA7" s="13">
        <f t="shared" si="29"/>
        <v>258</v>
      </c>
      <c r="AB7" s="17">
        <f t="shared" si="30"/>
        <v>12</v>
      </c>
      <c r="AC7" s="163" t="str">
        <f t="shared" si="31"/>
        <v>BC</v>
      </c>
      <c r="AD7" s="119">
        <v>46073</v>
      </c>
      <c r="AE7" s="120">
        <v>6.9444444444444448E-2</v>
      </c>
      <c r="AF7" s="121">
        <v>46074</v>
      </c>
      <c r="AG7" s="122">
        <v>0.1388888888888889</v>
      </c>
      <c r="AH7" s="83">
        <f t="shared" si="17"/>
        <v>1.0694444444452529</v>
      </c>
      <c r="AI7" s="115">
        <v>46074</v>
      </c>
      <c r="AJ7" s="116">
        <v>0.63888888888888884</v>
      </c>
      <c r="AK7" s="83">
        <f t="shared" si="18"/>
        <v>0.5</v>
      </c>
      <c r="AL7" s="85"/>
      <c r="AM7" s="254"/>
      <c r="AN7" s="254"/>
      <c r="AO7" s="255"/>
    </row>
    <row r="8" spans="1:41" x14ac:dyDescent="0.25">
      <c r="B8" s="321">
        <v>259</v>
      </c>
      <c r="C8" s="17">
        <v>12</v>
      </c>
      <c r="E8" s="117" t="s">
        <v>460</v>
      </c>
      <c r="F8" s="4" t="str">
        <f t="shared" si="19"/>
        <v>BC</v>
      </c>
      <c r="G8" s="4">
        <f t="shared" si="20"/>
        <v>28</v>
      </c>
      <c r="H8" s="4" t="str">
        <f t="shared" si="21"/>
        <v>SAE</v>
      </c>
      <c r="I8" s="4">
        <f t="shared" si="22"/>
        <v>1970</v>
      </c>
      <c r="J8" s="247">
        <v>80</v>
      </c>
      <c r="K8" s="117" t="s">
        <v>467</v>
      </c>
      <c r="L8" s="4" t="str">
        <f t="shared" si="23"/>
        <v>BC</v>
      </c>
      <c r="M8" s="4">
        <f t="shared" si="24"/>
        <v>28</v>
      </c>
      <c r="N8" s="4" t="str">
        <f t="shared" si="25"/>
        <v>SAE</v>
      </c>
      <c r="O8" s="4">
        <f t="shared" si="26"/>
        <v>980</v>
      </c>
      <c r="P8" s="247">
        <v>80</v>
      </c>
      <c r="Q8" s="117"/>
      <c r="R8" s="4" t="str">
        <f t="shared" si="8"/>
        <v/>
      </c>
      <c r="S8" s="4" t="str">
        <f t="shared" si="9"/>
        <v/>
      </c>
      <c r="T8" s="4" t="str">
        <f t="shared" si="10"/>
        <v/>
      </c>
      <c r="U8" s="4" t="str">
        <f t="shared" si="11"/>
        <v/>
      </c>
      <c r="V8" s="247"/>
      <c r="W8" s="67">
        <f t="shared" si="27"/>
        <v>2950</v>
      </c>
      <c r="X8" s="118"/>
      <c r="Z8" s="67">
        <f t="shared" si="28"/>
        <v>2950</v>
      </c>
      <c r="AA8" s="13">
        <f>B8</f>
        <v>259</v>
      </c>
      <c r="AB8" s="17">
        <f t="shared" si="30"/>
        <v>12</v>
      </c>
      <c r="AC8" s="163" t="str">
        <f t="shared" si="31"/>
        <v>BC</v>
      </c>
      <c r="AD8" s="119">
        <v>46074</v>
      </c>
      <c r="AE8" s="120">
        <v>0.65972222222222221</v>
      </c>
      <c r="AF8" s="121">
        <v>46075</v>
      </c>
      <c r="AG8" s="122">
        <v>0.27777777777777779</v>
      </c>
      <c r="AH8" s="83">
        <f t="shared" si="17"/>
        <v>0.61805555556202307</v>
      </c>
      <c r="AI8" s="115">
        <v>46075</v>
      </c>
      <c r="AJ8" s="116">
        <v>0.94444444444444442</v>
      </c>
      <c r="AK8" s="83">
        <f t="shared" si="18"/>
        <v>0.66666666666424135</v>
      </c>
      <c r="AL8" s="85"/>
      <c r="AM8" s="254"/>
      <c r="AN8" s="254"/>
      <c r="AO8" s="255"/>
    </row>
    <row r="9" spans="1:41" x14ac:dyDescent="0.25">
      <c r="B9" s="321">
        <v>1</v>
      </c>
      <c r="C9" s="17">
        <v>12</v>
      </c>
      <c r="D9" s="273"/>
      <c r="E9" s="117">
        <v>610401</v>
      </c>
      <c r="F9" s="4" t="str">
        <f t="shared" si="19"/>
        <v>BC</v>
      </c>
      <c r="G9" s="4">
        <f t="shared" si="20"/>
        <v>17.5</v>
      </c>
      <c r="H9" s="4" t="str">
        <f t="shared" si="21"/>
        <v>EN31</v>
      </c>
      <c r="I9" s="4">
        <f t="shared" si="22"/>
        <v>1985</v>
      </c>
      <c r="J9" s="247"/>
      <c r="K9" s="117"/>
      <c r="L9" s="4" t="str">
        <f t="shared" si="23"/>
        <v/>
      </c>
      <c r="M9" s="4" t="str">
        <f t="shared" si="24"/>
        <v/>
      </c>
      <c r="N9" s="4" t="str">
        <f t="shared" si="25"/>
        <v/>
      </c>
      <c r="O9" s="4" t="str">
        <f t="shared" si="26"/>
        <v/>
      </c>
      <c r="P9" s="247"/>
      <c r="Q9" s="117"/>
      <c r="R9" s="4" t="str">
        <f t="shared" si="8"/>
        <v/>
      </c>
      <c r="S9" s="4" t="str">
        <f t="shared" si="9"/>
        <v/>
      </c>
      <c r="T9" s="4" t="str">
        <f t="shared" si="10"/>
        <v/>
      </c>
      <c r="U9" s="4" t="str">
        <f t="shared" si="11"/>
        <v/>
      </c>
      <c r="V9" s="247"/>
      <c r="W9" s="67">
        <f t="shared" si="27"/>
        <v>1985</v>
      </c>
      <c r="X9" s="118"/>
      <c r="Z9" s="67">
        <f t="shared" si="28"/>
        <v>1985</v>
      </c>
      <c r="AA9" s="13">
        <f>B9</f>
        <v>1</v>
      </c>
      <c r="AB9" s="17">
        <f t="shared" si="30"/>
        <v>12</v>
      </c>
      <c r="AC9" s="163" t="str">
        <f t="shared" si="31"/>
        <v>BC</v>
      </c>
      <c r="AD9" s="119">
        <v>46117</v>
      </c>
      <c r="AE9" s="120">
        <v>0.61805555555555558</v>
      </c>
      <c r="AF9" s="121">
        <v>46118</v>
      </c>
      <c r="AG9" s="122">
        <v>0.2361111111111111</v>
      </c>
      <c r="AH9" s="83">
        <f t="shared" si="17"/>
        <v>0.61805555555474712</v>
      </c>
      <c r="AI9" s="115">
        <v>46118</v>
      </c>
      <c r="AJ9" s="116">
        <v>0.75</v>
      </c>
      <c r="AK9" s="83">
        <f t="shared" si="18"/>
        <v>0.51388888889050577</v>
      </c>
      <c r="AL9" s="85"/>
      <c r="AM9" s="254"/>
      <c r="AN9" s="254"/>
      <c r="AO9" s="255"/>
    </row>
    <row r="10" spans="1:41" x14ac:dyDescent="0.25">
      <c r="B10" s="321">
        <v>2</v>
      </c>
      <c r="C10" s="17">
        <v>12</v>
      </c>
      <c r="D10" s="273"/>
      <c r="E10" s="117" t="s">
        <v>521</v>
      </c>
      <c r="F10" s="4" t="str">
        <f t="shared" si="19"/>
        <v/>
      </c>
      <c r="G10" s="4" t="str">
        <f t="shared" si="20"/>
        <v/>
      </c>
      <c r="H10" s="4" t="str">
        <f t="shared" si="21"/>
        <v/>
      </c>
      <c r="I10" s="4" t="str">
        <f t="shared" si="22"/>
        <v/>
      </c>
      <c r="J10" s="247"/>
      <c r="K10" s="117"/>
      <c r="L10" s="4" t="str">
        <f t="shared" si="23"/>
        <v/>
      </c>
      <c r="M10" s="4" t="str">
        <f t="shared" si="24"/>
        <v/>
      </c>
      <c r="N10" s="4" t="str">
        <f t="shared" si="25"/>
        <v/>
      </c>
      <c r="O10" s="4" t="str">
        <f t="shared" si="26"/>
        <v/>
      </c>
      <c r="P10" s="247"/>
      <c r="Q10" s="117"/>
      <c r="R10" s="4" t="str">
        <f t="shared" si="8"/>
        <v/>
      </c>
      <c r="S10" s="4" t="str">
        <f t="shared" si="9"/>
        <v/>
      </c>
      <c r="T10" s="4" t="str">
        <f t="shared" si="10"/>
        <v/>
      </c>
      <c r="U10" s="4" t="str">
        <f t="shared" si="11"/>
        <v/>
      </c>
      <c r="V10" s="247"/>
      <c r="W10" s="67" t="str">
        <f t="shared" si="27"/>
        <v/>
      </c>
      <c r="X10" s="118"/>
      <c r="Z10" s="67" t="str">
        <f t="shared" si="28"/>
        <v/>
      </c>
      <c r="AA10" s="13">
        <f t="shared" si="29"/>
        <v>2</v>
      </c>
      <c r="AB10" s="17">
        <f t="shared" si="30"/>
        <v>12</v>
      </c>
      <c r="AC10" s="163" t="s">
        <v>522</v>
      </c>
      <c r="AD10" s="119">
        <v>46118</v>
      </c>
      <c r="AE10" s="120">
        <v>0.77777777777777779</v>
      </c>
      <c r="AF10" s="121">
        <v>46119</v>
      </c>
      <c r="AG10" s="122">
        <v>0.73611111111111116</v>
      </c>
      <c r="AH10" s="83">
        <f t="shared" si="17"/>
        <v>0.95833333332848269</v>
      </c>
      <c r="AI10" s="115">
        <v>46119</v>
      </c>
      <c r="AJ10" s="116">
        <v>0.24305555555555555</v>
      </c>
      <c r="AK10" s="83">
        <f t="shared" si="18"/>
        <v>-0.49305555555474712</v>
      </c>
      <c r="AL10" s="85"/>
      <c r="AM10" s="254"/>
      <c r="AN10" s="254"/>
      <c r="AO10" s="255"/>
    </row>
    <row r="11" spans="1:41" x14ac:dyDescent="0.25">
      <c r="B11" s="321">
        <v>3</v>
      </c>
      <c r="C11" s="17">
        <v>12</v>
      </c>
      <c r="D11" s="273"/>
      <c r="E11" s="117" t="s">
        <v>523</v>
      </c>
      <c r="F11" s="4" t="str">
        <f t="shared" si="19"/>
        <v/>
      </c>
      <c r="G11" s="4" t="str">
        <f t="shared" si="20"/>
        <v/>
      </c>
      <c r="H11" s="4" t="str">
        <f t="shared" si="21"/>
        <v/>
      </c>
      <c r="I11" s="4" t="str">
        <f t="shared" si="22"/>
        <v/>
      </c>
      <c r="J11" s="247"/>
      <c r="K11" s="117"/>
      <c r="L11" s="4" t="str">
        <f t="shared" si="23"/>
        <v/>
      </c>
      <c r="M11" s="4" t="str">
        <f t="shared" si="24"/>
        <v/>
      </c>
      <c r="N11" s="4" t="str">
        <f t="shared" si="25"/>
        <v/>
      </c>
      <c r="O11" s="4" t="str">
        <f t="shared" si="26"/>
        <v/>
      </c>
      <c r="P11" s="247"/>
      <c r="Q11" s="117"/>
      <c r="R11" s="4" t="str">
        <f t="shared" si="8"/>
        <v/>
      </c>
      <c r="S11" s="4" t="str">
        <f t="shared" si="9"/>
        <v/>
      </c>
      <c r="T11" s="4" t="str">
        <f t="shared" si="10"/>
        <v/>
      </c>
      <c r="U11" s="4" t="str">
        <f t="shared" si="11"/>
        <v/>
      </c>
      <c r="V11" s="247"/>
      <c r="W11" s="67" t="str">
        <f t="shared" si="27"/>
        <v/>
      </c>
      <c r="X11" s="118"/>
      <c r="Z11" s="67" t="str">
        <f t="shared" si="28"/>
        <v/>
      </c>
      <c r="AA11" s="13">
        <f t="shared" si="29"/>
        <v>3</v>
      </c>
      <c r="AB11" s="17">
        <f t="shared" si="30"/>
        <v>12</v>
      </c>
      <c r="AC11" s="163" t="str">
        <f t="shared" si="31"/>
        <v/>
      </c>
      <c r="AD11" s="119">
        <v>46119</v>
      </c>
      <c r="AE11" s="120">
        <v>0.75694444444444442</v>
      </c>
      <c r="AF11" s="121">
        <v>46119</v>
      </c>
      <c r="AG11" s="122">
        <v>0.91319444444444442</v>
      </c>
      <c r="AH11" s="83">
        <f t="shared" si="17"/>
        <v>0.15625</v>
      </c>
      <c r="AI11" s="115">
        <v>46120</v>
      </c>
      <c r="AJ11" s="116">
        <v>0.2013888888888889</v>
      </c>
      <c r="AK11" s="83">
        <f t="shared" si="18"/>
        <v>0.28819444444525288</v>
      </c>
      <c r="AL11" s="85"/>
      <c r="AM11" s="254"/>
      <c r="AN11" s="254"/>
      <c r="AO11" s="255"/>
    </row>
    <row r="12" spans="1:41" x14ac:dyDescent="0.25">
      <c r="B12" s="321">
        <v>4</v>
      </c>
      <c r="C12" s="17">
        <v>12</v>
      </c>
      <c r="D12" s="273"/>
      <c r="E12" s="117">
        <v>340401</v>
      </c>
      <c r="F12" s="4" t="str">
        <f t="shared" si="19"/>
        <v>BHARAT</v>
      </c>
      <c r="G12" s="4">
        <f t="shared" si="20"/>
        <v>17.3</v>
      </c>
      <c r="H12" s="4" t="str">
        <f t="shared" si="21"/>
        <v>SAE</v>
      </c>
      <c r="I12" s="4">
        <f t="shared" si="22"/>
        <v>2221</v>
      </c>
      <c r="J12" s="247">
        <v>80</v>
      </c>
      <c r="K12" s="117"/>
      <c r="L12" s="4" t="str">
        <f t="shared" si="23"/>
        <v/>
      </c>
      <c r="M12" s="4" t="str">
        <f t="shared" si="24"/>
        <v/>
      </c>
      <c r="N12" s="4" t="str">
        <f t="shared" si="25"/>
        <v/>
      </c>
      <c r="O12" s="4" t="str">
        <f t="shared" si="26"/>
        <v/>
      </c>
      <c r="P12" s="247"/>
      <c r="Q12" s="117"/>
      <c r="R12" s="4" t="str">
        <f t="shared" si="8"/>
        <v/>
      </c>
      <c r="S12" s="4" t="str">
        <f t="shared" si="9"/>
        <v/>
      </c>
      <c r="T12" s="4" t="str">
        <f t="shared" si="10"/>
        <v/>
      </c>
      <c r="U12" s="4" t="str">
        <f t="shared" si="11"/>
        <v/>
      </c>
      <c r="V12" s="247"/>
      <c r="W12" s="67">
        <f t="shared" si="27"/>
        <v>2221</v>
      </c>
      <c r="X12" s="118"/>
      <c r="Z12" s="67">
        <f t="shared" si="28"/>
        <v>2221</v>
      </c>
      <c r="AA12" s="13">
        <f t="shared" si="29"/>
        <v>4</v>
      </c>
      <c r="AB12" s="17">
        <f t="shared" si="30"/>
        <v>12</v>
      </c>
      <c r="AC12" s="163" t="str">
        <f t="shared" si="31"/>
        <v>BHARAT</v>
      </c>
      <c r="AD12" s="119">
        <v>46132</v>
      </c>
      <c r="AE12" s="120">
        <v>0.60416666666666663</v>
      </c>
      <c r="AF12" s="121">
        <v>46133</v>
      </c>
      <c r="AG12" s="122">
        <v>0.10416666666666667</v>
      </c>
      <c r="AH12" s="83">
        <f t="shared" si="17"/>
        <v>0.5</v>
      </c>
      <c r="AI12" s="115">
        <v>46133</v>
      </c>
      <c r="AJ12" s="116">
        <v>0.625</v>
      </c>
      <c r="AK12" s="83">
        <f t="shared" si="18"/>
        <v>0.52083333333575865</v>
      </c>
      <c r="AL12" s="85"/>
      <c r="AM12" s="254"/>
      <c r="AN12" s="254"/>
      <c r="AO12" s="255"/>
    </row>
    <row r="13" spans="1:41" x14ac:dyDescent="0.25">
      <c r="B13" s="321">
        <v>5</v>
      </c>
      <c r="C13" s="17">
        <v>12</v>
      </c>
      <c r="D13" s="273"/>
      <c r="E13" s="117" t="s">
        <v>758</v>
      </c>
      <c r="F13" s="4" t="str">
        <f t="shared" si="19"/>
        <v>BC</v>
      </c>
      <c r="G13" s="4">
        <f t="shared" si="20"/>
        <v>28</v>
      </c>
      <c r="H13" s="4" t="str">
        <f t="shared" si="21"/>
        <v>SAE</v>
      </c>
      <c r="I13" s="4">
        <f t="shared" si="22"/>
        <v>2395</v>
      </c>
      <c r="J13" s="247">
        <v>74</v>
      </c>
      <c r="K13" s="117" t="s">
        <v>757</v>
      </c>
      <c r="L13" s="4" t="str">
        <f t="shared" si="23"/>
        <v>BC</v>
      </c>
      <c r="M13" s="4">
        <f t="shared" si="24"/>
        <v>28</v>
      </c>
      <c r="N13" s="4" t="str">
        <f t="shared" si="25"/>
        <v>SAE</v>
      </c>
      <c r="O13" s="4">
        <f t="shared" si="26"/>
        <v>555</v>
      </c>
      <c r="P13" s="247">
        <v>74</v>
      </c>
      <c r="Q13" s="117"/>
      <c r="R13" s="4" t="str">
        <f t="shared" si="8"/>
        <v/>
      </c>
      <c r="S13" s="4" t="str">
        <f t="shared" si="9"/>
        <v/>
      </c>
      <c r="T13" s="4" t="str">
        <f t="shared" si="10"/>
        <v/>
      </c>
      <c r="U13" s="4" t="str">
        <f t="shared" si="11"/>
        <v/>
      </c>
      <c r="V13" s="247"/>
      <c r="W13" s="67">
        <f t="shared" si="27"/>
        <v>2950</v>
      </c>
      <c r="X13" s="118"/>
      <c r="Z13" s="67">
        <f t="shared" si="28"/>
        <v>2950</v>
      </c>
      <c r="AA13" s="13">
        <f t="shared" si="29"/>
        <v>5</v>
      </c>
      <c r="AB13" s="17">
        <f t="shared" si="30"/>
        <v>12</v>
      </c>
      <c r="AC13" s="163" t="str">
        <f t="shared" si="31"/>
        <v>BC</v>
      </c>
      <c r="AD13" s="119">
        <v>46135</v>
      </c>
      <c r="AE13" s="120">
        <v>0.41666666666666669</v>
      </c>
      <c r="AF13" s="121">
        <v>46136</v>
      </c>
      <c r="AG13" s="122">
        <v>0.1875</v>
      </c>
      <c r="AH13" s="83">
        <f t="shared" si="17"/>
        <v>0.77083333333575865</v>
      </c>
      <c r="AI13" s="115">
        <v>46136</v>
      </c>
      <c r="AJ13" s="116">
        <v>0.98958333333333337</v>
      </c>
      <c r="AK13" s="83">
        <f t="shared" si="18"/>
        <v>0.80208333333575865</v>
      </c>
      <c r="AL13" s="85"/>
      <c r="AM13" s="254"/>
      <c r="AN13" s="254"/>
      <c r="AO13" s="255"/>
    </row>
    <row r="14" spans="1:41" x14ac:dyDescent="0.25">
      <c r="B14" s="321">
        <v>6</v>
      </c>
      <c r="C14" s="17">
        <v>12</v>
      </c>
      <c r="D14" s="273"/>
      <c r="E14" s="117">
        <v>270401</v>
      </c>
      <c r="F14" s="4" t="str">
        <f t="shared" si="19"/>
        <v>SIDHI</v>
      </c>
      <c r="G14" s="4">
        <f t="shared" si="20"/>
        <v>10</v>
      </c>
      <c r="H14" s="4" t="str">
        <f t="shared" si="21"/>
        <v>SAE</v>
      </c>
      <c r="I14" s="4">
        <f t="shared" si="22"/>
        <v>2015</v>
      </c>
      <c r="J14" s="247">
        <v>85</v>
      </c>
      <c r="K14" s="117"/>
      <c r="L14" s="4" t="str">
        <f t="shared" si="23"/>
        <v/>
      </c>
      <c r="M14" s="4" t="str">
        <f t="shared" si="24"/>
        <v/>
      </c>
      <c r="N14" s="4" t="str">
        <f t="shared" si="25"/>
        <v/>
      </c>
      <c r="O14" s="4" t="str">
        <f t="shared" si="26"/>
        <v/>
      </c>
      <c r="P14" s="247"/>
      <c r="Q14" s="117"/>
      <c r="R14" s="4" t="str">
        <f t="shared" si="8"/>
        <v/>
      </c>
      <c r="S14" s="4" t="str">
        <f t="shared" si="9"/>
        <v/>
      </c>
      <c r="T14" s="4" t="str">
        <f t="shared" si="10"/>
        <v/>
      </c>
      <c r="U14" s="4" t="str">
        <f t="shared" si="11"/>
        <v/>
      </c>
      <c r="V14" s="247"/>
      <c r="W14" s="67">
        <f t="shared" si="27"/>
        <v>2015</v>
      </c>
      <c r="X14" s="118"/>
      <c r="Z14" s="67">
        <f t="shared" si="28"/>
        <v>2015</v>
      </c>
      <c r="AA14" s="13">
        <f t="shared" si="29"/>
        <v>6</v>
      </c>
      <c r="AB14" s="17">
        <f t="shared" si="30"/>
        <v>12</v>
      </c>
      <c r="AC14" s="163" t="str">
        <f t="shared" si="31"/>
        <v>SIDHI</v>
      </c>
      <c r="AD14" s="119">
        <v>46143</v>
      </c>
      <c r="AE14" s="120">
        <v>0.39583333333333331</v>
      </c>
      <c r="AF14" s="121">
        <v>46143</v>
      </c>
      <c r="AG14" s="122">
        <v>0.90277777777777779</v>
      </c>
      <c r="AH14" s="83">
        <f t="shared" si="17"/>
        <v>0.50694444444525288</v>
      </c>
      <c r="AI14" s="115">
        <v>46144</v>
      </c>
      <c r="AJ14" s="116">
        <v>0.57638888888888884</v>
      </c>
      <c r="AK14" s="83">
        <f t="shared" si="18"/>
        <v>0.67361111110949423</v>
      </c>
      <c r="AL14" s="85"/>
      <c r="AM14" s="254"/>
      <c r="AN14" s="254"/>
      <c r="AO14" s="255"/>
    </row>
    <row r="15" spans="1:41" x14ac:dyDescent="0.25">
      <c r="B15" s="321">
        <v>7</v>
      </c>
      <c r="C15" s="17">
        <v>12</v>
      </c>
      <c r="D15" s="273"/>
      <c r="E15" s="117">
        <v>940502</v>
      </c>
      <c r="F15" s="4" t="str">
        <f t="shared" si="19"/>
        <v>SCR</v>
      </c>
      <c r="G15" s="4">
        <f t="shared" si="20"/>
        <v>8</v>
      </c>
      <c r="H15" s="4">
        <f t="shared" si="21"/>
        <v>4140</v>
      </c>
      <c r="I15" s="4">
        <f t="shared" si="22"/>
        <v>1964</v>
      </c>
      <c r="J15" s="247">
        <v>73</v>
      </c>
      <c r="K15" s="117"/>
      <c r="L15" s="4" t="str">
        <f t="shared" si="23"/>
        <v/>
      </c>
      <c r="M15" s="4" t="str">
        <f t="shared" si="24"/>
        <v/>
      </c>
      <c r="N15" s="4" t="str">
        <f t="shared" si="25"/>
        <v/>
      </c>
      <c r="O15" s="4" t="str">
        <f t="shared" si="26"/>
        <v/>
      </c>
      <c r="P15" s="247"/>
      <c r="Q15" s="117"/>
      <c r="R15" s="4" t="str">
        <f t="shared" si="8"/>
        <v/>
      </c>
      <c r="S15" s="4" t="str">
        <f t="shared" si="9"/>
        <v/>
      </c>
      <c r="T15" s="4" t="str">
        <f t="shared" si="10"/>
        <v/>
      </c>
      <c r="U15" s="4" t="str">
        <f t="shared" si="11"/>
        <v/>
      </c>
      <c r="V15" s="247"/>
      <c r="W15" s="67">
        <f t="shared" si="27"/>
        <v>1964</v>
      </c>
      <c r="X15" s="118"/>
      <c r="Z15" s="67">
        <f t="shared" si="28"/>
        <v>1964</v>
      </c>
      <c r="AA15" s="13">
        <f t="shared" si="29"/>
        <v>7</v>
      </c>
      <c r="AB15" s="17">
        <f t="shared" si="30"/>
        <v>12</v>
      </c>
      <c r="AC15" s="163" t="str">
        <f t="shared" si="31"/>
        <v>SCR</v>
      </c>
      <c r="AD15" s="119">
        <v>46144</v>
      </c>
      <c r="AE15" s="120">
        <v>0.61458333333333337</v>
      </c>
      <c r="AF15" s="121">
        <v>46145</v>
      </c>
      <c r="AG15" s="122">
        <v>0.1076388888888889</v>
      </c>
      <c r="AH15" s="83">
        <f t="shared" si="17"/>
        <v>0.49305555555474712</v>
      </c>
      <c r="AI15" s="115">
        <v>46145</v>
      </c>
      <c r="AJ15" s="116">
        <v>0.78472222222222221</v>
      </c>
      <c r="AK15" s="83">
        <f t="shared" si="18"/>
        <v>0.67708333332848269</v>
      </c>
      <c r="AL15" s="85"/>
      <c r="AM15" s="254"/>
      <c r="AN15" s="254"/>
      <c r="AO15" s="255"/>
    </row>
    <row r="16" spans="1:41" x14ac:dyDescent="0.25">
      <c r="B16" s="321">
        <v>8</v>
      </c>
      <c r="C16" s="17">
        <v>12</v>
      </c>
      <c r="D16" s="273"/>
      <c r="E16" s="117">
        <v>940501</v>
      </c>
      <c r="F16" s="4" t="str">
        <f t="shared" si="19"/>
        <v>SCR</v>
      </c>
      <c r="G16" s="4">
        <f t="shared" si="20"/>
        <v>9</v>
      </c>
      <c r="H16" s="4">
        <f t="shared" si="21"/>
        <v>4140</v>
      </c>
      <c r="I16" s="4">
        <f t="shared" si="22"/>
        <v>1961</v>
      </c>
      <c r="J16" s="247">
        <v>79</v>
      </c>
      <c r="K16" s="117"/>
      <c r="L16" s="4" t="str">
        <f t="shared" si="23"/>
        <v/>
      </c>
      <c r="M16" s="4" t="str">
        <f t="shared" si="24"/>
        <v/>
      </c>
      <c r="N16" s="4" t="str">
        <f t="shared" si="25"/>
        <v/>
      </c>
      <c r="O16" s="4" t="str">
        <f t="shared" si="26"/>
        <v/>
      </c>
      <c r="P16" s="247"/>
      <c r="Q16" s="117"/>
      <c r="R16" s="4" t="str">
        <f t="shared" si="8"/>
        <v/>
      </c>
      <c r="S16" s="4" t="str">
        <f t="shared" si="9"/>
        <v/>
      </c>
      <c r="T16" s="4" t="str">
        <f t="shared" si="10"/>
        <v/>
      </c>
      <c r="U16" s="4" t="str">
        <f t="shared" si="11"/>
        <v/>
      </c>
      <c r="V16" s="247"/>
      <c r="W16" s="67">
        <f t="shared" si="27"/>
        <v>1961</v>
      </c>
      <c r="X16" s="118"/>
      <c r="Z16" s="67">
        <f t="shared" si="28"/>
        <v>1961</v>
      </c>
      <c r="AA16" s="13">
        <f t="shared" si="29"/>
        <v>8</v>
      </c>
      <c r="AB16" s="17">
        <f t="shared" si="30"/>
        <v>12</v>
      </c>
      <c r="AC16" s="163" t="str">
        <f t="shared" si="31"/>
        <v>SCR</v>
      </c>
      <c r="AD16" s="119">
        <v>46145</v>
      </c>
      <c r="AE16" s="120">
        <v>0.82638888888888884</v>
      </c>
      <c r="AF16" s="121">
        <v>46146</v>
      </c>
      <c r="AG16" s="122">
        <v>0.27083333333333331</v>
      </c>
      <c r="AH16" s="83">
        <f t="shared" si="17"/>
        <v>0.44444444444525288</v>
      </c>
      <c r="AI16" s="115">
        <v>46147</v>
      </c>
      <c r="AJ16" s="116">
        <v>0.30555555555555558</v>
      </c>
      <c r="AK16" s="83">
        <f t="shared" si="18"/>
        <v>1.0347222222189885</v>
      </c>
      <c r="AL16" s="85"/>
      <c r="AM16" s="254"/>
      <c r="AN16" s="254"/>
      <c r="AO16" s="255"/>
    </row>
    <row r="17" spans="2:41" x14ac:dyDescent="0.25">
      <c r="B17" s="321">
        <v>9</v>
      </c>
      <c r="C17" s="17">
        <v>12</v>
      </c>
      <c r="D17" s="273"/>
      <c r="E17" s="117">
        <v>340501</v>
      </c>
      <c r="F17" s="4" t="str">
        <f t="shared" si="19"/>
        <v>BHARAT</v>
      </c>
      <c r="G17" s="4">
        <f t="shared" si="20"/>
        <v>16.399999999999999</v>
      </c>
      <c r="H17" s="4" t="str">
        <f t="shared" si="21"/>
        <v>SAE</v>
      </c>
      <c r="I17" s="4">
        <f t="shared" si="22"/>
        <v>1640</v>
      </c>
      <c r="J17" s="247">
        <v>83</v>
      </c>
      <c r="K17" s="117"/>
      <c r="L17" s="4" t="str">
        <f t="shared" si="23"/>
        <v/>
      </c>
      <c r="M17" s="4" t="str">
        <f t="shared" si="24"/>
        <v/>
      </c>
      <c r="N17" s="4" t="str">
        <f t="shared" si="25"/>
        <v/>
      </c>
      <c r="O17" s="4" t="str">
        <f t="shared" si="26"/>
        <v/>
      </c>
      <c r="P17" s="247"/>
      <c r="Q17" s="117"/>
      <c r="R17" s="4" t="str">
        <f t="shared" si="8"/>
        <v/>
      </c>
      <c r="S17" s="4" t="str">
        <f t="shared" si="9"/>
        <v/>
      </c>
      <c r="T17" s="4" t="str">
        <f t="shared" si="10"/>
        <v/>
      </c>
      <c r="U17" s="4" t="str">
        <f t="shared" si="11"/>
        <v/>
      </c>
      <c r="V17" s="247"/>
      <c r="W17" s="67">
        <f t="shared" si="27"/>
        <v>1640</v>
      </c>
      <c r="X17" s="118"/>
      <c r="Z17" s="67">
        <f t="shared" si="28"/>
        <v>1640</v>
      </c>
      <c r="AA17" s="13">
        <f t="shared" si="29"/>
        <v>9</v>
      </c>
      <c r="AB17" s="17">
        <f t="shared" si="30"/>
        <v>12</v>
      </c>
      <c r="AC17" s="163" t="str">
        <f t="shared" si="31"/>
        <v>BHARAT</v>
      </c>
      <c r="AD17" s="119">
        <v>46147</v>
      </c>
      <c r="AE17" s="120">
        <v>0.33680555555555558</v>
      </c>
      <c r="AF17" s="121">
        <v>46147</v>
      </c>
      <c r="AG17" s="122">
        <v>0.8125</v>
      </c>
      <c r="AH17" s="83">
        <f t="shared" si="17"/>
        <v>0.47569444444525288</v>
      </c>
      <c r="AI17" s="115">
        <v>46148</v>
      </c>
      <c r="AJ17" s="116">
        <v>0.52083333333333337</v>
      </c>
      <c r="AK17" s="83">
        <f t="shared" si="18"/>
        <v>0.70833333333575865</v>
      </c>
      <c r="AL17" s="85"/>
      <c r="AM17" s="254"/>
      <c r="AN17" s="254"/>
      <c r="AO17" s="255"/>
    </row>
    <row r="18" spans="2:41" x14ac:dyDescent="0.25">
      <c r="B18" s="321">
        <v>10</v>
      </c>
      <c r="C18" s="17">
        <v>12</v>
      </c>
      <c r="D18" s="273"/>
      <c r="E18" s="117" t="s">
        <v>737</v>
      </c>
      <c r="F18" s="4" t="str">
        <f t="shared" si="19"/>
        <v/>
      </c>
      <c r="G18" s="4" t="str">
        <f t="shared" si="20"/>
        <v/>
      </c>
      <c r="H18" s="4" t="str">
        <f t="shared" si="21"/>
        <v/>
      </c>
      <c r="I18" s="4" t="str">
        <f t="shared" si="22"/>
        <v/>
      </c>
      <c r="J18" s="247"/>
      <c r="K18" s="117" t="s">
        <v>736</v>
      </c>
      <c r="L18" s="4" t="str">
        <f t="shared" si="23"/>
        <v/>
      </c>
      <c r="M18" s="4" t="str">
        <f t="shared" si="24"/>
        <v/>
      </c>
      <c r="N18" s="4" t="str">
        <f t="shared" si="25"/>
        <v/>
      </c>
      <c r="O18" s="4" t="str">
        <f t="shared" si="26"/>
        <v/>
      </c>
      <c r="P18" s="247"/>
      <c r="Q18" s="117"/>
      <c r="R18" s="4" t="str">
        <f t="shared" si="8"/>
        <v/>
      </c>
      <c r="S18" s="4" t="str">
        <f t="shared" si="9"/>
        <v/>
      </c>
      <c r="T18" s="4" t="str">
        <f t="shared" si="10"/>
        <v/>
      </c>
      <c r="U18" s="4" t="str">
        <f t="shared" si="11"/>
        <v/>
      </c>
      <c r="V18" s="247"/>
      <c r="W18" s="67" t="str">
        <f t="shared" si="27"/>
        <v/>
      </c>
      <c r="X18" s="118"/>
      <c r="Z18" s="67" t="str">
        <f t="shared" si="28"/>
        <v/>
      </c>
      <c r="AA18" s="13">
        <f t="shared" si="29"/>
        <v>10</v>
      </c>
      <c r="AB18" s="17">
        <f t="shared" si="30"/>
        <v>12</v>
      </c>
      <c r="AC18" s="163" t="str">
        <f t="shared" si="31"/>
        <v/>
      </c>
      <c r="AD18" s="119">
        <v>46148</v>
      </c>
      <c r="AE18" s="120">
        <v>0.54166666666666663</v>
      </c>
      <c r="AF18" s="121">
        <v>46148</v>
      </c>
      <c r="AG18" s="122">
        <v>0.69097222222222221</v>
      </c>
      <c r="AH18" s="83">
        <f t="shared" si="17"/>
        <v>0.14930555555474712</v>
      </c>
      <c r="AI18" s="115">
        <v>46149</v>
      </c>
      <c r="AJ18" s="116">
        <v>0.3125</v>
      </c>
      <c r="AK18" s="83">
        <f t="shared" si="18"/>
        <v>0.62152777778101154</v>
      </c>
      <c r="AL18" s="85"/>
      <c r="AM18" s="254"/>
      <c r="AN18" s="254"/>
      <c r="AO18" s="255"/>
    </row>
    <row r="19" spans="2:41" x14ac:dyDescent="0.25">
      <c r="B19" s="321">
        <v>11</v>
      </c>
      <c r="C19" s="17">
        <v>12</v>
      </c>
      <c r="D19" s="273"/>
      <c r="E19" s="117" t="s">
        <v>740</v>
      </c>
      <c r="F19" s="4" t="str">
        <f t="shared" si="19"/>
        <v/>
      </c>
      <c r="G19" s="4" t="str">
        <f t="shared" si="20"/>
        <v/>
      </c>
      <c r="H19" s="4" t="str">
        <f t="shared" si="21"/>
        <v/>
      </c>
      <c r="I19" s="4" t="str">
        <f t="shared" si="22"/>
        <v/>
      </c>
      <c r="J19" s="247"/>
      <c r="K19" s="117"/>
      <c r="L19" s="4" t="str">
        <f t="shared" si="23"/>
        <v/>
      </c>
      <c r="M19" s="4" t="str">
        <f t="shared" si="24"/>
        <v/>
      </c>
      <c r="N19" s="4" t="str">
        <f t="shared" si="25"/>
        <v/>
      </c>
      <c r="O19" s="4" t="str">
        <f t="shared" si="26"/>
        <v/>
      </c>
      <c r="P19" s="247"/>
      <c r="Q19" s="117"/>
      <c r="R19" s="4" t="str">
        <f t="shared" si="8"/>
        <v/>
      </c>
      <c r="S19" s="4" t="str">
        <f t="shared" si="9"/>
        <v/>
      </c>
      <c r="T19" s="4" t="str">
        <f t="shared" si="10"/>
        <v/>
      </c>
      <c r="U19" s="4" t="str">
        <f t="shared" si="11"/>
        <v/>
      </c>
      <c r="V19" s="247"/>
      <c r="W19" s="67" t="str">
        <f t="shared" si="27"/>
        <v/>
      </c>
      <c r="X19" s="118"/>
      <c r="Z19" s="67" t="str">
        <f t="shared" si="28"/>
        <v/>
      </c>
      <c r="AA19" s="13">
        <f t="shared" si="29"/>
        <v>11</v>
      </c>
      <c r="AB19" s="17">
        <f t="shared" si="30"/>
        <v>12</v>
      </c>
      <c r="AC19" s="163" t="str">
        <f t="shared" si="31"/>
        <v/>
      </c>
      <c r="AD19" s="119">
        <v>46154</v>
      </c>
      <c r="AE19" s="120">
        <v>0.49305555555555558</v>
      </c>
      <c r="AF19" s="121">
        <v>46154</v>
      </c>
      <c r="AG19" s="122">
        <v>0.67013888888888884</v>
      </c>
      <c r="AH19" s="83">
        <f t="shared" si="17"/>
        <v>0.17708333333575865</v>
      </c>
      <c r="AI19" s="115">
        <v>46155</v>
      </c>
      <c r="AJ19" s="116">
        <v>8.3333333333333329E-2</v>
      </c>
      <c r="AK19" s="83">
        <f t="shared" si="18"/>
        <v>0.41319444444525288</v>
      </c>
      <c r="AL19" s="85"/>
      <c r="AM19" s="254"/>
      <c r="AN19" s="254"/>
      <c r="AO19" s="255"/>
    </row>
    <row r="20" spans="2:41" x14ac:dyDescent="0.25">
      <c r="B20" s="321">
        <v>12</v>
      </c>
      <c r="C20" s="17">
        <v>12</v>
      </c>
      <c r="D20" s="273"/>
      <c r="E20" s="117" t="s">
        <v>766</v>
      </c>
      <c r="F20" s="4" t="str">
        <f t="shared" si="19"/>
        <v/>
      </c>
      <c r="G20" s="4" t="str">
        <f t="shared" si="20"/>
        <v/>
      </c>
      <c r="H20" s="4" t="str">
        <f t="shared" si="21"/>
        <v/>
      </c>
      <c r="I20" s="4" t="str">
        <f t="shared" si="22"/>
        <v/>
      </c>
      <c r="J20" s="247"/>
      <c r="K20" s="117"/>
      <c r="L20" s="4" t="str">
        <f t="shared" si="23"/>
        <v/>
      </c>
      <c r="M20" s="4" t="str">
        <f t="shared" si="24"/>
        <v/>
      </c>
      <c r="N20" s="4" t="str">
        <f t="shared" si="25"/>
        <v/>
      </c>
      <c r="O20" s="4" t="str">
        <f t="shared" si="26"/>
        <v/>
      </c>
      <c r="P20" s="247"/>
      <c r="Q20" s="117"/>
      <c r="R20" s="4" t="str">
        <f t="shared" si="8"/>
        <v/>
      </c>
      <c r="S20" s="4" t="str">
        <f t="shared" si="9"/>
        <v/>
      </c>
      <c r="T20" s="4" t="str">
        <f t="shared" si="10"/>
        <v/>
      </c>
      <c r="U20" s="4" t="str">
        <f t="shared" si="11"/>
        <v/>
      </c>
      <c r="V20" s="247"/>
      <c r="W20" s="67" t="str">
        <f t="shared" si="27"/>
        <v/>
      </c>
      <c r="X20" s="118"/>
      <c r="Z20" s="67" t="str">
        <f t="shared" si="28"/>
        <v/>
      </c>
      <c r="AA20" s="13">
        <f t="shared" si="29"/>
        <v>12</v>
      </c>
      <c r="AB20" s="17">
        <f t="shared" si="30"/>
        <v>12</v>
      </c>
      <c r="AC20" s="163" t="str">
        <f t="shared" si="31"/>
        <v/>
      </c>
      <c r="AD20" s="119">
        <v>46173</v>
      </c>
      <c r="AE20" s="120">
        <v>0.83333333333333337</v>
      </c>
      <c r="AF20" s="121">
        <v>46174</v>
      </c>
      <c r="AG20" s="122">
        <v>4.1666666666666664E-2</v>
      </c>
      <c r="AH20" s="83">
        <f t="shared" si="17"/>
        <v>0.20833333332848269</v>
      </c>
      <c r="AI20" s="115">
        <v>46174</v>
      </c>
      <c r="AJ20" s="116">
        <v>0.39583333333333331</v>
      </c>
      <c r="AK20" s="83">
        <f t="shared" si="18"/>
        <v>0.35416666667151731</v>
      </c>
      <c r="AL20" s="85"/>
      <c r="AM20" s="254"/>
      <c r="AN20" s="254"/>
      <c r="AO20" s="255"/>
    </row>
    <row r="21" spans="2:41" x14ac:dyDescent="0.25">
      <c r="B21" s="321">
        <v>13</v>
      </c>
      <c r="C21" s="17">
        <v>12</v>
      </c>
      <c r="D21" s="273"/>
      <c r="E21" s="117">
        <v>340602</v>
      </c>
      <c r="F21" s="4" t="str">
        <f t="shared" si="19"/>
        <v>BHARAT</v>
      </c>
      <c r="G21" s="4">
        <f t="shared" si="20"/>
        <v>16.399999999999999</v>
      </c>
      <c r="H21" s="4" t="str">
        <f t="shared" si="21"/>
        <v>SAE</v>
      </c>
      <c r="I21" s="4">
        <f t="shared" si="22"/>
        <v>1235</v>
      </c>
      <c r="J21" s="247">
        <v>79</v>
      </c>
      <c r="K21" s="117"/>
      <c r="L21" s="4" t="str">
        <f t="shared" si="23"/>
        <v/>
      </c>
      <c r="M21" s="4" t="str">
        <f t="shared" si="24"/>
        <v/>
      </c>
      <c r="N21" s="4" t="str">
        <f t="shared" si="25"/>
        <v/>
      </c>
      <c r="O21" s="4" t="str">
        <f t="shared" si="26"/>
        <v/>
      </c>
      <c r="P21" s="247"/>
      <c r="Q21" s="117"/>
      <c r="R21" s="4" t="str">
        <f t="shared" si="8"/>
        <v/>
      </c>
      <c r="S21" s="4" t="str">
        <f t="shared" si="9"/>
        <v/>
      </c>
      <c r="T21" s="4" t="str">
        <f t="shared" si="10"/>
        <v/>
      </c>
      <c r="U21" s="4" t="str">
        <f t="shared" si="11"/>
        <v/>
      </c>
      <c r="V21" s="247"/>
      <c r="W21" s="67">
        <f t="shared" si="27"/>
        <v>1235</v>
      </c>
      <c r="X21" s="118"/>
      <c r="Z21" s="67">
        <f t="shared" si="28"/>
        <v>1235</v>
      </c>
      <c r="AA21" s="13">
        <f t="shared" si="29"/>
        <v>13</v>
      </c>
      <c r="AB21" s="17">
        <f t="shared" si="30"/>
        <v>12</v>
      </c>
      <c r="AC21" s="163" t="str">
        <f t="shared" si="31"/>
        <v>BHARAT</v>
      </c>
      <c r="AD21" s="119">
        <v>46178</v>
      </c>
      <c r="AE21" s="120">
        <v>0.40277777777777779</v>
      </c>
      <c r="AF21" s="121">
        <v>46178</v>
      </c>
      <c r="AG21" s="122">
        <v>0.80555555555555558</v>
      </c>
      <c r="AH21" s="83">
        <f t="shared" si="17"/>
        <v>0.40277777777373558</v>
      </c>
      <c r="AI21" s="115">
        <v>46179</v>
      </c>
      <c r="AJ21" s="116">
        <v>0.16666666666666666</v>
      </c>
      <c r="AK21" s="83">
        <f t="shared" si="18"/>
        <v>0.36111111110949423</v>
      </c>
      <c r="AL21" s="85"/>
      <c r="AM21" s="254"/>
      <c r="AN21" s="254"/>
      <c r="AO21" s="255"/>
    </row>
    <row r="22" spans="2:41" x14ac:dyDescent="0.25">
      <c r="B22" s="321">
        <v>14</v>
      </c>
      <c r="C22" s="17">
        <v>12</v>
      </c>
      <c r="D22" s="273"/>
      <c r="E22" s="117" t="s">
        <v>768</v>
      </c>
      <c r="F22" s="4" t="str">
        <f t="shared" si="19"/>
        <v/>
      </c>
      <c r="G22" s="4" t="str">
        <f t="shared" si="20"/>
        <v/>
      </c>
      <c r="H22" s="4" t="str">
        <f t="shared" si="21"/>
        <v/>
      </c>
      <c r="I22" s="4" t="str">
        <f t="shared" si="22"/>
        <v/>
      </c>
      <c r="J22" s="247"/>
      <c r="K22" s="117"/>
      <c r="L22" s="4" t="str">
        <f t="shared" si="23"/>
        <v/>
      </c>
      <c r="M22" s="4" t="str">
        <f t="shared" si="24"/>
        <v/>
      </c>
      <c r="N22" s="4" t="str">
        <f t="shared" si="25"/>
        <v/>
      </c>
      <c r="O22" s="4" t="str">
        <f t="shared" si="26"/>
        <v/>
      </c>
      <c r="P22" s="247"/>
      <c r="Q22" s="117"/>
      <c r="R22" s="4" t="str">
        <f t="shared" si="8"/>
        <v/>
      </c>
      <c r="S22" s="4" t="str">
        <f t="shared" si="9"/>
        <v/>
      </c>
      <c r="T22" s="4" t="str">
        <f t="shared" si="10"/>
        <v/>
      </c>
      <c r="U22" s="4" t="str">
        <f t="shared" si="11"/>
        <v/>
      </c>
      <c r="V22" s="247"/>
      <c r="W22" s="67" t="str">
        <f t="shared" si="27"/>
        <v/>
      </c>
      <c r="X22" s="118"/>
      <c r="Z22" s="67" t="str">
        <f t="shared" si="28"/>
        <v/>
      </c>
      <c r="AA22" s="13">
        <f t="shared" si="29"/>
        <v>14</v>
      </c>
      <c r="AB22" s="17">
        <f t="shared" si="30"/>
        <v>12</v>
      </c>
      <c r="AC22" s="163" t="str">
        <f t="shared" si="31"/>
        <v/>
      </c>
      <c r="AD22" s="119">
        <v>46180</v>
      </c>
      <c r="AE22" s="120">
        <v>0.3923611111111111</v>
      </c>
      <c r="AF22" s="121">
        <v>46181</v>
      </c>
      <c r="AG22" s="122">
        <v>0.75</v>
      </c>
      <c r="AH22" s="83">
        <f t="shared" si="17"/>
        <v>1.3576388888905058</v>
      </c>
      <c r="AI22" s="115">
        <v>46181</v>
      </c>
      <c r="AJ22" s="116">
        <v>0.65972222222222221</v>
      </c>
      <c r="AK22" s="83">
        <f t="shared" si="18"/>
        <v>-9.0277777781011537E-2</v>
      </c>
      <c r="AL22" s="85"/>
      <c r="AM22" s="254"/>
      <c r="AN22" s="254"/>
      <c r="AO22" s="255"/>
    </row>
    <row r="23" spans="2:41" x14ac:dyDescent="0.25">
      <c r="B23" s="321">
        <v>15</v>
      </c>
      <c r="C23" s="17">
        <v>12</v>
      </c>
      <c r="D23" s="273"/>
      <c r="E23" s="117">
        <v>340601</v>
      </c>
      <c r="F23" s="4" t="str">
        <f t="shared" si="19"/>
        <v>BHARAT</v>
      </c>
      <c r="G23" s="4">
        <f t="shared" si="20"/>
        <v>16.399999999999999</v>
      </c>
      <c r="H23" s="4" t="str">
        <f t="shared" si="21"/>
        <v>SAE</v>
      </c>
      <c r="I23" s="4">
        <f t="shared" si="22"/>
        <v>1250</v>
      </c>
      <c r="J23" s="247">
        <v>82</v>
      </c>
      <c r="K23" s="117"/>
      <c r="L23" s="4" t="str">
        <f t="shared" si="23"/>
        <v/>
      </c>
      <c r="M23" s="4" t="str">
        <f t="shared" si="24"/>
        <v/>
      </c>
      <c r="N23" s="4" t="str">
        <f t="shared" si="25"/>
        <v/>
      </c>
      <c r="O23" s="4" t="str">
        <f t="shared" si="26"/>
        <v/>
      </c>
      <c r="P23" s="247"/>
      <c r="Q23" s="117"/>
      <c r="R23" s="4" t="str">
        <f t="shared" si="8"/>
        <v/>
      </c>
      <c r="S23" s="4" t="str">
        <f t="shared" si="9"/>
        <v/>
      </c>
      <c r="T23" s="4" t="str">
        <f t="shared" si="10"/>
        <v/>
      </c>
      <c r="U23" s="4" t="str">
        <f t="shared" si="11"/>
        <v/>
      </c>
      <c r="V23" s="247"/>
      <c r="W23" s="67">
        <f t="shared" si="27"/>
        <v>1250</v>
      </c>
      <c r="X23" s="118"/>
      <c r="Z23" s="67">
        <f t="shared" si="28"/>
        <v>1250</v>
      </c>
      <c r="AA23" s="13">
        <f t="shared" si="29"/>
        <v>15</v>
      </c>
      <c r="AB23" s="17">
        <f t="shared" si="30"/>
        <v>12</v>
      </c>
      <c r="AC23" s="163" t="str">
        <f t="shared" si="31"/>
        <v>BHARAT</v>
      </c>
      <c r="AD23" s="119">
        <v>46182</v>
      </c>
      <c r="AE23" s="120">
        <v>0.57638888888888884</v>
      </c>
      <c r="AF23" s="121">
        <v>46182</v>
      </c>
      <c r="AG23" s="122">
        <v>0.96527777777777779</v>
      </c>
      <c r="AH23" s="83">
        <f t="shared" si="17"/>
        <v>0.38888888889050577</v>
      </c>
      <c r="AI23" s="115">
        <v>46183</v>
      </c>
      <c r="AJ23" s="116">
        <v>0.35416666666666669</v>
      </c>
      <c r="AK23" s="83">
        <f t="shared" si="18"/>
        <v>0.38888888888322981</v>
      </c>
      <c r="AL23" s="85"/>
      <c r="AM23" s="254"/>
      <c r="AN23" s="254"/>
      <c r="AO23" s="255"/>
    </row>
    <row r="24" spans="2:41" x14ac:dyDescent="0.25">
      <c r="B24" s="321">
        <v>16</v>
      </c>
      <c r="C24" s="17">
        <v>12</v>
      </c>
      <c r="D24" s="273"/>
      <c r="E24" s="117">
        <v>650602</v>
      </c>
      <c r="F24" s="4" t="str">
        <f t="shared" si="19"/>
        <v>MLN</v>
      </c>
      <c r="G24" s="4">
        <f t="shared" si="20"/>
        <v>17.5</v>
      </c>
      <c r="H24" s="4" t="str">
        <f t="shared" si="21"/>
        <v>EN31</v>
      </c>
      <c r="I24" s="4">
        <f t="shared" si="22"/>
        <v>2060</v>
      </c>
      <c r="J24" s="247">
        <v>83</v>
      </c>
      <c r="K24" s="117"/>
      <c r="L24" s="4" t="str">
        <f t="shared" si="23"/>
        <v/>
      </c>
      <c r="M24" s="4" t="str">
        <f t="shared" si="24"/>
        <v/>
      </c>
      <c r="N24" s="4" t="str">
        <f t="shared" si="25"/>
        <v/>
      </c>
      <c r="O24" s="4" t="str">
        <f t="shared" si="26"/>
        <v/>
      </c>
      <c r="P24" s="247"/>
      <c r="Q24" s="117"/>
      <c r="R24" s="4" t="str">
        <f t="shared" si="8"/>
        <v/>
      </c>
      <c r="S24" s="4" t="str">
        <f t="shared" si="9"/>
        <v/>
      </c>
      <c r="T24" s="4" t="str">
        <f t="shared" si="10"/>
        <v/>
      </c>
      <c r="U24" s="4" t="str">
        <f t="shared" si="11"/>
        <v/>
      </c>
      <c r="V24" s="247"/>
      <c r="W24" s="67">
        <f t="shared" si="27"/>
        <v>2060</v>
      </c>
      <c r="X24" s="118"/>
      <c r="Z24" s="67">
        <f t="shared" si="28"/>
        <v>2060</v>
      </c>
      <c r="AA24" s="13">
        <f t="shared" si="29"/>
        <v>16</v>
      </c>
      <c r="AB24" s="17">
        <f t="shared" si="30"/>
        <v>12</v>
      </c>
      <c r="AC24" s="163" t="str">
        <f t="shared" si="31"/>
        <v>MLN</v>
      </c>
      <c r="AD24" s="119">
        <v>46183</v>
      </c>
      <c r="AE24" s="120">
        <v>0.4513888888888889</v>
      </c>
      <c r="AF24" s="121">
        <v>46183</v>
      </c>
      <c r="AG24" s="122">
        <v>0.97916666666666663</v>
      </c>
      <c r="AH24" s="83">
        <f t="shared" si="17"/>
        <v>0.52777777777373558</v>
      </c>
      <c r="AI24" s="115">
        <v>46184</v>
      </c>
      <c r="AJ24" s="116">
        <v>0.5625</v>
      </c>
      <c r="AK24" s="83">
        <f t="shared" si="18"/>
        <v>0.58333333333575865</v>
      </c>
      <c r="AL24" s="85"/>
      <c r="AM24" s="254"/>
      <c r="AN24" s="254"/>
      <c r="AO24" s="255"/>
    </row>
    <row r="25" spans="2:41" x14ac:dyDescent="0.25">
      <c r="B25" s="321">
        <v>17</v>
      </c>
      <c r="C25" s="17">
        <v>12</v>
      </c>
      <c r="D25" s="273"/>
      <c r="E25" s="117">
        <v>650601</v>
      </c>
      <c r="F25" s="4" t="str">
        <f t="shared" si="19"/>
        <v>MLN</v>
      </c>
      <c r="G25" s="4">
        <f t="shared" si="20"/>
        <v>17.5</v>
      </c>
      <c r="H25" s="4" t="str">
        <f t="shared" si="21"/>
        <v>EN31</v>
      </c>
      <c r="I25" s="4">
        <f t="shared" si="22"/>
        <v>1720</v>
      </c>
      <c r="J25" s="247">
        <v>82</v>
      </c>
      <c r="K25" s="117"/>
      <c r="L25" s="4" t="str">
        <f t="shared" si="23"/>
        <v/>
      </c>
      <c r="M25" s="4" t="str">
        <f t="shared" si="24"/>
        <v/>
      </c>
      <c r="N25" s="4" t="str">
        <f t="shared" si="25"/>
        <v/>
      </c>
      <c r="O25" s="4" t="str">
        <f t="shared" si="26"/>
        <v/>
      </c>
      <c r="P25" s="247"/>
      <c r="Q25" s="117"/>
      <c r="R25" s="4" t="str">
        <f t="shared" si="8"/>
        <v/>
      </c>
      <c r="S25" s="4" t="str">
        <f t="shared" si="9"/>
        <v/>
      </c>
      <c r="T25" s="4" t="str">
        <f t="shared" si="10"/>
        <v/>
      </c>
      <c r="U25" s="4" t="str">
        <f t="shared" si="11"/>
        <v/>
      </c>
      <c r="V25" s="247"/>
      <c r="W25" s="67">
        <f t="shared" si="27"/>
        <v>1720</v>
      </c>
      <c r="X25" s="118"/>
      <c r="Z25" s="67">
        <f t="shared" si="28"/>
        <v>1720</v>
      </c>
      <c r="AA25" s="13">
        <f t="shared" si="29"/>
        <v>17</v>
      </c>
      <c r="AB25" s="17">
        <f t="shared" si="30"/>
        <v>12</v>
      </c>
      <c r="AC25" s="163" t="str">
        <f t="shared" si="31"/>
        <v>MLN</v>
      </c>
      <c r="AD25" s="119">
        <v>38879</v>
      </c>
      <c r="AE25" s="120">
        <v>0.58333333333333337</v>
      </c>
      <c r="AF25" s="121">
        <v>46184</v>
      </c>
      <c r="AG25" s="122">
        <v>0.98958333333333337</v>
      </c>
      <c r="AH25" s="83">
        <f t="shared" si="17"/>
        <v>7305.40625</v>
      </c>
      <c r="AI25" s="115">
        <v>46185</v>
      </c>
      <c r="AJ25" s="116">
        <v>0.49652777777777779</v>
      </c>
      <c r="AK25" s="83">
        <f t="shared" si="18"/>
        <v>0.50694444444525288</v>
      </c>
      <c r="AL25" s="85"/>
      <c r="AM25" s="254"/>
      <c r="AN25" s="254"/>
      <c r="AO25" s="255"/>
    </row>
    <row r="26" spans="2:41" x14ac:dyDescent="0.25">
      <c r="B26" s="321">
        <v>18</v>
      </c>
      <c r="C26" s="17">
        <v>12</v>
      </c>
      <c r="D26" s="273"/>
      <c r="E26" s="117" t="s">
        <v>770</v>
      </c>
      <c r="F26" s="4" t="str">
        <f t="shared" si="19"/>
        <v/>
      </c>
      <c r="G26" s="4" t="str">
        <f t="shared" si="20"/>
        <v/>
      </c>
      <c r="H26" s="4" t="str">
        <f t="shared" si="21"/>
        <v/>
      </c>
      <c r="I26" s="4" t="str">
        <f t="shared" si="22"/>
        <v/>
      </c>
      <c r="J26" s="247"/>
      <c r="K26" s="117"/>
      <c r="L26" s="4" t="str">
        <f t="shared" si="23"/>
        <v/>
      </c>
      <c r="M26" s="4" t="str">
        <f t="shared" si="24"/>
        <v/>
      </c>
      <c r="N26" s="4" t="str">
        <f t="shared" si="25"/>
        <v/>
      </c>
      <c r="O26" s="4" t="str">
        <f t="shared" si="26"/>
        <v/>
      </c>
      <c r="P26" s="247"/>
      <c r="Q26" s="117"/>
      <c r="R26" s="4" t="str">
        <f t="shared" si="8"/>
        <v/>
      </c>
      <c r="S26" s="4" t="str">
        <f t="shared" si="9"/>
        <v/>
      </c>
      <c r="T26" s="4" t="str">
        <f t="shared" si="10"/>
        <v/>
      </c>
      <c r="U26" s="4" t="str">
        <f t="shared" si="11"/>
        <v/>
      </c>
      <c r="V26" s="247"/>
      <c r="W26" s="67" t="str">
        <f t="shared" si="27"/>
        <v/>
      </c>
      <c r="X26" s="118"/>
      <c r="Z26" s="67" t="str">
        <f t="shared" si="28"/>
        <v/>
      </c>
      <c r="AA26" s="13">
        <f t="shared" si="29"/>
        <v>18</v>
      </c>
      <c r="AB26" s="17">
        <f t="shared" si="30"/>
        <v>12</v>
      </c>
      <c r="AC26" s="163" t="str">
        <f t="shared" si="31"/>
        <v/>
      </c>
      <c r="AD26" s="119">
        <v>46185</v>
      </c>
      <c r="AE26" s="120">
        <v>0.55208333333333337</v>
      </c>
      <c r="AF26" s="121">
        <v>46186</v>
      </c>
      <c r="AG26" s="122">
        <v>2.0833333333333332E-2</v>
      </c>
      <c r="AH26" s="83">
        <f t="shared" si="17"/>
        <v>0.46875</v>
      </c>
      <c r="AI26" s="115">
        <v>46186</v>
      </c>
      <c r="AJ26" s="116">
        <v>0.97222222222222221</v>
      </c>
      <c r="AK26" s="83">
        <f t="shared" si="18"/>
        <v>0.95138888888322981</v>
      </c>
      <c r="AL26" s="85"/>
      <c r="AM26" s="254"/>
      <c r="AN26" s="254"/>
      <c r="AO26" s="255"/>
    </row>
    <row r="27" spans="2:41" x14ac:dyDescent="0.25">
      <c r="B27" s="321">
        <v>19</v>
      </c>
      <c r="C27" s="17">
        <v>12</v>
      </c>
      <c r="D27" s="554" t="s">
        <v>864</v>
      </c>
      <c r="E27" s="117">
        <v>650604</v>
      </c>
      <c r="F27" s="4" t="str">
        <f t="shared" si="19"/>
        <v>MLN</v>
      </c>
      <c r="G27" s="4">
        <f t="shared" si="20"/>
        <v>17.5</v>
      </c>
      <c r="H27" s="4" t="str">
        <f t="shared" si="21"/>
        <v>EN31</v>
      </c>
      <c r="I27" s="4">
        <f t="shared" si="22"/>
        <v>2030</v>
      </c>
      <c r="J27" s="247">
        <v>80</v>
      </c>
      <c r="K27" s="117"/>
      <c r="L27" s="4" t="str">
        <f t="shared" si="23"/>
        <v/>
      </c>
      <c r="M27" s="4" t="str">
        <f t="shared" si="24"/>
        <v/>
      </c>
      <c r="N27" s="4" t="str">
        <f t="shared" si="25"/>
        <v/>
      </c>
      <c r="O27" s="4" t="str">
        <f t="shared" si="26"/>
        <v/>
      </c>
      <c r="P27" s="247"/>
      <c r="Q27" s="117"/>
      <c r="R27" s="4" t="str">
        <f t="shared" si="8"/>
        <v/>
      </c>
      <c r="S27" s="4" t="str">
        <f t="shared" si="9"/>
        <v/>
      </c>
      <c r="T27" s="4" t="str">
        <f t="shared" si="10"/>
        <v/>
      </c>
      <c r="U27" s="4" t="str">
        <f t="shared" si="11"/>
        <v/>
      </c>
      <c r="V27" s="247"/>
      <c r="W27" s="67">
        <f t="shared" si="27"/>
        <v>2030</v>
      </c>
      <c r="X27" s="118"/>
      <c r="Y27" t="s">
        <v>864</v>
      </c>
      <c r="Z27" s="67">
        <f t="shared" si="28"/>
        <v>2030</v>
      </c>
      <c r="AA27" s="13">
        <f t="shared" si="29"/>
        <v>19</v>
      </c>
      <c r="AB27" s="17">
        <f t="shared" si="30"/>
        <v>12</v>
      </c>
      <c r="AC27" s="163" t="str">
        <f t="shared" si="31"/>
        <v>MLN</v>
      </c>
      <c r="AD27" s="119">
        <v>46188</v>
      </c>
      <c r="AE27" s="120">
        <v>0.32291666666666669</v>
      </c>
      <c r="AF27" s="121">
        <v>46188</v>
      </c>
      <c r="AG27" s="122">
        <v>0.97916666666666663</v>
      </c>
      <c r="AH27" s="83">
        <f t="shared" si="17"/>
        <v>0.65625</v>
      </c>
      <c r="AI27" s="115">
        <v>46189</v>
      </c>
      <c r="AJ27" s="116">
        <v>0.44444444444444442</v>
      </c>
      <c r="AK27" s="83">
        <f t="shared" si="18"/>
        <v>0.46527777778101154</v>
      </c>
      <c r="AL27" s="85"/>
      <c r="AM27" s="254"/>
      <c r="AN27" s="254"/>
      <c r="AO27" s="255"/>
    </row>
    <row r="28" spans="2:41" x14ac:dyDescent="0.25">
      <c r="B28" s="321">
        <v>20</v>
      </c>
      <c r="C28" s="17">
        <v>12</v>
      </c>
      <c r="D28" s="554" t="s">
        <v>864</v>
      </c>
      <c r="E28" s="117">
        <v>830601</v>
      </c>
      <c r="F28" s="4" t="str">
        <f t="shared" si="19"/>
        <v>RDS</v>
      </c>
      <c r="G28" s="4">
        <f t="shared" si="20"/>
        <v>17.5</v>
      </c>
      <c r="H28" s="4" t="str">
        <f t="shared" si="21"/>
        <v>EN31</v>
      </c>
      <c r="I28" s="4">
        <f t="shared" si="22"/>
        <v>2010</v>
      </c>
      <c r="J28" s="247">
        <v>85</v>
      </c>
      <c r="K28" s="117"/>
      <c r="L28" s="4" t="str">
        <f t="shared" si="23"/>
        <v/>
      </c>
      <c r="M28" s="4" t="str">
        <f t="shared" si="24"/>
        <v/>
      </c>
      <c r="N28" s="4" t="str">
        <f t="shared" si="25"/>
        <v/>
      </c>
      <c r="O28" s="4" t="str">
        <f t="shared" si="26"/>
        <v/>
      </c>
      <c r="P28" s="247"/>
      <c r="Q28" s="117"/>
      <c r="R28" s="4" t="str">
        <f t="shared" si="8"/>
        <v/>
      </c>
      <c r="S28" s="4" t="str">
        <f t="shared" si="9"/>
        <v/>
      </c>
      <c r="T28" s="4" t="str">
        <f t="shared" si="10"/>
        <v/>
      </c>
      <c r="U28" s="4" t="str">
        <f t="shared" si="11"/>
        <v/>
      </c>
      <c r="V28" s="247"/>
      <c r="W28" s="67">
        <f t="shared" si="27"/>
        <v>2010</v>
      </c>
      <c r="X28" s="118"/>
      <c r="Y28" t="s">
        <v>864</v>
      </c>
      <c r="Z28" s="67">
        <f t="shared" si="28"/>
        <v>2010</v>
      </c>
      <c r="AA28" s="13">
        <f t="shared" si="29"/>
        <v>20</v>
      </c>
      <c r="AB28" s="17">
        <f t="shared" si="30"/>
        <v>12</v>
      </c>
      <c r="AC28" s="163" t="str">
        <f t="shared" si="31"/>
        <v>RDS</v>
      </c>
      <c r="AD28" s="119">
        <v>46189</v>
      </c>
      <c r="AE28" s="120">
        <v>0.47916666666666669</v>
      </c>
      <c r="AF28" s="121">
        <v>46190</v>
      </c>
      <c r="AG28" s="122">
        <v>0.1736111111111111</v>
      </c>
      <c r="AH28" s="83">
        <f t="shared" si="17"/>
        <v>0.69444444444525288</v>
      </c>
      <c r="AI28" s="115">
        <v>46190</v>
      </c>
      <c r="AJ28" s="116">
        <v>0.99652777777777779</v>
      </c>
      <c r="AK28" s="83">
        <f t="shared" si="18"/>
        <v>0.82291666667151731</v>
      </c>
      <c r="AL28" s="85" t="s">
        <v>786</v>
      </c>
      <c r="AM28" s="254"/>
      <c r="AN28" s="254"/>
      <c r="AO28" s="255"/>
    </row>
    <row r="29" spans="2:41" x14ac:dyDescent="0.25">
      <c r="B29" s="321">
        <v>21</v>
      </c>
      <c r="C29" s="17">
        <v>12</v>
      </c>
      <c r="D29" s="554" t="s">
        <v>864</v>
      </c>
      <c r="E29" s="117">
        <v>830602</v>
      </c>
      <c r="F29" s="4" t="str">
        <f t="shared" si="19"/>
        <v>RDS</v>
      </c>
      <c r="G29" s="4">
        <f t="shared" si="20"/>
        <v>17.5</v>
      </c>
      <c r="H29" s="4" t="str">
        <f t="shared" si="21"/>
        <v>EN31</v>
      </c>
      <c r="I29" s="4">
        <f t="shared" si="22"/>
        <v>2010</v>
      </c>
      <c r="J29" s="247">
        <v>85</v>
      </c>
      <c r="K29" s="117"/>
      <c r="L29" s="4" t="str">
        <f t="shared" si="23"/>
        <v/>
      </c>
      <c r="M29" s="4" t="str">
        <f t="shared" si="24"/>
        <v/>
      </c>
      <c r="N29" s="4" t="str">
        <f t="shared" si="25"/>
        <v/>
      </c>
      <c r="O29" s="4" t="str">
        <f t="shared" si="26"/>
        <v/>
      </c>
      <c r="P29" s="247"/>
      <c r="Q29" s="117"/>
      <c r="R29" s="4" t="str">
        <f t="shared" si="8"/>
        <v/>
      </c>
      <c r="S29" s="4" t="str">
        <f t="shared" si="9"/>
        <v/>
      </c>
      <c r="T29" s="4" t="str">
        <f t="shared" si="10"/>
        <v/>
      </c>
      <c r="U29" s="4" t="str">
        <f t="shared" si="11"/>
        <v/>
      </c>
      <c r="V29" s="247"/>
      <c r="W29" s="67">
        <f t="shared" si="27"/>
        <v>2010</v>
      </c>
      <c r="X29" s="118"/>
      <c r="Y29" t="s">
        <v>864</v>
      </c>
      <c r="Z29" s="67">
        <f t="shared" si="28"/>
        <v>2010</v>
      </c>
      <c r="AA29" s="13">
        <f t="shared" si="29"/>
        <v>21</v>
      </c>
      <c r="AB29" s="17">
        <f t="shared" si="30"/>
        <v>12</v>
      </c>
      <c r="AC29" s="163" t="str">
        <f t="shared" si="31"/>
        <v>RDS</v>
      </c>
      <c r="AD29" s="119">
        <v>46190</v>
      </c>
      <c r="AE29" s="120">
        <v>0.55138888888888893</v>
      </c>
      <c r="AF29" s="121">
        <v>46191</v>
      </c>
      <c r="AG29" s="122">
        <v>0.25486111111111109</v>
      </c>
      <c r="AH29" s="83">
        <f t="shared" si="17"/>
        <v>0.70347222222335404</v>
      </c>
      <c r="AI29" s="115">
        <v>46191</v>
      </c>
      <c r="AJ29" s="116">
        <v>0.64166666666666672</v>
      </c>
      <c r="AK29" s="83">
        <f t="shared" si="18"/>
        <v>0.3868055555576575</v>
      </c>
      <c r="AL29" s="85" t="s">
        <v>786</v>
      </c>
      <c r="AM29" s="254"/>
      <c r="AN29" s="254"/>
      <c r="AO29" s="255"/>
    </row>
    <row r="30" spans="2:41" x14ac:dyDescent="0.25">
      <c r="B30" s="321">
        <v>22</v>
      </c>
      <c r="C30" s="17">
        <v>12</v>
      </c>
      <c r="D30" s="554" t="s">
        <v>864</v>
      </c>
      <c r="E30" s="117">
        <v>830603</v>
      </c>
      <c r="F30" s="4" t="str">
        <f t="shared" si="19"/>
        <v>RDS</v>
      </c>
      <c r="G30" s="4">
        <f t="shared" si="20"/>
        <v>17.5</v>
      </c>
      <c r="H30" s="4" t="str">
        <f t="shared" si="21"/>
        <v>EN31</v>
      </c>
      <c r="I30" s="4">
        <f t="shared" si="22"/>
        <v>2010</v>
      </c>
      <c r="J30" s="247">
        <v>81</v>
      </c>
      <c r="K30" s="117"/>
      <c r="L30" s="4" t="str">
        <f t="shared" si="23"/>
        <v/>
      </c>
      <c r="M30" s="4" t="str">
        <f t="shared" si="24"/>
        <v/>
      </c>
      <c r="N30" s="4" t="str">
        <f t="shared" si="25"/>
        <v/>
      </c>
      <c r="O30" s="4" t="str">
        <f t="shared" si="26"/>
        <v/>
      </c>
      <c r="P30" s="247"/>
      <c r="Q30" s="117"/>
      <c r="R30" s="4" t="str">
        <f t="shared" si="8"/>
        <v/>
      </c>
      <c r="S30" s="4" t="str">
        <f t="shared" si="9"/>
        <v/>
      </c>
      <c r="T30" s="4" t="str">
        <f t="shared" si="10"/>
        <v/>
      </c>
      <c r="U30" s="4" t="str">
        <f t="shared" si="11"/>
        <v/>
      </c>
      <c r="V30" s="247"/>
      <c r="W30" s="67">
        <f t="shared" si="27"/>
        <v>2010</v>
      </c>
      <c r="X30" s="118"/>
      <c r="Y30" t="s">
        <v>864</v>
      </c>
      <c r="Z30" s="67">
        <f t="shared" si="28"/>
        <v>2010</v>
      </c>
      <c r="AA30" s="13">
        <f t="shared" si="29"/>
        <v>22</v>
      </c>
      <c r="AB30" s="17">
        <f t="shared" si="30"/>
        <v>12</v>
      </c>
      <c r="AC30" s="163" t="str">
        <f t="shared" si="31"/>
        <v>RDS</v>
      </c>
      <c r="AD30" s="119">
        <v>46191</v>
      </c>
      <c r="AE30" s="120">
        <v>0.83680555555555558</v>
      </c>
      <c r="AF30" s="121">
        <v>46192</v>
      </c>
      <c r="AG30" s="122">
        <v>0.49305555555555558</v>
      </c>
      <c r="AH30" s="83">
        <f t="shared" si="17"/>
        <v>0.65625</v>
      </c>
      <c r="AI30" s="115">
        <v>46193</v>
      </c>
      <c r="AJ30" s="116">
        <v>0.16666666666666666</v>
      </c>
      <c r="AK30" s="83">
        <f t="shared" si="18"/>
        <v>0.67361111110949423</v>
      </c>
      <c r="AL30" s="85"/>
      <c r="AM30" s="254"/>
      <c r="AN30" s="254"/>
      <c r="AO30" s="255"/>
    </row>
    <row r="31" spans="2:41" x14ac:dyDescent="0.25">
      <c r="B31" s="321">
        <v>23</v>
      </c>
      <c r="C31" s="17">
        <v>12</v>
      </c>
      <c r="D31" s="554" t="s">
        <v>864</v>
      </c>
      <c r="E31" s="117">
        <v>650605</v>
      </c>
      <c r="F31" s="4" t="str">
        <f t="shared" si="19"/>
        <v>MLN</v>
      </c>
      <c r="G31" s="4">
        <f t="shared" si="20"/>
        <v>17.5</v>
      </c>
      <c r="H31" s="4" t="str">
        <f t="shared" si="21"/>
        <v>EN31</v>
      </c>
      <c r="I31" s="4">
        <f t="shared" si="22"/>
        <v>1730</v>
      </c>
      <c r="J31" s="247">
        <v>85</v>
      </c>
      <c r="K31" s="117"/>
      <c r="L31" s="4" t="str">
        <f t="shared" si="23"/>
        <v/>
      </c>
      <c r="M31" s="4" t="str">
        <f t="shared" si="24"/>
        <v/>
      </c>
      <c r="N31" s="4" t="str">
        <f t="shared" si="25"/>
        <v/>
      </c>
      <c r="O31" s="4" t="str">
        <f t="shared" si="26"/>
        <v/>
      </c>
      <c r="P31" s="247"/>
      <c r="Q31" s="117"/>
      <c r="R31" s="4" t="str">
        <f t="shared" si="8"/>
        <v/>
      </c>
      <c r="S31" s="4" t="str">
        <f t="shared" si="9"/>
        <v/>
      </c>
      <c r="T31" s="4" t="str">
        <f t="shared" si="10"/>
        <v/>
      </c>
      <c r="U31" s="4" t="str">
        <f t="shared" si="11"/>
        <v/>
      </c>
      <c r="V31" s="247"/>
      <c r="W31" s="67">
        <f t="shared" si="27"/>
        <v>1730</v>
      </c>
      <c r="X31" s="118"/>
      <c r="Y31" t="s">
        <v>864</v>
      </c>
      <c r="Z31" s="67">
        <f t="shared" si="28"/>
        <v>1730</v>
      </c>
      <c r="AA31" s="13">
        <f t="shared" si="29"/>
        <v>23</v>
      </c>
      <c r="AB31" s="17">
        <f t="shared" si="30"/>
        <v>12</v>
      </c>
      <c r="AC31" s="163" t="str">
        <f t="shared" si="31"/>
        <v>MLN</v>
      </c>
      <c r="AD31" s="119">
        <v>46193</v>
      </c>
      <c r="AE31" s="120">
        <v>0.20833333333333334</v>
      </c>
      <c r="AF31" s="121">
        <v>46193</v>
      </c>
      <c r="AG31" s="122">
        <v>0.84027777777777779</v>
      </c>
      <c r="AH31" s="83">
        <f t="shared" si="17"/>
        <v>0.63194444444525288</v>
      </c>
      <c r="AI31" s="115">
        <v>46194</v>
      </c>
      <c r="AJ31" s="116">
        <v>0.43055555555555558</v>
      </c>
      <c r="AK31" s="83">
        <f t="shared" si="18"/>
        <v>0.59027777777373558</v>
      </c>
      <c r="AL31" s="85"/>
      <c r="AM31" s="254"/>
      <c r="AN31" s="254"/>
      <c r="AO31" s="255"/>
    </row>
    <row r="32" spans="2:41" x14ac:dyDescent="0.25">
      <c r="B32" s="321">
        <v>24</v>
      </c>
      <c r="C32" s="17">
        <v>12</v>
      </c>
      <c r="D32" s="554" t="s">
        <v>864</v>
      </c>
      <c r="E32" s="117">
        <v>650603</v>
      </c>
      <c r="F32" s="4" t="str">
        <f t="shared" si="19"/>
        <v>MLN</v>
      </c>
      <c r="G32" s="4">
        <f t="shared" si="20"/>
        <v>17.5</v>
      </c>
      <c r="H32" s="4" t="str">
        <f t="shared" si="21"/>
        <v>EN31</v>
      </c>
      <c r="I32" s="4">
        <f t="shared" si="22"/>
        <v>2020</v>
      </c>
      <c r="J32" s="247">
        <v>84</v>
      </c>
      <c r="K32" s="117"/>
      <c r="L32" s="4" t="str">
        <f t="shared" si="23"/>
        <v/>
      </c>
      <c r="M32" s="4" t="str">
        <f t="shared" si="24"/>
        <v/>
      </c>
      <c r="N32" s="4" t="str">
        <f t="shared" si="25"/>
        <v/>
      </c>
      <c r="O32" s="4" t="str">
        <f t="shared" si="26"/>
        <v/>
      </c>
      <c r="P32" s="247"/>
      <c r="Q32" s="117"/>
      <c r="R32" s="4" t="str">
        <f t="shared" si="8"/>
        <v/>
      </c>
      <c r="S32" s="4" t="str">
        <f t="shared" si="9"/>
        <v/>
      </c>
      <c r="T32" s="4" t="str">
        <f t="shared" si="10"/>
        <v/>
      </c>
      <c r="U32" s="4" t="str">
        <f t="shared" si="11"/>
        <v/>
      </c>
      <c r="V32" s="247"/>
      <c r="W32" s="67">
        <f t="shared" si="27"/>
        <v>2020</v>
      </c>
      <c r="X32" s="118"/>
      <c r="Y32" t="s">
        <v>864</v>
      </c>
      <c r="Z32" s="67">
        <f t="shared" si="28"/>
        <v>2020</v>
      </c>
      <c r="AA32" s="13">
        <f t="shared" si="29"/>
        <v>24</v>
      </c>
      <c r="AB32" s="17">
        <f t="shared" si="30"/>
        <v>12</v>
      </c>
      <c r="AC32" s="163" t="str">
        <f t="shared" si="31"/>
        <v>MLN</v>
      </c>
      <c r="AD32" s="119">
        <v>46194</v>
      </c>
      <c r="AE32" s="120">
        <v>0.45833333333333331</v>
      </c>
      <c r="AF32" s="121">
        <v>46195</v>
      </c>
      <c r="AG32" s="122">
        <v>0.10069444444444445</v>
      </c>
      <c r="AH32" s="83">
        <f t="shared" si="17"/>
        <v>0.64236111110949423</v>
      </c>
      <c r="AI32" s="115">
        <v>46195</v>
      </c>
      <c r="AJ32" s="116">
        <v>0.71180555555555558</v>
      </c>
      <c r="AK32" s="83">
        <f t="shared" si="18"/>
        <v>0.61111111110949423</v>
      </c>
      <c r="AL32" s="85"/>
      <c r="AM32" s="254"/>
      <c r="AN32" s="254"/>
      <c r="AO32" s="255"/>
    </row>
    <row r="33" spans="2:41" x14ac:dyDescent="0.25">
      <c r="B33" s="321">
        <v>25</v>
      </c>
      <c r="C33" s="17">
        <v>12</v>
      </c>
      <c r="D33" s="554" t="s">
        <v>864</v>
      </c>
      <c r="E33" s="117">
        <v>940601</v>
      </c>
      <c r="F33" s="4" t="str">
        <f t="shared" si="19"/>
        <v>SCR</v>
      </c>
      <c r="G33" s="4">
        <f t="shared" si="20"/>
        <v>10</v>
      </c>
      <c r="H33" s="4">
        <f t="shared" si="21"/>
        <v>4140</v>
      </c>
      <c r="I33" s="4">
        <f>IFERROR(IF(VLOOKUP($E33,Inward,11,FALSE)&gt;0,VLOOKUP($E33,Inward,11,FALSE),""),"")</f>
        <v>1925</v>
      </c>
      <c r="J33" s="247">
        <v>75</v>
      </c>
      <c r="K33" s="117"/>
      <c r="L33" s="4" t="str">
        <f t="shared" si="23"/>
        <v/>
      </c>
      <c r="M33" s="4" t="str">
        <f t="shared" si="24"/>
        <v/>
      </c>
      <c r="N33" s="4" t="str">
        <f t="shared" si="25"/>
        <v/>
      </c>
      <c r="O33" s="4" t="str">
        <f t="shared" si="26"/>
        <v/>
      </c>
      <c r="P33" s="247"/>
      <c r="Q33" s="117"/>
      <c r="R33" s="4" t="str">
        <f t="shared" si="8"/>
        <v/>
      </c>
      <c r="S33" s="4" t="str">
        <f t="shared" si="9"/>
        <v/>
      </c>
      <c r="T33" s="4" t="str">
        <f t="shared" si="10"/>
        <v/>
      </c>
      <c r="U33" s="4" t="str">
        <f t="shared" si="11"/>
        <v/>
      </c>
      <c r="V33" s="247"/>
      <c r="W33" s="67">
        <f t="shared" si="27"/>
        <v>1925</v>
      </c>
      <c r="X33" s="118"/>
      <c r="Y33" t="s">
        <v>864</v>
      </c>
      <c r="Z33" s="67">
        <f t="shared" si="28"/>
        <v>1925</v>
      </c>
      <c r="AA33" s="13">
        <f t="shared" si="29"/>
        <v>25</v>
      </c>
      <c r="AB33" s="17">
        <f t="shared" si="30"/>
        <v>12</v>
      </c>
      <c r="AC33" s="163" t="str">
        <f t="shared" si="31"/>
        <v>SCR</v>
      </c>
      <c r="AD33" s="119">
        <v>46195</v>
      </c>
      <c r="AE33" s="120">
        <v>0.74305555555555558</v>
      </c>
      <c r="AF33" s="121">
        <v>46196</v>
      </c>
      <c r="AG33" s="122">
        <v>0.15138888888888888</v>
      </c>
      <c r="AH33" s="83">
        <f t="shared" si="17"/>
        <v>0.40833333333284827</v>
      </c>
      <c r="AI33" s="115">
        <v>46196</v>
      </c>
      <c r="AJ33" s="116">
        <v>0.53472222222222221</v>
      </c>
      <c r="AK33" s="83">
        <f t="shared" si="18"/>
        <v>0.38333333333139308</v>
      </c>
      <c r="AL33" s="85"/>
      <c r="AM33" s="254"/>
      <c r="AN33" s="254"/>
      <c r="AO33" s="255"/>
    </row>
    <row r="34" spans="2:41" x14ac:dyDescent="0.25">
      <c r="B34" s="321">
        <v>26</v>
      </c>
      <c r="C34" s="17">
        <v>12</v>
      </c>
      <c r="D34" s="554" t="s">
        <v>864</v>
      </c>
      <c r="E34" s="117">
        <v>830604</v>
      </c>
      <c r="F34" s="4" t="str">
        <f t="shared" si="19"/>
        <v>RDS</v>
      </c>
      <c r="G34" s="4">
        <f t="shared" si="20"/>
        <v>17.5</v>
      </c>
      <c r="H34" s="4" t="str">
        <f t="shared" si="21"/>
        <v>EN31</v>
      </c>
      <c r="I34" s="4">
        <f t="shared" si="22"/>
        <v>2030</v>
      </c>
      <c r="J34" s="247">
        <v>85</v>
      </c>
      <c r="K34" s="117"/>
      <c r="L34" s="4" t="str">
        <f t="shared" si="23"/>
        <v/>
      </c>
      <c r="M34" s="4" t="str">
        <f t="shared" si="24"/>
        <v/>
      </c>
      <c r="N34" s="4" t="str">
        <f t="shared" si="25"/>
        <v/>
      </c>
      <c r="O34" s="4" t="str">
        <f t="shared" si="26"/>
        <v/>
      </c>
      <c r="P34" s="247"/>
      <c r="Q34" s="117"/>
      <c r="R34" s="4" t="str">
        <f t="shared" si="8"/>
        <v/>
      </c>
      <c r="S34" s="4" t="str">
        <f t="shared" si="9"/>
        <v/>
      </c>
      <c r="T34" s="4" t="str">
        <f t="shared" si="10"/>
        <v/>
      </c>
      <c r="U34" s="4" t="str">
        <f t="shared" si="11"/>
        <v/>
      </c>
      <c r="V34" s="247"/>
      <c r="W34" s="67">
        <f t="shared" si="27"/>
        <v>2030</v>
      </c>
      <c r="X34" s="118"/>
      <c r="Y34" t="s">
        <v>864</v>
      </c>
      <c r="Z34" s="67">
        <f t="shared" si="28"/>
        <v>2030</v>
      </c>
      <c r="AA34" s="13">
        <f t="shared" si="29"/>
        <v>26</v>
      </c>
      <c r="AB34" s="17">
        <f t="shared" si="30"/>
        <v>12</v>
      </c>
      <c r="AC34" s="163" t="str">
        <f t="shared" si="31"/>
        <v>RDS</v>
      </c>
      <c r="AD34" s="119">
        <v>46196</v>
      </c>
      <c r="AE34" s="120">
        <v>0.55902777777777779</v>
      </c>
      <c r="AF34" s="121">
        <v>46197</v>
      </c>
      <c r="AG34" s="122">
        <v>0.19097222222222221</v>
      </c>
      <c r="AH34" s="83">
        <f t="shared" si="17"/>
        <v>0.63194444443797693</v>
      </c>
      <c r="AI34" s="115">
        <v>46197</v>
      </c>
      <c r="AJ34" s="116">
        <v>0.84375</v>
      </c>
      <c r="AK34" s="83">
        <f t="shared" si="18"/>
        <v>0.65277777778101154</v>
      </c>
      <c r="AL34" s="85"/>
      <c r="AM34" s="254"/>
      <c r="AN34" s="254"/>
      <c r="AO34" s="255"/>
    </row>
    <row r="35" spans="2:41" x14ac:dyDescent="0.25">
      <c r="B35" s="321">
        <v>27</v>
      </c>
      <c r="C35" s="17">
        <v>12</v>
      </c>
      <c r="D35" s="554" t="s">
        <v>864</v>
      </c>
      <c r="E35" s="117">
        <v>830605</v>
      </c>
      <c r="F35" s="4" t="str">
        <f t="shared" si="19"/>
        <v>RDS</v>
      </c>
      <c r="G35" s="4">
        <f t="shared" si="20"/>
        <v>17.5</v>
      </c>
      <c r="H35" s="4" t="str">
        <f t="shared" si="21"/>
        <v>EN31</v>
      </c>
      <c r="I35" s="4">
        <f t="shared" si="22"/>
        <v>2020</v>
      </c>
      <c r="J35" s="247">
        <v>83</v>
      </c>
      <c r="K35" s="117"/>
      <c r="L35" s="4" t="str">
        <f t="shared" si="23"/>
        <v/>
      </c>
      <c r="M35" s="4" t="str">
        <f t="shared" si="24"/>
        <v/>
      </c>
      <c r="N35" s="4" t="str">
        <f t="shared" si="25"/>
        <v/>
      </c>
      <c r="O35" s="4" t="str">
        <f t="shared" si="26"/>
        <v/>
      </c>
      <c r="P35" s="247"/>
      <c r="Q35" s="117"/>
      <c r="R35" s="4" t="str">
        <f t="shared" si="8"/>
        <v/>
      </c>
      <c r="S35" s="4" t="str">
        <f t="shared" si="9"/>
        <v/>
      </c>
      <c r="T35" s="4" t="str">
        <f t="shared" si="10"/>
        <v/>
      </c>
      <c r="U35" s="4" t="str">
        <f t="shared" si="11"/>
        <v/>
      </c>
      <c r="V35" s="247"/>
      <c r="W35" s="67">
        <f t="shared" si="27"/>
        <v>2020</v>
      </c>
      <c r="X35" s="118"/>
      <c r="Y35" t="s">
        <v>864</v>
      </c>
      <c r="Z35" s="67">
        <f t="shared" si="28"/>
        <v>2020</v>
      </c>
      <c r="AA35" s="13">
        <f t="shared" si="29"/>
        <v>27</v>
      </c>
      <c r="AB35" s="17">
        <f t="shared" si="30"/>
        <v>12</v>
      </c>
      <c r="AC35" s="163" t="str">
        <f t="shared" si="31"/>
        <v>RDS</v>
      </c>
      <c r="AD35" s="119">
        <v>46197</v>
      </c>
      <c r="AE35" s="120">
        <v>0.90972222222222221</v>
      </c>
      <c r="AF35" s="121">
        <v>46198</v>
      </c>
      <c r="AG35" s="122">
        <v>0.52777777777777779</v>
      </c>
      <c r="AH35" s="83">
        <f t="shared" si="17"/>
        <v>0.61805555556202307</v>
      </c>
      <c r="AI35" s="115">
        <v>46198</v>
      </c>
      <c r="AJ35" s="116">
        <v>0.72222222222222221</v>
      </c>
      <c r="AK35" s="83">
        <f t="shared" si="18"/>
        <v>0.19444444443797693</v>
      </c>
      <c r="AL35" s="85"/>
      <c r="AM35" s="254"/>
      <c r="AN35" s="254"/>
      <c r="AO35" s="255"/>
    </row>
    <row r="36" spans="2:41" x14ac:dyDescent="0.25">
      <c r="B36" s="321">
        <v>28</v>
      </c>
      <c r="C36" s="17">
        <v>12</v>
      </c>
      <c r="D36" s="554" t="s">
        <v>864</v>
      </c>
      <c r="E36" s="117">
        <v>340603</v>
      </c>
      <c r="F36" s="4" t="str">
        <f t="shared" si="19"/>
        <v>BHARAT</v>
      </c>
      <c r="G36" s="4">
        <f t="shared" si="20"/>
        <v>16.3</v>
      </c>
      <c r="H36" s="4" t="str">
        <f t="shared" si="21"/>
        <v>EN31</v>
      </c>
      <c r="I36" s="4">
        <f t="shared" si="22"/>
        <v>2270</v>
      </c>
      <c r="J36" s="247">
        <v>81</v>
      </c>
      <c r="K36" s="117"/>
      <c r="L36" s="4" t="str">
        <f t="shared" si="23"/>
        <v/>
      </c>
      <c r="M36" s="4" t="str">
        <f t="shared" si="24"/>
        <v/>
      </c>
      <c r="N36" s="4" t="str">
        <f t="shared" si="25"/>
        <v/>
      </c>
      <c r="O36" s="4" t="str">
        <f t="shared" si="26"/>
        <v/>
      </c>
      <c r="P36" s="247"/>
      <c r="Q36" s="117"/>
      <c r="R36" s="4" t="str">
        <f t="shared" si="8"/>
        <v/>
      </c>
      <c r="S36" s="4" t="str">
        <f t="shared" si="9"/>
        <v/>
      </c>
      <c r="T36" s="4" t="str">
        <f t="shared" si="10"/>
        <v/>
      </c>
      <c r="U36" s="4" t="str">
        <f t="shared" si="11"/>
        <v/>
      </c>
      <c r="V36" s="247"/>
      <c r="W36" s="67">
        <f t="shared" si="27"/>
        <v>2270</v>
      </c>
      <c r="X36" s="118"/>
      <c r="Y36" t="s">
        <v>864</v>
      </c>
      <c r="Z36" s="67">
        <f t="shared" si="28"/>
        <v>2270</v>
      </c>
      <c r="AA36" s="13">
        <f t="shared" si="29"/>
        <v>28</v>
      </c>
      <c r="AB36" s="17">
        <f t="shared" si="30"/>
        <v>12</v>
      </c>
      <c r="AC36" s="163" t="str">
        <f t="shared" si="31"/>
        <v>BHARAT</v>
      </c>
      <c r="AD36" s="119">
        <v>46199</v>
      </c>
      <c r="AE36" s="120">
        <v>0.76041666666666663</v>
      </c>
      <c r="AF36" s="121">
        <v>46199</v>
      </c>
      <c r="AG36" s="122">
        <v>0.92500000000000004</v>
      </c>
      <c r="AH36" s="83">
        <f t="shared" si="17"/>
        <v>0.16458333333866904</v>
      </c>
      <c r="AI36" s="115">
        <v>46200</v>
      </c>
      <c r="AJ36" s="116">
        <v>0.68402777777777779</v>
      </c>
      <c r="AK36" s="83">
        <f t="shared" si="18"/>
        <v>0.75902777777810115</v>
      </c>
      <c r="AL36" s="85"/>
      <c r="AM36" s="254"/>
      <c r="AN36" s="254"/>
      <c r="AO36" s="255"/>
    </row>
    <row r="37" spans="2:41" x14ac:dyDescent="0.25">
      <c r="B37" s="321">
        <v>29</v>
      </c>
      <c r="C37" s="17">
        <v>12</v>
      </c>
      <c r="D37" s="554" t="s">
        <v>864</v>
      </c>
      <c r="E37" s="117" t="s">
        <v>804</v>
      </c>
      <c r="F37" s="4" t="str">
        <f t="shared" si="19"/>
        <v/>
      </c>
      <c r="G37" s="4" t="str">
        <f t="shared" si="20"/>
        <v/>
      </c>
      <c r="H37" s="4" t="str">
        <f t="shared" si="21"/>
        <v/>
      </c>
      <c r="I37" s="4" t="str">
        <f t="shared" si="22"/>
        <v/>
      </c>
      <c r="J37" s="247"/>
      <c r="K37" s="117"/>
      <c r="L37" s="4" t="str">
        <f t="shared" si="23"/>
        <v/>
      </c>
      <c r="M37" s="4" t="str">
        <f t="shared" si="24"/>
        <v/>
      </c>
      <c r="N37" s="4" t="str">
        <f t="shared" si="25"/>
        <v/>
      </c>
      <c r="O37" s="4" t="str">
        <f t="shared" si="26"/>
        <v/>
      </c>
      <c r="P37" s="247"/>
      <c r="Q37" s="117"/>
      <c r="R37" s="4" t="str">
        <f t="shared" si="8"/>
        <v/>
      </c>
      <c r="S37" s="4" t="str">
        <f t="shared" si="9"/>
        <v/>
      </c>
      <c r="T37" s="4" t="str">
        <f t="shared" si="10"/>
        <v/>
      </c>
      <c r="U37" s="4" t="str">
        <f t="shared" si="11"/>
        <v/>
      </c>
      <c r="V37" s="247"/>
      <c r="W37" s="67" t="str">
        <f t="shared" si="27"/>
        <v/>
      </c>
      <c r="X37" s="118"/>
      <c r="Y37" t="s">
        <v>864</v>
      </c>
      <c r="Z37" s="67" t="str">
        <f t="shared" si="28"/>
        <v/>
      </c>
      <c r="AA37" s="13">
        <f t="shared" si="29"/>
        <v>29</v>
      </c>
      <c r="AB37" s="17">
        <f t="shared" si="30"/>
        <v>12</v>
      </c>
      <c r="AC37" s="163" t="str">
        <f t="shared" si="31"/>
        <v/>
      </c>
      <c r="AD37" s="119">
        <v>46201</v>
      </c>
      <c r="AE37" s="120">
        <v>0.94930555555555551</v>
      </c>
      <c r="AF37" s="121">
        <v>46203</v>
      </c>
      <c r="AG37" s="122">
        <v>0.20833333333333334</v>
      </c>
      <c r="AH37" s="83">
        <f t="shared" si="17"/>
        <v>1.2590277777781012</v>
      </c>
      <c r="AI37" s="115">
        <v>46203</v>
      </c>
      <c r="AJ37" s="116"/>
      <c r="AK37" s="83" t="str">
        <f t="shared" si="18"/>
        <v/>
      </c>
      <c r="AL37" s="85"/>
      <c r="AM37" s="254"/>
      <c r="AN37" s="254"/>
      <c r="AO37" s="255"/>
    </row>
    <row r="38" spans="2:41" x14ac:dyDescent="0.25">
      <c r="B38" s="321">
        <v>30</v>
      </c>
      <c r="C38" s="17">
        <v>12</v>
      </c>
      <c r="D38" s="554" t="s">
        <v>864</v>
      </c>
      <c r="E38" s="117">
        <v>400612</v>
      </c>
      <c r="F38" s="4" t="str">
        <f t="shared" si="19"/>
        <v>PNR</v>
      </c>
      <c r="G38" s="4">
        <f t="shared" si="20"/>
        <v>22.3</v>
      </c>
      <c r="H38" s="4" t="str">
        <f t="shared" si="21"/>
        <v>EN31</v>
      </c>
      <c r="I38" s="4">
        <f t="shared" si="22"/>
        <v>2495</v>
      </c>
      <c r="J38" s="247">
        <v>82</v>
      </c>
      <c r="K38" s="117"/>
      <c r="L38" s="4" t="str">
        <f t="shared" si="23"/>
        <v/>
      </c>
      <c r="M38" s="4" t="str">
        <f t="shared" si="24"/>
        <v/>
      </c>
      <c r="N38" s="4" t="str">
        <f t="shared" si="25"/>
        <v/>
      </c>
      <c r="O38" s="4" t="str">
        <f t="shared" si="26"/>
        <v/>
      </c>
      <c r="P38" s="247"/>
      <c r="Q38" s="117"/>
      <c r="R38" s="4" t="str">
        <f t="shared" si="8"/>
        <v/>
      </c>
      <c r="S38" s="4" t="str">
        <f t="shared" si="9"/>
        <v/>
      </c>
      <c r="T38" s="4" t="str">
        <f t="shared" si="10"/>
        <v/>
      </c>
      <c r="U38" s="4" t="str">
        <f t="shared" si="11"/>
        <v/>
      </c>
      <c r="V38" s="247"/>
      <c r="W38" s="67">
        <f t="shared" si="27"/>
        <v>2495</v>
      </c>
      <c r="X38" s="118"/>
      <c r="Y38" t="s">
        <v>864</v>
      </c>
      <c r="Z38" s="67">
        <f t="shared" si="28"/>
        <v>2495</v>
      </c>
      <c r="AA38" s="13">
        <f t="shared" si="29"/>
        <v>30</v>
      </c>
      <c r="AB38" s="17">
        <f t="shared" si="30"/>
        <v>12</v>
      </c>
      <c r="AC38" s="163" t="str">
        <f t="shared" si="31"/>
        <v>PNR</v>
      </c>
      <c r="AD38" s="119">
        <v>46203</v>
      </c>
      <c r="AE38" s="120">
        <v>0.53333333333333333</v>
      </c>
      <c r="AF38" s="121">
        <v>46204</v>
      </c>
      <c r="AG38" s="122">
        <v>0.27500000000000002</v>
      </c>
      <c r="AH38" s="83">
        <f t="shared" si="17"/>
        <v>0.74166666666860692</v>
      </c>
      <c r="AI38" s="115">
        <v>46204</v>
      </c>
      <c r="AJ38" s="116">
        <v>0.84027777777777779</v>
      </c>
      <c r="AK38" s="83">
        <f t="shared" ref="AK38:AK67" si="32">IF(AJ38&lt;&gt;0,((AI38+AJ38)-(AF38+AG38)),"")</f>
        <v>0.56527777777955635</v>
      </c>
      <c r="AL38" s="85"/>
      <c r="AM38" s="254"/>
      <c r="AN38" s="254"/>
      <c r="AO38" s="255"/>
    </row>
    <row r="39" spans="2:41" x14ac:dyDescent="0.25">
      <c r="B39" s="321">
        <v>31</v>
      </c>
      <c r="C39" s="17">
        <v>12</v>
      </c>
      <c r="D39" s="554" t="s">
        <v>864</v>
      </c>
      <c r="E39" s="117">
        <v>400616</v>
      </c>
      <c r="F39" s="4" t="str">
        <f t="shared" si="19"/>
        <v>PNR</v>
      </c>
      <c r="G39" s="4">
        <f t="shared" si="20"/>
        <v>22.3</v>
      </c>
      <c r="H39" s="4" t="str">
        <f t="shared" si="21"/>
        <v>EN31</v>
      </c>
      <c r="I39" s="4">
        <f t="shared" si="22"/>
        <v>2460</v>
      </c>
      <c r="J39" s="247">
        <v>84</v>
      </c>
      <c r="K39" s="117"/>
      <c r="L39" s="4" t="str">
        <f t="shared" si="23"/>
        <v/>
      </c>
      <c r="M39" s="4" t="str">
        <f t="shared" si="24"/>
        <v/>
      </c>
      <c r="N39" s="4" t="str">
        <f t="shared" si="25"/>
        <v/>
      </c>
      <c r="O39" s="4" t="str">
        <f t="shared" si="26"/>
        <v/>
      </c>
      <c r="P39" s="247"/>
      <c r="Q39" s="117"/>
      <c r="R39" s="4" t="str">
        <f t="shared" si="8"/>
        <v/>
      </c>
      <c r="S39" s="4" t="str">
        <f t="shared" si="9"/>
        <v/>
      </c>
      <c r="T39" s="4" t="str">
        <f t="shared" si="10"/>
        <v/>
      </c>
      <c r="U39" s="4" t="str">
        <f t="shared" si="11"/>
        <v/>
      </c>
      <c r="V39" s="247"/>
      <c r="W39" s="67">
        <f t="shared" si="27"/>
        <v>2460</v>
      </c>
      <c r="X39" s="118"/>
      <c r="Y39" t="s">
        <v>864</v>
      </c>
      <c r="Z39" s="67">
        <f t="shared" si="28"/>
        <v>2460</v>
      </c>
      <c r="AA39" s="13">
        <f t="shared" si="29"/>
        <v>31</v>
      </c>
      <c r="AB39" s="17">
        <f t="shared" si="30"/>
        <v>12</v>
      </c>
      <c r="AC39" s="163" t="str">
        <f t="shared" si="31"/>
        <v>PNR</v>
      </c>
      <c r="AD39" s="119">
        <v>46204</v>
      </c>
      <c r="AE39" s="120">
        <v>0.875</v>
      </c>
      <c r="AF39" s="121">
        <v>46205</v>
      </c>
      <c r="AG39" s="122">
        <v>0.625</v>
      </c>
      <c r="AH39" s="83">
        <f t="shared" si="17"/>
        <v>0.75</v>
      </c>
      <c r="AI39" s="115">
        <v>46206</v>
      </c>
      <c r="AJ39" s="116">
        <v>0.125</v>
      </c>
      <c r="AK39" s="83">
        <f t="shared" si="32"/>
        <v>0.5</v>
      </c>
      <c r="AL39" s="85"/>
      <c r="AM39" s="254"/>
      <c r="AN39" s="254"/>
      <c r="AO39" s="255"/>
    </row>
    <row r="40" spans="2:41" x14ac:dyDescent="0.25">
      <c r="B40" s="321">
        <v>32</v>
      </c>
      <c r="C40" s="17">
        <v>12</v>
      </c>
      <c r="D40" s="554" t="s">
        <v>864</v>
      </c>
      <c r="E40" s="117">
        <v>400608</v>
      </c>
      <c r="F40" s="4" t="str">
        <f t="shared" si="19"/>
        <v>PNR</v>
      </c>
      <c r="G40" s="4">
        <f t="shared" si="20"/>
        <v>16.3</v>
      </c>
      <c r="H40" s="4" t="str">
        <f t="shared" si="21"/>
        <v>EN31</v>
      </c>
      <c r="I40" s="4">
        <f t="shared" si="22"/>
        <v>2420</v>
      </c>
      <c r="J40" s="247">
        <v>82</v>
      </c>
      <c r="K40" s="117"/>
      <c r="L40" s="4" t="str">
        <f t="shared" si="23"/>
        <v/>
      </c>
      <c r="M40" s="4" t="str">
        <f t="shared" si="24"/>
        <v/>
      </c>
      <c r="N40" s="4" t="str">
        <f t="shared" si="25"/>
        <v/>
      </c>
      <c r="O40" s="4" t="str">
        <f t="shared" si="26"/>
        <v/>
      </c>
      <c r="P40" s="247"/>
      <c r="Q40" s="117"/>
      <c r="R40" s="4" t="str">
        <f t="shared" si="8"/>
        <v/>
      </c>
      <c r="S40" s="4" t="str">
        <f t="shared" si="9"/>
        <v/>
      </c>
      <c r="T40" s="4" t="str">
        <f t="shared" si="10"/>
        <v/>
      </c>
      <c r="U40" s="4" t="str">
        <f t="shared" si="11"/>
        <v/>
      </c>
      <c r="V40" s="247"/>
      <c r="W40" s="67">
        <f t="shared" si="27"/>
        <v>2420</v>
      </c>
      <c r="X40" s="118"/>
      <c r="Y40" t="s">
        <v>864</v>
      </c>
      <c r="Z40" s="67">
        <f t="shared" si="28"/>
        <v>2420</v>
      </c>
      <c r="AA40" s="13">
        <f t="shared" si="29"/>
        <v>32</v>
      </c>
      <c r="AB40" s="17">
        <f t="shared" si="30"/>
        <v>12</v>
      </c>
      <c r="AC40" s="163" t="str">
        <f t="shared" si="31"/>
        <v>PNR</v>
      </c>
      <c r="AD40" s="119">
        <v>46206</v>
      </c>
      <c r="AE40" s="120">
        <v>0.16458333333333333</v>
      </c>
      <c r="AF40" s="121">
        <v>46206</v>
      </c>
      <c r="AG40" s="122">
        <v>0.82638888888888884</v>
      </c>
      <c r="AH40" s="83">
        <f>IF(AG40&lt;&gt;0,((AF40+AG40)-(AD40+AE40)),"")</f>
        <v>0.66180555555911269</v>
      </c>
      <c r="AI40" s="115">
        <v>46207</v>
      </c>
      <c r="AJ40" s="116">
        <v>0.375</v>
      </c>
      <c r="AK40" s="83">
        <f t="shared" si="32"/>
        <v>0.54861111110949423</v>
      </c>
      <c r="AL40" s="85"/>
      <c r="AM40" s="254"/>
      <c r="AN40" s="254"/>
      <c r="AO40" s="255"/>
    </row>
    <row r="41" spans="2:41" x14ac:dyDescent="0.25">
      <c r="B41" s="321">
        <v>33</v>
      </c>
      <c r="C41" s="17">
        <v>11</v>
      </c>
      <c r="D41" s="554" t="s">
        <v>864</v>
      </c>
      <c r="E41" s="117" t="s">
        <v>822</v>
      </c>
      <c r="F41" s="4" t="str">
        <f t="shared" si="19"/>
        <v>PNR</v>
      </c>
      <c r="G41" s="4">
        <f t="shared" si="20"/>
        <v>22.3</v>
      </c>
      <c r="H41" s="4" t="str">
        <f t="shared" si="21"/>
        <v>EN31</v>
      </c>
      <c r="I41" s="4">
        <f t="shared" si="22"/>
        <v>1882</v>
      </c>
      <c r="J41" s="247">
        <v>80</v>
      </c>
      <c r="K41" s="117"/>
      <c r="L41" s="4" t="str">
        <f t="shared" si="23"/>
        <v/>
      </c>
      <c r="M41" s="4" t="str">
        <f t="shared" si="24"/>
        <v/>
      </c>
      <c r="N41" s="4" t="str">
        <f t="shared" si="25"/>
        <v/>
      </c>
      <c r="O41" s="4" t="str">
        <f t="shared" si="26"/>
        <v/>
      </c>
      <c r="P41" s="247"/>
      <c r="Q41" s="117"/>
      <c r="R41" s="4" t="str">
        <f t="shared" si="8"/>
        <v/>
      </c>
      <c r="S41" s="4" t="str">
        <f t="shared" si="9"/>
        <v/>
      </c>
      <c r="T41" s="4" t="str">
        <f t="shared" si="10"/>
        <v/>
      </c>
      <c r="U41" s="4" t="str">
        <f t="shared" si="11"/>
        <v/>
      </c>
      <c r="V41" s="247"/>
      <c r="W41" s="67">
        <f t="shared" si="27"/>
        <v>1882</v>
      </c>
      <c r="X41" s="118"/>
      <c r="Y41" t="s">
        <v>864</v>
      </c>
      <c r="Z41" s="67">
        <f t="shared" si="28"/>
        <v>1882</v>
      </c>
      <c r="AA41" s="13">
        <f t="shared" si="29"/>
        <v>33</v>
      </c>
      <c r="AB41" s="17">
        <f t="shared" si="30"/>
        <v>11</v>
      </c>
      <c r="AC41" s="163" t="str">
        <f t="shared" si="31"/>
        <v>PNR</v>
      </c>
      <c r="AD41" s="119">
        <v>46206</v>
      </c>
      <c r="AE41" s="120">
        <v>0.96875</v>
      </c>
      <c r="AF41" s="121">
        <v>46207</v>
      </c>
      <c r="AG41" s="122">
        <v>0.58680555555555558</v>
      </c>
      <c r="AH41" s="83">
        <f t="shared" ref="AH41:AH48" si="33">IF(AG41&lt;&gt;0,((AF41+AG41)-(AD41+AE41)),"")</f>
        <v>0.61805555555474712</v>
      </c>
      <c r="AI41" s="115">
        <v>46208</v>
      </c>
      <c r="AJ41" s="116">
        <v>0.15277777777777779</v>
      </c>
      <c r="AK41" s="83">
        <f t="shared" si="32"/>
        <v>0.56597222222626442</v>
      </c>
      <c r="AL41" s="85"/>
      <c r="AM41" s="254"/>
      <c r="AN41" s="254"/>
      <c r="AO41" s="255"/>
    </row>
    <row r="42" spans="2:41" x14ac:dyDescent="0.25">
      <c r="B42" s="321">
        <v>34</v>
      </c>
      <c r="C42" s="17">
        <v>12</v>
      </c>
      <c r="D42" s="554" t="s">
        <v>864</v>
      </c>
      <c r="E42" s="117">
        <v>400602</v>
      </c>
      <c r="F42" s="4" t="str">
        <f t="shared" si="19"/>
        <v>PNR</v>
      </c>
      <c r="G42" s="4">
        <f t="shared" si="20"/>
        <v>20</v>
      </c>
      <c r="H42" s="4" t="str">
        <f t="shared" si="21"/>
        <v>EN31</v>
      </c>
      <c r="I42" s="4">
        <f t="shared" si="22"/>
        <v>2480</v>
      </c>
      <c r="J42" s="247">
        <v>81</v>
      </c>
      <c r="K42" s="117"/>
      <c r="L42" s="4" t="str">
        <f t="shared" si="23"/>
        <v/>
      </c>
      <c r="M42" s="4" t="str">
        <f t="shared" si="24"/>
        <v/>
      </c>
      <c r="N42" s="4" t="str">
        <f t="shared" si="25"/>
        <v/>
      </c>
      <c r="O42" s="4" t="str">
        <f t="shared" si="26"/>
        <v/>
      </c>
      <c r="P42" s="247"/>
      <c r="Q42" s="117"/>
      <c r="R42" s="4" t="str">
        <f t="shared" si="8"/>
        <v/>
      </c>
      <c r="S42" s="4" t="str">
        <f t="shared" si="9"/>
        <v/>
      </c>
      <c r="T42" s="4" t="str">
        <f t="shared" si="10"/>
        <v/>
      </c>
      <c r="U42" s="4" t="str">
        <f t="shared" si="11"/>
        <v/>
      </c>
      <c r="V42" s="247"/>
      <c r="W42" s="67">
        <f t="shared" si="27"/>
        <v>2480</v>
      </c>
      <c r="X42" s="118"/>
      <c r="Y42" t="s">
        <v>864</v>
      </c>
      <c r="Z42" s="67">
        <f t="shared" si="28"/>
        <v>2480</v>
      </c>
      <c r="AA42" s="13">
        <f t="shared" si="29"/>
        <v>34</v>
      </c>
      <c r="AB42" s="17">
        <f t="shared" si="30"/>
        <v>12</v>
      </c>
      <c r="AC42" s="163" t="str">
        <f t="shared" si="31"/>
        <v>PNR</v>
      </c>
      <c r="AD42" s="119">
        <v>46207</v>
      </c>
      <c r="AE42" s="120">
        <v>0.4236111111111111</v>
      </c>
      <c r="AF42" s="121">
        <v>46208</v>
      </c>
      <c r="AG42" s="122">
        <v>0.25347222222222221</v>
      </c>
      <c r="AH42" s="83">
        <f t="shared" si="33"/>
        <v>0.82986111110949423</v>
      </c>
      <c r="AI42" s="115">
        <v>46208</v>
      </c>
      <c r="AJ42" s="116">
        <v>0.90277777777777779</v>
      </c>
      <c r="AK42" s="83">
        <f t="shared" si="32"/>
        <v>0.64930555556202307</v>
      </c>
      <c r="AL42" s="85"/>
      <c r="AM42" s="254"/>
      <c r="AN42" s="254"/>
      <c r="AO42" s="255"/>
    </row>
    <row r="43" spans="2:41" x14ac:dyDescent="0.25">
      <c r="B43" s="321">
        <v>35</v>
      </c>
      <c r="C43" s="17">
        <v>11</v>
      </c>
      <c r="D43" s="554" t="s">
        <v>864</v>
      </c>
      <c r="E43" s="117">
        <v>400609</v>
      </c>
      <c r="F43" s="4" t="str">
        <f t="shared" si="19"/>
        <v>PNR</v>
      </c>
      <c r="G43" s="4">
        <f t="shared" si="20"/>
        <v>16.3</v>
      </c>
      <c r="H43" s="4" t="str">
        <f t="shared" si="21"/>
        <v>EN31</v>
      </c>
      <c r="I43" s="4">
        <f t="shared" si="22"/>
        <v>2489</v>
      </c>
      <c r="J43" s="247">
        <v>81</v>
      </c>
      <c r="K43" s="13" t="s">
        <v>971</v>
      </c>
      <c r="L43" s="4" t="str">
        <f t="shared" si="23"/>
        <v/>
      </c>
      <c r="M43" s="4" t="str">
        <f t="shared" si="24"/>
        <v/>
      </c>
      <c r="N43" s="4" t="str">
        <f t="shared" si="25"/>
        <v/>
      </c>
      <c r="O43" s="4" t="str">
        <f t="shared" si="26"/>
        <v/>
      </c>
      <c r="P43" s="247"/>
      <c r="Q43" s="117"/>
      <c r="R43" s="4" t="str">
        <f t="shared" si="8"/>
        <v/>
      </c>
      <c r="S43" s="4" t="str">
        <f t="shared" si="9"/>
        <v/>
      </c>
      <c r="T43" s="4" t="str">
        <f t="shared" si="10"/>
        <v/>
      </c>
      <c r="U43" s="4" t="str">
        <f t="shared" si="11"/>
        <v/>
      </c>
      <c r="V43" s="247"/>
      <c r="W43" s="67">
        <f t="shared" si="27"/>
        <v>2489</v>
      </c>
      <c r="X43" s="118"/>
      <c r="Y43" t="s">
        <v>864</v>
      </c>
      <c r="Z43" s="67">
        <f t="shared" si="28"/>
        <v>2489</v>
      </c>
      <c r="AA43" s="13">
        <f t="shared" si="29"/>
        <v>35</v>
      </c>
      <c r="AB43" s="17">
        <f t="shared" si="30"/>
        <v>11</v>
      </c>
      <c r="AC43" s="163" t="str">
        <f t="shared" si="31"/>
        <v>PNR</v>
      </c>
      <c r="AD43" s="119">
        <v>46208</v>
      </c>
      <c r="AE43" s="120">
        <v>0.2951388888888889</v>
      </c>
      <c r="AF43" s="121">
        <v>46208</v>
      </c>
      <c r="AG43" s="122">
        <v>0.99652777777777779</v>
      </c>
      <c r="AH43" s="83">
        <f t="shared" si="33"/>
        <v>0.70138888889050577</v>
      </c>
      <c r="AI43" s="115">
        <v>46209</v>
      </c>
      <c r="AJ43" s="116">
        <v>0.63541666666666663</v>
      </c>
      <c r="AK43" s="83">
        <f t="shared" si="32"/>
        <v>0.63888888888322981</v>
      </c>
      <c r="AL43" s="85"/>
      <c r="AM43" s="254"/>
      <c r="AN43" s="254"/>
      <c r="AO43" s="255"/>
    </row>
    <row r="44" spans="2:41" x14ac:dyDescent="0.25">
      <c r="B44" s="321">
        <v>36</v>
      </c>
      <c r="C44" s="17">
        <v>12</v>
      </c>
      <c r="D44" s="554" t="s">
        <v>864</v>
      </c>
      <c r="E44" s="117" t="s">
        <v>823</v>
      </c>
      <c r="F44" s="4" t="str">
        <f t="shared" si="19"/>
        <v>PNR</v>
      </c>
      <c r="G44" s="4">
        <f t="shared" si="20"/>
        <v>16.3</v>
      </c>
      <c r="H44" s="4" t="str">
        <f t="shared" si="21"/>
        <v>EN31</v>
      </c>
      <c r="I44" s="4">
        <f t="shared" si="22"/>
        <v>1759</v>
      </c>
      <c r="J44" s="247">
        <v>82</v>
      </c>
      <c r="K44" s="117" t="s">
        <v>824</v>
      </c>
      <c r="L44" s="4" t="str">
        <f t="shared" si="23"/>
        <v>PNR</v>
      </c>
      <c r="M44" s="4">
        <f t="shared" si="24"/>
        <v>16.3</v>
      </c>
      <c r="N44" s="4" t="str">
        <f t="shared" si="25"/>
        <v>EN31</v>
      </c>
      <c r="O44" s="4">
        <f t="shared" si="26"/>
        <v>725</v>
      </c>
      <c r="P44" s="247">
        <v>82</v>
      </c>
      <c r="Q44" s="117"/>
      <c r="R44" s="4" t="str">
        <f t="shared" si="8"/>
        <v/>
      </c>
      <c r="S44" s="4" t="str">
        <f t="shared" si="9"/>
        <v/>
      </c>
      <c r="T44" s="4" t="str">
        <f t="shared" si="10"/>
        <v/>
      </c>
      <c r="U44" s="4" t="str">
        <f t="shared" si="11"/>
        <v/>
      </c>
      <c r="V44" s="247"/>
      <c r="W44" s="67">
        <f t="shared" si="27"/>
        <v>2484</v>
      </c>
      <c r="X44" s="118"/>
      <c r="Y44" t="s">
        <v>864</v>
      </c>
      <c r="Z44" s="67">
        <f t="shared" si="28"/>
        <v>2484</v>
      </c>
      <c r="AA44" s="13">
        <f t="shared" si="29"/>
        <v>36</v>
      </c>
      <c r="AB44" s="17">
        <f t="shared" si="30"/>
        <v>12</v>
      </c>
      <c r="AC44" s="163" t="str">
        <f t="shared" si="31"/>
        <v>PNR</v>
      </c>
      <c r="AD44" s="119">
        <v>46208</v>
      </c>
      <c r="AE44" s="120">
        <v>0.9770833333333333</v>
      </c>
      <c r="AF44" s="121">
        <v>46209</v>
      </c>
      <c r="AG44" s="122">
        <v>0.65972222222222221</v>
      </c>
      <c r="AH44" s="83">
        <f t="shared" si="33"/>
        <v>0.68263888888759539</v>
      </c>
      <c r="AI44" s="115">
        <v>46210</v>
      </c>
      <c r="AJ44" s="116">
        <v>0.18402777777777779</v>
      </c>
      <c r="AK44" s="83">
        <f t="shared" si="32"/>
        <v>0.52430555556202307</v>
      </c>
      <c r="AL44" s="85"/>
      <c r="AM44" s="254"/>
      <c r="AN44" s="254"/>
      <c r="AO44" s="255"/>
    </row>
    <row r="45" spans="2:41" x14ac:dyDescent="0.25">
      <c r="B45" s="321">
        <v>37</v>
      </c>
      <c r="C45" s="17">
        <v>11</v>
      </c>
      <c r="D45" s="554" t="s">
        <v>864</v>
      </c>
      <c r="E45" s="117">
        <v>400607</v>
      </c>
      <c r="F45" s="4" t="str">
        <f t="shared" si="19"/>
        <v>PNR</v>
      </c>
      <c r="G45" s="4">
        <f t="shared" si="20"/>
        <v>14</v>
      </c>
      <c r="H45" s="4" t="str">
        <f t="shared" si="21"/>
        <v>EN31</v>
      </c>
      <c r="I45" s="4">
        <f t="shared" si="22"/>
        <v>2468</v>
      </c>
      <c r="J45" s="247">
        <v>84</v>
      </c>
      <c r="K45" s="117"/>
      <c r="L45" s="4" t="str">
        <f t="shared" si="23"/>
        <v/>
      </c>
      <c r="M45" s="4" t="str">
        <f t="shared" si="24"/>
        <v/>
      </c>
      <c r="N45" s="4" t="str">
        <f t="shared" si="25"/>
        <v/>
      </c>
      <c r="O45" s="4" t="str">
        <f t="shared" si="26"/>
        <v/>
      </c>
      <c r="P45" s="247"/>
      <c r="Q45" s="117"/>
      <c r="R45" s="4" t="str">
        <f t="shared" si="8"/>
        <v/>
      </c>
      <c r="S45" s="4" t="str">
        <f t="shared" si="9"/>
        <v/>
      </c>
      <c r="T45" s="4" t="str">
        <f t="shared" si="10"/>
        <v/>
      </c>
      <c r="U45" s="4" t="str">
        <f t="shared" si="11"/>
        <v/>
      </c>
      <c r="V45" s="247"/>
      <c r="W45" s="67">
        <f t="shared" si="27"/>
        <v>2468</v>
      </c>
      <c r="X45" s="118"/>
      <c r="Y45" t="s">
        <v>864</v>
      </c>
      <c r="Z45" s="67">
        <f t="shared" si="28"/>
        <v>2468</v>
      </c>
      <c r="AA45" s="13">
        <f t="shared" si="29"/>
        <v>37</v>
      </c>
      <c r="AB45" s="17">
        <f t="shared" si="30"/>
        <v>11</v>
      </c>
      <c r="AC45" s="163" t="str">
        <f t="shared" si="31"/>
        <v>PNR</v>
      </c>
      <c r="AD45" s="119">
        <v>46209</v>
      </c>
      <c r="AE45" s="120">
        <v>0.73124999999999996</v>
      </c>
      <c r="AF45" s="121">
        <v>46210</v>
      </c>
      <c r="AG45" s="122">
        <v>0.3611111111111111</v>
      </c>
      <c r="AH45" s="83">
        <f t="shared" si="33"/>
        <v>0.62986111111240461</v>
      </c>
      <c r="AI45" s="115">
        <v>46211</v>
      </c>
      <c r="AJ45" s="116">
        <v>6.9444444444444447E-4</v>
      </c>
      <c r="AK45" s="83">
        <f t="shared" si="32"/>
        <v>0.63958333333721384</v>
      </c>
      <c r="AL45" s="85"/>
      <c r="AM45" s="254"/>
      <c r="AN45" s="254"/>
      <c r="AO45" s="255"/>
    </row>
    <row r="46" spans="2:41" x14ac:dyDescent="0.25">
      <c r="B46" s="321">
        <v>38</v>
      </c>
      <c r="C46" s="17">
        <v>12</v>
      </c>
      <c r="D46" s="554" t="s">
        <v>864</v>
      </c>
      <c r="E46" s="117">
        <v>400610</v>
      </c>
      <c r="F46" s="4" t="str">
        <f t="shared" si="19"/>
        <v>PNR</v>
      </c>
      <c r="G46" s="4">
        <f t="shared" si="20"/>
        <v>16.3</v>
      </c>
      <c r="H46" s="4" t="str">
        <f t="shared" si="21"/>
        <v>EN31</v>
      </c>
      <c r="I46" s="4">
        <f t="shared" si="22"/>
        <v>2471</v>
      </c>
      <c r="J46" s="247">
        <v>85</v>
      </c>
      <c r="K46" s="117" t="s">
        <v>971</v>
      </c>
      <c r="L46" s="4" t="str">
        <f t="shared" si="23"/>
        <v/>
      </c>
      <c r="M46" s="4" t="str">
        <f t="shared" si="24"/>
        <v/>
      </c>
      <c r="N46" s="4" t="str">
        <f t="shared" si="25"/>
        <v/>
      </c>
      <c r="O46" s="4" t="str">
        <f t="shared" si="26"/>
        <v/>
      </c>
      <c r="P46" s="247"/>
      <c r="Q46" s="117"/>
      <c r="R46" s="4" t="str">
        <f t="shared" si="8"/>
        <v/>
      </c>
      <c r="S46" s="4" t="str">
        <f t="shared" si="9"/>
        <v/>
      </c>
      <c r="T46" s="4" t="str">
        <f t="shared" si="10"/>
        <v/>
      </c>
      <c r="U46" s="4" t="str">
        <f t="shared" si="11"/>
        <v/>
      </c>
      <c r="V46" s="247"/>
      <c r="W46" s="67">
        <f t="shared" si="27"/>
        <v>2471</v>
      </c>
      <c r="X46" s="118"/>
      <c r="Y46" t="s">
        <v>864</v>
      </c>
      <c r="Z46" s="67">
        <f t="shared" si="28"/>
        <v>2471</v>
      </c>
      <c r="AA46" s="13">
        <f t="shared" si="29"/>
        <v>38</v>
      </c>
      <c r="AB46" s="17">
        <f t="shared" si="30"/>
        <v>12</v>
      </c>
      <c r="AC46" s="163" t="str">
        <f t="shared" si="31"/>
        <v>PNR</v>
      </c>
      <c r="AD46" s="119">
        <v>46210</v>
      </c>
      <c r="AE46" s="120">
        <v>0.40277777777777779</v>
      </c>
      <c r="AF46" s="121">
        <v>46211</v>
      </c>
      <c r="AG46" s="122">
        <v>9.0277777777777776E-2</v>
      </c>
      <c r="AH46" s="83">
        <f t="shared" si="33"/>
        <v>0.6875</v>
      </c>
      <c r="AI46" s="115">
        <v>46211</v>
      </c>
      <c r="AJ46" s="116">
        <v>0.62152777777777779</v>
      </c>
      <c r="AK46" s="83">
        <f t="shared" si="32"/>
        <v>0.53125</v>
      </c>
      <c r="AL46" s="85"/>
      <c r="AM46" s="254"/>
      <c r="AN46" s="254"/>
      <c r="AO46" s="255"/>
    </row>
    <row r="47" spans="2:41" x14ac:dyDescent="0.25">
      <c r="B47" s="321">
        <v>39</v>
      </c>
      <c r="C47" s="17">
        <v>12</v>
      </c>
      <c r="D47" s="554" t="s">
        <v>864</v>
      </c>
      <c r="E47" s="117">
        <v>400605</v>
      </c>
      <c r="F47" s="4" t="str">
        <f t="shared" si="19"/>
        <v>PNR</v>
      </c>
      <c r="G47" s="4">
        <f t="shared" si="20"/>
        <v>14</v>
      </c>
      <c r="H47" s="4" t="str">
        <f t="shared" si="21"/>
        <v>EN31</v>
      </c>
      <c r="I47" s="4">
        <f t="shared" si="22"/>
        <v>2440</v>
      </c>
      <c r="J47" s="247">
        <v>85</v>
      </c>
      <c r="K47" s="117"/>
      <c r="L47" s="4" t="str">
        <f t="shared" si="23"/>
        <v/>
      </c>
      <c r="M47" s="4" t="str">
        <f t="shared" si="24"/>
        <v/>
      </c>
      <c r="N47" s="4" t="str">
        <f t="shared" si="25"/>
        <v/>
      </c>
      <c r="O47" s="4" t="str">
        <f t="shared" si="26"/>
        <v/>
      </c>
      <c r="P47" s="247"/>
      <c r="Q47" s="117"/>
      <c r="R47" s="4" t="str">
        <f t="shared" si="8"/>
        <v/>
      </c>
      <c r="S47" s="4" t="str">
        <f t="shared" si="9"/>
        <v/>
      </c>
      <c r="T47" s="4" t="str">
        <f t="shared" si="10"/>
        <v/>
      </c>
      <c r="U47" s="4" t="str">
        <f t="shared" si="11"/>
        <v/>
      </c>
      <c r="V47" s="247"/>
      <c r="W47" s="67">
        <f t="shared" si="27"/>
        <v>2440</v>
      </c>
      <c r="X47" s="118"/>
      <c r="Y47" t="s">
        <v>864</v>
      </c>
      <c r="Z47" s="67">
        <f t="shared" si="28"/>
        <v>2440</v>
      </c>
      <c r="AA47" s="13">
        <f t="shared" si="29"/>
        <v>39</v>
      </c>
      <c r="AB47" s="17">
        <f t="shared" si="30"/>
        <v>12</v>
      </c>
      <c r="AC47" s="163" t="str">
        <f t="shared" si="31"/>
        <v>PNR</v>
      </c>
      <c r="AD47" s="119">
        <v>46211</v>
      </c>
      <c r="AE47" s="120">
        <v>0.64861111111111114</v>
      </c>
      <c r="AF47" s="121">
        <v>46212</v>
      </c>
      <c r="AG47" s="122">
        <v>0.32083333333333336</v>
      </c>
      <c r="AH47" s="83">
        <f t="shared" si="33"/>
        <v>0.67222222222335404</v>
      </c>
      <c r="AI47" s="115">
        <v>46212</v>
      </c>
      <c r="AJ47" s="116">
        <v>0.85069444444444442</v>
      </c>
      <c r="AK47" s="83">
        <f t="shared" si="32"/>
        <v>0.52986111111385981</v>
      </c>
      <c r="AL47" s="85"/>
      <c r="AM47" s="254"/>
      <c r="AN47" s="254"/>
      <c r="AO47" s="255"/>
    </row>
    <row r="48" spans="2:41" x14ac:dyDescent="0.25">
      <c r="B48" s="321">
        <v>40</v>
      </c>
      <c r="C48" s="17">
        <v>12</v>
      </c>
      <c r="D48" s="554" t="s">
        <v>864</v>
      </c>
      <c r="E48" s="117">
        <v>400606</v>
      </c>
      <c r="F48" s="4" t="str">
        <f t="shared" si="19"/>
        <v>PNR</v>
      </c>
      <c r="G48" s="4">
        <f t="shared" si="20"/>
        <v>14</v>
      </c>
      <c r="H48" s="4" t="str">
        <f t="shared" si="21"/>
        <v>EN31</v>
      </c>
      <c r="I48" s="4">
        <f t="shared" si="22"/>
        <v>2408</v>
      </c>
      <c r="J48" s="247">
        <v>82</v>
      </c>
      <c r="K48" s="117"/>
      <c r="L48" s="4" t="str">
        <f t="shared" si="23"/>
        <v/>
      </c>
      <c r="M48" s="4" t="str">
        <f t="shared" si="24"/>
        <v/>
      </c>
      <c r="N48" s="4" t="str">
        <f t="shared" si="25"/>
        <v/>
      </c>
      <c r="O48" s="4" t="str">
        <f t="shared" si="26"/>
        <v/>
      </c>
      <c r="P48" s="247"/>
      <c r="Q48" s="117"/>
      <c r="R48" s="4" t="str">
        <f t="shared" si="8"/>
        <v/>
      </c>
      <c r="S48" s="4" t="str">
        <f t="shared" si="9"/>
        <v/>
      </c>
      <c r="T48" s="4" t="str">
        <f t="shared" si="10"/>
        <v/>
      </c>
      <c r="U48" s="4" t="str">
        <f t="shared" si="11"/>
        <v/>
      </c>
      <c r="V48" s="247"/>
      <c r="W48" s="67">
        <f t="shared" si="27"/>
        <v>2408</v>
      </c>
      <c r="X48" s="118"/>
      <c r="Y48" t="s">
        <v>864</v>
      </c>
      <c r="Z48" s="67">
        <f t="shared" si="28"/>
        <v>2408</v>
      </c>
      <c r="AA48" s="13">
        <f t="shared" si="29"/>
        <v>40</v>
      </c>
      <c r="AB48" s="17">
        <f t="shared" si="30"/>
        <v>12</v>
      </c>
      <c r="AC48" s="163" t="str">
        <f t="shared" si="31"/>
        <v>PNR</v>
      </c>
      <c r="AD48" s="119">
        <v>46212</v>
      </c>
      <c r="AE48" s="120">
        <v>0.87847222222222221</v>
      </c>
      <c r="AF48" s="121">
        <v>46213</v>
      </c>
      <c r="AG48" s="122">
        <v>0.54722222222222228</v>
      </c>
      <c r="AH48" s="83">
        <f t="shared" si="33"/>
        <v>0.66875000000436557</v>
      </c>
      <c r="AI48" s="115">
        <v>46214</v>
      </c>
      <c r="AJ48" s="116">
        <v>5.2083333333333336E-2</v>
      </c>
      <c r="AK48" s="83">
        <f t="shared" si="32"/>
        <v>0.50486111111240461</v>
      </c>
      <c r="AL48" s="85"/>
      <c r="AM48" s="254"/>
      <c r="AN48" s="254"/>
      <c r="AO48" s="255"/>
    </row>
    <row r="49" spans="2:41" x14ac:dyDescent="0.25">
      <c r="B49" s="321">
        <v>41</v>
      </c>
      <c r="C49" s="17">
        <v>12</v>
      </c>
      <c r="D49" s="554" t="s">
        <v>864</v>
      </c>
      <c r="E49" s="530" t="s">
        <v>905</v>
      </c>
      <c r="F49" s="4" t="str">
        <f t="shared" si="19"/>
        <v>PNR</v>
      </c>
      <c r="G49" s="4">
        <f t="shared" si="20"/>
        <v>20</v>
      </c>
      <c r="H49" s="4" t="str">
        <f t="shared" si="21"/>
        <v>EN31</v>
      </c>
      <c r="I49" s="4">
        <f t="shared" si="22"/>
        <v>2473</v>
      </c>
      <c r="J49" s="531" t="s">
        <v>850</v>
      </c>
      <c r="K49" s="117"/>
      <c r="L49" s="4" t="str">
        <f t="shared" si="23"/>
        <v/>
      </c>
      <c r="M49" s="4" t="str">
        <f t="shared" si="24"/>
        <v/>
      </c>
      <c r="N49" s="4" t="str">
        <f t="shared" si="25"/>
        <v/>
      </c>
      <c r="O49" s="4" t="str">
        <f t="shared" si="26"/>
        <v/>
      </c>
      <c r="P49" s="247"/>
      <c r="Q49" s="117"/>
      <c r="R49" s="4" t="str">
        <f t="shared" si="8"/>
        <v/>
      </c>
      <c r="S49" s="4" t="str">
        <f t="shared" si="9"/>
        <v/>
      </c>
      <c r="T49" s="4" t="str">
        <f t="shared" si="10"/>
        <v/>
      </c>
      <c r="U49" s="4" t="str">
        <f t="shared" si="11"/>
        <v/>
      </c>
      <c r="V49" s="247"/>
      <c r="W49" s="67">
        <f t="shared" si="27"/>
        <v>2473</v>
      </c>
      <c r="X49" s="118"/>
      <c r="Y49" t="s">
        <v>864</v>
      </c>
      <c r="Z49" s="67">
        <f t="shared" si="28"/>
        <v>2473</v>
      </c>
      <c r="AA49" s="13">
        <f t="shared" si="29"/>
        <v>41</v>
      </c>
      <c r="AB49" s="17">
        <f t="shared" si="30"/>
        <v>12</v>
      </c>
      <c r="AC49" s="163" t="str">
        <f t="shared" si="31"/>
        <v>PNR</v>
      </c>
      <c r="AD49" s="119">
        <v>46214</v>
      </c>
      <c r="AE49" s="120">
        <v>8.819444444444445E-2</v>
      </c>
      <c r="AF49" s="121">
        <v>46214</v>
      </c>
      <c r="AG49" s="122">
        <v>0.73611111111111116</v>
      </c>
      <c r="AH49" s="83">
        <f t="shared" ref="AH49:AH55" si="34">IF(AG49&lt;&gt;0,((AF49+AG49)-(AD49+AE49)),"")</f>
        <v>0.64791666666860692</v>
      </c>
      <c r="AI49" s="115">
        <v>46215</v>
      </c>
      <c r="AJ49" s="116">
        <v>0.35416666666666669</v>
      </c>
      <c r="AK49" s="83">
        <f t="shared" si="32"/>
        <v>0.61805555555474712</v>
      </c>
      <c r="AL49" s="85"/>
      <c r="AM49" s="254"/>
      <c r="AN49" s="254"/>
      <c r="AO49" s="255"/>
    </row>
    <row r="50" spans="2:41" x14ac:dyDescent="0.25">
      <c r="B50" s="321">
        <v>42</v>
      </c>
      <c r="C50" s="17">
        <v>11</v>
      </c>
      <c r="D50" s="554" t="s">
        <v>864</v>
      </c>
      <c r="E50" s="117">
        <v>340702</v>
      </c>
      <c r="F50" s="4" t="str">
        <f t="shared" si="19"/>
        <v>BHARAT</v>
      </c>
      <c r="G50" s="4">
        <f t="shared" si="20"/>
        <v>16.5</v>
      </c>
      <c r="H50" s="4" t="str">
        <f t="shared" si="21"/>
        <v>EN31</v>
      </c>
      <c r="I50" s="4">
        <f t="shared" si="22"/>
        <v>2015</v>
      </c>
      <c r="J50" s="247">
        <v>84</v>
      </c>
      <c r="K50" s="117"/>
      <c r="L50" s="4" t="str">
        <f t="shared" si="23"/>
        <v/>
      </c>
      <c r="M50" s="4" t="str">
        <f t="shared" si="24"/>
        <v/>
      </c>
      <c r="N50" s="4" t="str">
        <f t="shared" si="25"/>
        <v/>
      </c>
      <c r="O50" s="4" t="str">
        <f t="shared" si="26"/>
        <v/>
      </c>
      <c r="P50" s="247"/>
      <c r="Q50" s="117"/>
      <c r="R50" s="4" t="str">
        <f t="shared" si="8"/>
        <v/>
      </c>
      <c r="S50" s="4" t="str">
        <f t="shared" si="9"/>
        <v/>
      </c>
      <c r="T50" s="4" t="str">
        <f t="shared" si="10"/>
        <v/>
      </c>
      <c r="U50" s="4" t="str">
        <f t="shared" si="11"/>
        <v/>
      </c>
      <c r="V50" s="247"/>
      <c r="W50" s="67">
        <f t="shared" si="27"/>
        <v>2015</v>
      </c>
      <c r="X50" s="118"/>
      <c r="Y50" t="s">
        <v>864</v>
      </c>
      <c r="Z50" s="67">
        <f t="shared" si="28"/>
        <v>2015</v>
      </c>
      <c r="AA50" s="13">
        <f t="shared" si="29"/>
        <v>42</v>
      </c>
      <c r="AB50" s="17">
        <f t="shared" si="30"/>
        <v>11</v>
      </c>
      <c r="AC50" s="163" t="str">
        <f t="shared" si="31"/>
        <v>BHARAT</v>
      </c>
      <c r="AD50" s="119">
        <v>46214</v>
      </c>
      <c r="AE50" s="120">
        <v>0.88194444444444442</v>
      </c>
      <c r="AF50" s="121">
        <v>46215</v>
      </c>
      <c r="AG50" s="122">
        <v>0.70486111111111116</v>
      </c>
      <c r="AH50" s="83">
        <f t="shared" si="34"/>
        <v>0.82291666666424135</v>
      </c>
      <c r="AI50" s="115">
        <v>46216</v>
      </c>
      <c r="AJ50" s="116">
        <v>0.34027777777777779</v>
      </c>
      <c r="AK50" s="83">
        <f t="shared" si="32"/>
        <v>0.63541666667151731</v>
      </c>
      <c r="AL50" s="85"/>
      <c r="AM50" s="254"/>
      <c r="AN50" s="254"/>
      <c r="AO50" s="255"/>
    </row>
    <row r="51" spans="2:41" x14ac:dyDescent="0.25">
      <c r="B51" s="321">
        <v>43</v>
      </c>
      <c r="C51" s="17">
        <v>12</v>
      </c>
      <c r="D51" s="554" t="s">
        <v>864</v>
      </c>
      <c r="E51" s="117">
        <v>400615</v>
      </c>
      <c r="F51" s="4" t="str">
        <f t="shared" si="19"/>
        <v>PNR</v>
      </c>
      <c r="G51" s="4">
        <f t="shared" si="20"/>
        <v>22.3</v>
      </c>
      <c r="H51" s="4" t="str">
        <f t="shared" si="21"/>
        <v>EN31</v>
      </c>
      <c r="I51" s="4">
        <f t="shared" si="22"/>
        <v>2475</v>
      </c>
      <c r="J51" s="247">
        <v>84</v>
      </c>
      <c r="K51" s="117"/>
      <c r="L51" s="4" t="str">
        <f t="shared" si="23"/>
        <v/>
      </c>
      <c r="M51" s="4" t="str">
        <f t="shared" si="24"/>
        <v/>
      </c>
      <c r="N51" s="4" t="str">
        <f t="shared" si="25"/>
        <v/>
      </c>
      <c r="O51" s="4" t="str">
        <f t="shared" si="26"/>
        <v/>
      </c>
      <c r="P51" s="247"/>
      <c r="Q51" s="117"/>
      <c r="R51" s="4" t="str">
        <f t="shared" si="8"/>
        <v/>
      </c>
      <c r="S51" s="4" t="str">
        <f t="shared" si="9"/>
        <v/>
      </c>
      <c r="T51" s="4" t="str">
        <f t="shared" si="10"/>
        <v/>
      </c>
      <c r="U51" s="4" t="str">
        <f t="shared" si="11"/>
        <v/>
      </c>
      <c r="V51" s="247"/>
      <c r="W51" s="67">
        <f t="shared" si="27"/>
        <v>2475</v>
      </c>
      <c r="X51" s="118"/>
      <c r="Y51" t="s">
        <v>864</v>
      </c>
      <c r="Z51" s="67">
        <f t="shared" si="28"/>
        <v>2475</v>
      </c>
      <c r="AA51" s="13">
        <f t="shared" si="29"/>
        <v>43</v>
      </c>
      <c r="AB51" s="17">
        <f t="shared" si="30"/>
        <v>12</v>
      </c>
      <c r="AC51" s="163" t="str">
        <f t="shared" si="31"/>
        <v>PNR</v>
      </c>
      <c r="AD51" s="119">
        <v>46215</v>
      </c>
      <c r="AE51" s="120">
        <v>0.39583333333333331</v>
      </c>
      <c r="AF51" s="121">
        <v>46216</v>
      </c>
      <c r="AG51" s="122">
        <v>0.37152777777777779</v>
      </c>
      <c r="AH51" s="83">
        <f t="shared" si="34"/>
        <v>0.97569444444525288</v>
      </c>
      <c r="AI51" s="115">
        <v>46216</v>
      </c>
      <c r="AJ51" s="116">
        <v>0.88888888888888884</v>
      </c>
      <c r="AK51" s="83">
        <f t="shared" si="32"/>
        <v>0.51736111110949423</v>
      </c>
      <c r="AL51" s="85"/>
      <c r="AM51" s="254"/>
      <c r="AN51" s="254"/>
      <c r="AO51" s="255"/>
    </row>
    <row r="52" spans="2:41" x14ac:dyDescent="0.25">
      <c r="B52" s="321">
        <v>44</v>
      </c>
      <c r="C52" s="17">
        <v>11</v>
      </c>
      <c r="D52" s="554" t="s">
        <v>864</v>
      </c>
      <c r="E52" s="117">
        <v>410701</v>
      </c>
      <c r="F52" s="4" t="str">
        <f t="shared" si="19"/>
        <v>PF</v>
      </c>
      <c r="G52" s="4">
        <f t="shared" si="20"/>
        <v>10</v>
      </c>
      <c r="H52" s="4" t="str">
        <f t="shared" si="21"/>
        <v>15B25</v>
      </c>
      <c r="I52" s="4">
        <f t="shared" si="22"/>
        <v>2060</v>
      </c>
      <c r="J52" s="247">
        <v>84</v>
      </c>
      <c r="K52" s="117"/>
      <c r="L52" s="4" t="str">
        <f t="shared" si="23"/>
        <v/>
      </c>
      <c r="M52" s="4" t="str">
        <f t="shared" si="24"/>
        <v/>
      </c>
      <c r="N52" s="4" t="str">
        <f t="shared" si="25"/>
        <v/>
      </c>
      <c r="O52" s="4" t="str">
        <f t="shared" si="26"/>
        <v/>
      </c>
      <c r="P52" s="247"/>
      <c r="Q52" s="117"/>
      <c r="R52" s="4" t="str">
        <f t="shared" si="8"/>
        <v/>
      </c>
      <c r="S52" s="4" t="str">
        <f t="shared" si="9"/>
        <v/>
      </c>
      <c r="T52" s="4" t="str">
        <f t="shared" si="10"/>
        <v/>
      </c>
      <c r="U52" s="4" t="str">
        <f t="shared" si="11"/>
        <v/>
      </c>
      <c r="V52" s="247"/>
      <c r="W52" s="67">
        <f t="shared" si="27"/>
        <v>2060</v>
      </c>
      <c r="X52" s="118"/>
      <c r="Y52" t="s">
        <v>864</v>
      </c>
      <c r="Z52" s="67">
        <f t="shared" si="28"/>
        <v>2060</v>
      </c>
      <c r="AA52" s="13">
        <f t="shared" si="29"/>
        <v>44</v>
      </c>
      <c r="AB52" s="17">
        <f t="shared" si="30"/>
        <v>11</v>
      </c>
      <c r="AC52" s="163" t="str">
        <f t="shared" si="31"/>
        <v>PF</v>
      </c>
      <c r="AD52" s="119">
        <v>46216</v>
      </c>
      <c r="AE52" s="120">
        <v>0.37847222222222221</v>
      </c>
      <c r="AF52" s="121">
        <v>46216</v>
      </c>
      <c r="AG52" s="122">
        <v>0.83333333333333337</v>
      </c>
      <c r="AH52" s="83">
        <f t="shared" si="34"/>
        <v>0.45486111111677019</v>
      </c>
      <c r="AI52" s="115">
        <v>46217</v>
      </c>
      <c r="AJ52" s="116">
        <v>0.4548611111111111</v>
      </c>
      <c r="AK52" s="83">
        <f t="shared" si="32"/>
        <v>0.62152777777373558</v>
      </c>
      <c r="AL52" s="85"/>
      <c r="AM52" s="254"/>
      <c r="AN52" s="254"/>
      <c r="AO52" s="255"/>
    </row>
    <row r="53" spans="2:41" x14ac:dyDescent="0.25">
      <c r="B53" s="321">
        <v>45</v>
      </c>
      <c r="C53" s="17">
        <v>12</v>
      </c>
      <c r="D53" s="554" t="s">
        <v>864</v>
      </c>
      <c r="E53" s="117">
        <v>400613</v>
      </c>
      <c r="F53" s="4" t="str">
        <f t="shared" si="19"/>
        <v>PNR</v>
      </c>
      <c r="G53" s="4">
        <f t="shared" si="20"/>
        <v>22.3</v>
      </c>
      <c r="H53" s="4" t="str">
        <f t="shared" si="21"/>
        <v>EN31</v>
      </c>
      <c r="I53" s="4">
        <f t="shared" si="22"/>
        <v>2480</v>
      </c>
      <c r="J53" s="247">
        <v>82</v>
      </c>
      <c r="K53" s="117"/>
      <c r="L53" s="4" t="str">
        <f t="shared" si="23"/>
        <v/>
      </c>
      <c r="M53" s="4" t="str">
        <f t="shared" si="24"/>
        <v/>
      </c>
      <c r="N53" s="4" t="str">
        <f t="shared" si="25"/>
        <v/>
      </c>
      <c r="O53" s="4" t="str">
        <f t="shared" si="26"/>
        <v/>
      </c>
      <c r="P53" s="247"/>
      <c r="Q53" s="117"/>
      <c r="R53" s="4" t="str">
        <f t="shared" si="8"/>
        <v/>
      </c>
      <c r="S53" s="4" t="str">
        <f t="shared" si="9"/>
        <v/>
      </c>
      <c r="T53" s="4" t="str">
        <f t="shared" si="10"/>
        <v/>
      </c>
      <c r="U53" s="4" t="str">
        <f t="shared" si="11"/>
        <v/>
      </c>
      <c r="V53" s="247"/>
      <c r="W53" s="67">
        <f t="shared" si="27"/>
        <v>2480</v>
      </c>
      <c r="X53" s="118"/>
      <c r="Y53" t="s">
        <v>864</v>
      </c>
      <c r="Z53" s="67">
        <f t="shared" si="28"/>
        <v>2480</v>
      </c>
      <c r="AA53" s="13">
        <f t="shared" si="29"/>
        <v>45</v>
      </c>
      <c r="AB53" s="17">
        <f t="shared" si="30"/>
        <v>12</v>
      </c>
      <c r="AC53" s="163" t="str">
        <f t="shared" si="31"/>
        <v>PNR</v>
      </c>
      <c r="AD53" s="119">
        <v>46216</v>
      </c>
      <c r="AE53" s="120">
        <v>0.93055555555555558</v>
      </c>
      <c r="AF53" s="121">
        <v>46217</v>
      </c>
      <c r="AG53" s="122">
        <v>0.65416666666666667</v>
      </c>
      <c r="AH53" s="83">
        <f t="shared" si="34"/>
        <v>0.72361111111240461</v>
      </c>
      <c r="AI53" s="115">
        <v>46218</v>
      </c>
      <c r="AJ53" s="116">
        <v>0.75</v>
      </c>
      <c r="AK53" s="83">
        <f t="shared" si="32"/>
        <v>1.0958333333328483</v>
      </c>
      <c r="AL53" s="85"/>
      <c r="AM53" s="254"/>
      <c r="AN53" s="254"/>
      <c r="AO53" s="255"/>
    </row>
    <row r="54" spans="2:41" x14ac:dyDescent="0.25">
      <c r="B54" s="321">
        <v>46</v>
      </c>
      <c r="C54" s="17">
        <v>11</v>
      </c>
      <c r="D54" s="554" t="s">
        <v>864</v>
      </c>
      <c r="E54" s="117">
        <v>340703</v>
      </c>
      <c r="F54" s="4" t="str">
        <f t="shared" si="19"/>
        <v>BHARAT</v>
      </c>
      <c r="G54" s="4">
        <f t="shared" si="20"/>
        <v>16.5</v>
      </c>
      <c r="H54" s="4" t="str">
        <f t="shared" si="21"/>
        <v>EN31</v>
      </c>
      <c r="I54" s="4">
        <f t="shared" si="22"/>
        <v>2030</v>
      </c>
      <c r="J54" s="247">
        <v>82</v>
      </c>
      <c r="K54" s="117"/>
      <c r="L54" s="4" t="str">
        <f t="shared" si="23"/>
        <v/>
      </c>
      <c r="M54" s="4" t="str">
        <f t="shared" si="24"/>
        <v/>
      </c>
      <c r="N54" s="4" t="str">
        <f t="shared" si="25"/>
        <v/>
      </c>
      <c r="O54" s="4" t="str">
        <f t="shared" si="26"/>
        <v/>
      </c>
      <c r="P54" s="247"/>
      <c r="Q54" s="117"/>
      <c r="R54" s="4" t="str">
        <f t="shared" si="8"/>
        <v/>
      </c>
      <c r="S54" s="4" t="str">
        <f t="shared" si="9"/>
        <v/>
      </c>
      <c r="T54" s="4" t="str">
        <f t="shared" si="10"/>
        <v/>
      </c>
      <c r="U54" s="4" t="str">
        <f t="shared" si="11"/>
        <v/>
      </c>
      <c r="V54" s="247"/>
      <c r="W54" s="67">
        <f t="shared" si="27"/>
        <v>2030</v>
      </c>
      <c r="X54" s="118"/>
      <c r="Y54" t="s">
        <v>864</v>
      </c>
      <c r="Z54" s="67">
        <f t="shared" si="28"/>
        <v>2030</v>
      </c>
      <c r="AA54" s="13">
        <f t="shared" si="29"/>
        <v>46</v>
      </c>
      <c r="AB54" s="17">
        <f t="shared" si="30"/>
        <v>11</v>
      </c>
      <c r="AC54" s="163" t="str">
        <f t="shared" si="31"/>
        <v>BHARAT</v>
      </c>
      <c r="AD54" s="119">
        <v>46217</v>
      </c>
      <c r="AE54" s="120">
        <v>0.65972222222222221</v>
      </c>
      <c r="AF54" s="121">
        <v>46218</v>
      </c>
      <c r="AG54" s="122">
        <v>0.32291666666666669</v>
      </c>
      <c r="AH54" s="83">
        <f t="shared" si="34"/>
        <v>0.66319444444525288</v>
      </c>
      <c r="AI54" s="115">
        <v>46218</v>
      </c>
      <c r="AJ54" s="116">
        <v>0.85416666666666663</v>
      </c>
      <c r="AK54" s="83">
        <f t="shared" si="32"/>
        <v>0.53125</v>
      </c>
      <c r="AL54" s="85"/>
      <c r="AM54" s="254"/>
      <c r="AN54" s="254"/>
      <c r="AO54" s="255"/>
    </row>
    <row r="55" spans="2:41" x14ac:dyDescent="0.25">
      <c r="B55" s="321">
        <v>47</v>
      </c>
      <c r="C55" s="17">
        <v>12</v>
      </c>
      <c r="D55" s="554" t="s">
        <v>864</v>
      </c>
      <c r="E55" s="117" t="s">
        <v>906</v>
      </c>
      <c r="F55" s="4" t="s">
        <v>74</v>
      </c>
      <c r="G55" s="4" t="str">
        <f t="shared" si="20"/>
        <v/>
      </c>
      <c r="H55" s="4" t="str">
        <f t="shared" si="21"/>
        <v/>
      </c>
      <c r="I55" s="4" t="str">
        <f t="shared" si="22"/>
        <v/>
      </c>
      <c r="J55" s="247">
        <v>81</v>
      </c>
      <c r="K55" s="117"/>
      <c r="L55" s="4" t="str">
        <f t="shared" si="23"/>
        <v/>
      </c>
      <c r="M55" s="4" t="str">
        <f t="shared" si="24"/>
        <v/>
      </c>
      <c r="N55" s="4" t="str">
        <f t="shared" si="25"/>
        <v/>
      </c>
      <c r="O55" s="4" t="str">
        <f t="shared" si="26"/>
        <v/>
      </c>
      <c r="P55" s="247"/>
      <c r="Q55" s="117"/>
      <c r="R55" s="4" t="str">
        <f t="shared" si="8"/>
        <v/>
      </c>
      <c r="S55" s="4" t="str">
        <f t="shared" si="9"/>
        <v/>
      </c>
      <c r="T55" s="4" t="str">
        <f t="shared" si="10"/>
        <v/>
      </c>
      <c r="U55" s="4" t="str">
        <f t="shared" si="11"/>
        <v/>
      </c>
      <c r="V55" s="247"/>
      <c r="W55" s="67" t="str">
        <f t="shared" si="27"/>
        <v/>
      </c>
      <c r="X55" s="118"/>
      <c r="Y55" t="s">
        <v>864</v>
      </c>
      <c r="Z55" s="67" t="str">
        <f t="shared" si="28"/>
        <v/>
      </c>
      <c r="AA55" s="13">
        <f t="shared" si="29"/>
        <v>47</v>
      </c>
      <c r="AB55" s="17">
        <f t="shared" si="30"/>
        <v>12</v>
      </c>
      <c r="AC55" s="163" t="str">
        <f t="shared" si="31"/>
        <v>PNR</v>
      </c>
      <c r="AD55" s="119">
        <v>46218</v>
      </c>
      <c r="AE55" s="120">
        <v>0.31944444444444442</v>
      </c>
      <c r="AF55" s="121">
        <v>46219</v>
      </c>
      <c r="AG55" s="122">
        <v>9.7222222222222224E-2</v>
      </c>
      <c r="AH55" s="83">
        <f t="shared" si="34"/>
        <v>0.77777777777373558</v>
      </c>
      <c r="AI55" s="115">
        <v>46219</v>
      </c>
      <c r="AJ55" s="116">
        <v>0.65625</v>
      </c>
      <c r="AK55" s="83">
        <f t="shared" si="32"/>
        <v>0.55902777778101154</v>
      </c>
      <c r="AL55" s="85"/>
      <c r="AM55" s="254"/>
      <c r="AN55" s="254"/>
      <c r="AO55" s="255"/>
    </row>
    <row r="56" spans="2:41" x14ac:dyDescent="0.25">
      <c r="B56" s="321">
        <v>48</v>
      </c>
      <c r="C56" s="17">
        <v>11</v>
      </c>
      <c r="D56" t="s">
        <v>872</v>
      </c>
      <c r="E56" s="117" t="s">
        <v>898</v>
      </c>
      <c r="F56" s="4" t="str">
        <f t="shared" si="19"/>
        <v>PNR</v>
      </c>
      <c r="G56" s="4">
        <f t="shared" si="20"/>
        <v>20</v>
      </c>
      <c r="H56" s="4" t="str">
        <f t="shared" si="21"/>
        <v>EN31</v>
      </c>
      <c r="I56" s="4">
        <f t="shared" si="22"/>
        <v>2455</v>
      </c>
      <c r="J56" s="247">
        <v>81</v>
      </c>
      <c r="K56" s="117"/>
      <c r="L56" s="4" t="str">
        <f t="shared" si="23"/>
        <v/>
      </c>
      <c r="M56" s="4" t="str">
        <f t="shared" si="24"/>
        <v/>
      </c>
      <c r="N56" s="4" t="str">
        <f t="shared" si="25"/>
        <v/>
      </c>
      <c r="O56" s="4" t="str">
        <f t="shared" si="26"/>
        <v/>
      </c>
      <c r="P56" s="247"/>
      <c r="Q56" s="117"/>
      <c r="R56" s="4" t="str">
        <f t="shared" si="8"/>
        <v/>
      </c>
      <c r="S56" s="4" t="str">
        <f t="shared" si="9"/>
        <v/>
      </c>
      <c r="T56" s="4" t="str">
        <f t="shared" si="10"/>
        <v/>
      </c>
      <c r="U56" s="4" t="str">
        <f t="shared" si="11"/>
        <v/>
      </c>
      <c r="V56" s="247"/>
      <c r="W56" s="67">
        <f t="shared" si="27"/>
        <v>2455</v>
      </c>
      <c r="X56" s="118"/>
      <c r="Y56" t="s">
        <v>872</v>
      </c>
      <c r="Z56" s="67">
        <f t="shared" si="28"/>
        <v>2455</v>
      </c>
      <c r="AA56" s="13">
        <f t="shared" si="29"/>
        <v>48</v>
      </c>
      <c r="AB56" s="17">
        <f t="shared" si="30"/>
        <v>11</v>
      </c>
      <c r="AC56" s="163" t="str">
        <f t="shared" si="31"/>
        <v>PNR</v>
      </c>
      <c r="AD56" s="119">
        <v>46219</v>
      </c>
      <c r="AE56" s="120">
        <v>0.68402777777777779</v>
      </c>
      <c r="AF56" s="121">
        <v>46220</v>
      </c>
      <c r="AG56" s="122">
        <v>0.19791666666666666</v>
      </c>
      <c r="AH56" s="83">
        <f t="shared" ref="AH56:AH62" si="35">IF(AG56&lt;&gt;0,((AF56+AG56)-(AD56+AE56)),"")</f>
        <v>0.51388888888322981</v>
      </c>
      <c r="AI56" s="115">
        <v>46220</v>
      </c>
      <c r="AJ56" s="116">
        <v>0.84722222222222221</v>
      </c>
      <c r="AK56" s="83">
        <f t="shared" si="32"/>
        <v>0.64930555555474712</v>
      </c>
      <c r="AL56" s="85"/>
      <c r="AM56" s="254"/>
      <c r="AN56" s="254"/>
      <c r="AO56" s="255"/>
    </row>
    <row r="57" spans="2:41" x14ac:dyDescent="0.25">
      <c r="B57" s="321">
        <v>49</v>
      </c>
      <c r="C57" s="17">
        <v>12</v>
      </c>
      <c r="D57" t="s">
        <v>872</v>
      </c>
      <c r="E57" s="117" t="s">
        <v>897</v>
      </c>
      <c r="F57" s="4" t="str">
        <f t="shared" si="19"/>
        <v>PNR</v>
      </c>
      <c r="G57" s="4">
        <f t="shared" si="20"/>
        <v>20</v>
      </c>
      <c r="H57" s="4" t="str">
        <f t="shared" si="21"/>
        <v>EN31</v>
      </c>
      <c r="I57" s="4">
        <f t="shared" si="22"/>
        <v>2473</v>
      </c>
      <c r="J57" s="247">
        <v>84</v>
      </c>
      <c r="K57" s="117"/>
      <c r="L57" s="4" t="str">
        <f t="shared" si="23"/>
        <v/>
      </c>
      <c r="M57" s="4" t="str">
        <f t="shared" si="24"/>
        <v/>
      </c>
      <c r="N57" s="4" t="str">
        <f t="shared" si="25"/>
        <v/>
      </c>
      <c r="O57" s="4" t="str">
        <f t="shared" si="26"/>
        <v/>
      </c>
      <c r="P57" s="247"/>
      <c r="Q57" s="117"/>
      <c r="R57" s="4" t="str">
        <f t="shared" si="8"/>
        <v/>
      </c>
      <c r="S57" s="4" t="str">
        <f t="shared" si="9"/>
        <v/>
      </c>
      <c r="T57" s="4" t="str">
        <f t="shared" si="10"/>
        <v/>
      </c>
      <c r="U57" s="4" t="str">
        <f t="shared" si="11"/>
        <v/>
      </c>
      <c r="V57" s="247"/>
      <c r="W57" s="67">
        <f t="shared" si="27"/>
        <v>2473</v>
      </c>
      <c r="X57" s="118"/>
      <c r="Y57" t="s">
        <v>872</v>
      </c>
      <c r="Z57" s="67">
        <f t="shared" si="28"/>
        <v>2473</v>
      </c>
      <c r="AA57" s="13">
        <f t="shared" si="29"/>
        <v>49</v>
      </c>
      <c r="AB57" s="17">
        <f t="shared" si="30"/>
        <v>12</v>
      </c>
      <c r="AC57" s="163" t="str">
        <f t="shared" si="31"/>
        <v>PNR</v>
      </c>
      <c r="AD57" s="119">
        <v>46220</v>
      </c>
      <c r="AE57" s="120">
        <v>0.875</v>
      </c>
      <c r="AF57" s="121">
        <v>46221</v>
      </c>
      <c r="AG57" s="122">
        <v>0.3263888888888889</v>
      </c>
      <c r="AH57" s="83">
        <f t="shared" si="35"/>
        <v>0.45138888889050577</v>
      </c>
      <c r="AI57" s="115">
        <v>46222</v>
      </c>
      <c r="AJ57" s="116">
        <v>9.7222222222222224E-2</v>
      </c>
      <c r="AK57" s="83">
        <f t="shared" si="32"/>
        <v>0.77083333332848269</v>
      </c>
      <c r="AL57" s="85"/>
      <c r="AM57" s="254"/>
      <c r="AN57" s="254"/>
      <c r="AO57" s="255"/>
    </row>
    <row r="58" spans="2:41" x14ac:dyDescent="0.25">
      <c r="B58" s="321">
        <v>50</v>
      </c>
      <c r="C58" s="17">
        <v>12</v>
      </c>
      <c r="D58" t="s">
        <v>872</v>
      </c>
      <c r="E58" s="117" t="s">
        <v>899</v>
      </c>
      <c r="F58" s="4" t="str">
        <f t="shared" si="19"/>
        <v>BHARAT</v>
      </c>
      <c r="G58" s="4">
        <f t="shared" si="20"/>
        <v>16.5</v>
      </c>
      <c r="H58" s="4" t="str">
        <f t="shared" si="21"/>
        <v>EN31</v>
      </c>
      <c r="I58" s="4">
        <f t="shared" si="22"/>
        <v>2015</v>
      </c>
      <c r="J58" s="247">
        <v>84</v>
      </c>
      <c r="K58" s="117"/>
      <c r="L58" s="4" t="str">
        <f t="shared" si="23"/>
        <v/>
      </c>
      <c r="M58" s="4" t="str">
        <f t="shared" si="24"/>
        <v/>
      </c>
      <c r="N58" s="4" t="str">
        <f t="shared" si="25"/>
        <v/>
      </c>
      <c r="O58" s="4" t="str">
        <f t="shared" si="26"/>
        <v/>
      </c>
      <c r="P58" s="247"/>
      <c r="Q58" s="117"/>
      <c r="R58" s="4" t="str">
        <f t="shared" si="8"/>
        <v/>
      </c>
      <c r="S58" s="4" t="str">
        <f t="shared" si="9"/>
        <v/>
      </c>
      <c r="T58" s="4" t="str">
        <f t="shared" si="10"/>
        <v/>
      </c>
      <c r="U58" s="4" t="str">
        <f t="shared" si="11"/>
        <v/>
      </c>
      <c r="V58" s="247"/>
      <c r="W58" s="67">
        <f t="shared" si="27"/>
        <v>2015</v>
      </c>
      <c r="X58" s="118"/>
      <c r="Y58" t="s">
        <v>872</v>
      </c>
      <c r="Z58" s="67">
        <f t="shared" si="28"/>
        <v>2015</v>
      </c>
      <c r="AA58" s="13">
        <f t="shared" si="29"/>
        <v>50</v>
      </c>
      <c r="AB58" s="17">
        <f t="shared" si="30"/>
        <v>12</v>
      </c>
      <c r="AC58" s="163" t="str">
        <f t="shared" si="31"/>
        <v>BHARAT</v>
      </c>
      <c r="AD58" s="119">
        <v>46222</v>
      </c>
      <c r="AE58" s="120">
        <v>0.25</v>
      </c>
      <c r="AF58" s="121">
        <v>46222</v>
      </c>
      <c r="AG58" s="122">
        <v>0.6875</v>
      </c>
      <c r="AH58" s="83">
        <f t="shared" si="35"/>
        <v>0.4375</v>
      </c>
      <c r="AI58" s="115">
        <v>46223</v>
      </c>
      <c r="AJ58" s="116">
        <v>0.42708333333333331</v>
      </c>
      <c r="AK58" s="83">
        <f t="shared" si="32"/>
        <v>0.73958333333575865</v>
      </c>
      <c r="AL58" s="85"/>
      <c r="AM58" s="254"/>
      <c r="AN58" s="254"/>
      <c r="AO58" s="255"/>
    </row>
    <row r="59" spans="2:41" s="11" customFormat="1" x14ac:dyDescent="0.25">
      <c r="B59" s="541">
        <v>0</v>
      </c>
      <c r="C59" s="10">
        <v>0</v>
      </c>
      <c r="D59" s="460"/>
      <c r="E59" s="10">
        <v>410702</v>
      </c>
      <c r="F59" s="10" t="str">
        <f t="shared" si="19"/>
        <v>PF</v>
      </c>
      <c r="G59" s="10">
        <f t="shared" si="20"/>
        <v>10</v>
      </c>
      <c r="H59" s="10" t="str">
        <f t="shared" si="21"/>
        <v>15B25</v>
      </c>
      <c r="I59" s="10">
        <f t="shared" si="22"/>
        <v>2080</v>
      </c>
      <c r="J59" s="10"/>
      <c r="K59" s="10">
        <v>410703</v>
      </c>
      <c r="L59" s="10" t="str">
        <f t="shared" si="23"/>
        <v>PF</v>
      </c>
      <c r="M59" s="10">
        <f t="shared" si="24"/>
        <v>13</v>
      </c>
      <c r="N59" s="10" t="str">
        <f t="shared" si="25"/>
        <v>15B25</v>
      </c>
      <c r="O59" s="10">
        <f t="shared" si="26"/>
        <v>2005</v>
      </c>
      <c r="P59" s="10"/>
      <c r="Q59" s="10"/>
      <c r="R59" s="10" t="str">
        <f t="shared" si="8"/>
        <v/>
      </c>
      <c r="S59" s="10" t="str">
        <f t="shared" si="9"/>
        <v/>
      </c>
      <c r="T59" s="10" t="str">
        <f t="shared" si="10"/>
        <v/>
      </c>
      <c r="U59" s="10" t="str">
        <f t="shared" si="11"/>
        <v/>
      </c>
      <c r="V59" s="10"/>
      <c r="W59" s="11">
        <f t="shared" si="27"/>
        <v>4085</v>
      </c>
      <c r="X59" s="10"/>
      <c r="Z59" s="11">
        <f t="shared" si="28"/>
        <v>4085</v>
      </c>
      <c r="AA59" s="10">
        <f t="shared" ref="AA59:AA123" si="36">B59</f>
        <v>0</v>
      </c>
      <c r="AB59" s="10">
        <f t="shared" ref="AB59:AB123" si="37">C59</f>
        <v>0</v>
      </c>
      <c r="AC59" s="10" t="str">
        <f t="shared" ref="AC59:AC123" si="38">F59</f>
        <v>PF</v>
      </c>
      <c r="AD59" s="460"/>
      <c r="AE59" s="542"/>
      <c r="AF59" s="460"/>
      <c r="AG59" s="542"/>
      <c r="AH59" s="542" t="str">
        <f t="shared" si="35"/>
        <v/>
      </c>
      <c r="AI59" s="460"/>
      <c r="AJ59" s="542"/>
      <c r="AK59" s="83" t="str">
        <f t="shared" si="32"/>
        <v/>
      </c>
      <c r="AL59" s="543"/>
      <c r="AM59" s="544"/>
      <c r="AN59" s="544"/>
      <c r="AO59" s="545"/>
    </row>
    <row r="60" spans="2:41" x14ac:dyDescent="0.25">
      <c r="B60" s="321">
        <v>51</v>
      </c>
      <c r="C60" s="17">
        <v>12</v>
      </c>
      <c r="D60" t="s">
        <v>872</v>
      </c>
      <c r="E60" s="117" t="s">
        <v>900</v>
      </c>
      <c r="F60" s="4" t="str">
        <f t="shared" ref="F60:F123" si="39">IFERROR(IF(VLOOKUP($E60,Inward,2,FALSE)&gt;0,VLOOKUP($E60,Inward,2,FALSE),""),"")</f>
        <v>PNR</v>
      </c>
      <c r="G60" s="4">
        <f t="shared" ref="G60:G123" si="40">IFERROR(IF(VLOOKUP($E60,Inward,7,FALSE)&gt;0,VLOOKUP($E60,Inward,7,FALSE),""),"")</f>
        <v>11</v>
      </c>
      <c r="H60" s="4" t="str">
        <f t="shared" ref="H60:H123" si="41">IFERROR(IF(VLOOKUP($E60,Inward,8,FALSE)&gt;0,VLOOKUP($E60,Inward,8,FALSE),""),"")</f>
        <v>EN31</v>
      </c>
      <c r="I60" s="4">
        <f t="shared" ref="I60:I123" si="42">IFERROR(IF(VLOOKUP($E60,Inward,11,FALSE)&gt;0,VLOOKUP($E60,Inward,11,FALSE),""),"")</f>
        <v>2481</v>
      </c>
      <c r="J60" s="247">
        <v>83</v>
      </c>
      <c r="K60" s="117"/>
      <c r="L60" s="4" t="str">
        <f t="shared" si="23"/>
        <v/>
      </c>
      <c r="M60" s="4" t="str">
        <f t="shared" si="24"/>
        <v/>
      </c>
      <c r="N60" s="4" t="str">
        <f t="shared" si="25"/>
        <v/>
      </c>
      <c r="O60" s="4" t="str">
        <f t="shared" si="26"/>
        <v/>
      </c>
      <c r="P60" s="247"/>
      <c r="Q60" s="117"/>
      <c r="R60" s="4" t="str">
        <f t="shared" si="8"/>
        <v/>
      </c>
      <c r="S60" s="4" t="str">
        <f t="shared" si="9"/>
        <v/>
      </c>
      <c r="T60" s="4" t="str">
        <f t="shared" si="10"/>
        <v/>
      </c>
      <c r="U60" s="4" t="str">
        <f t="shared" si="11"/>
        <v/>
      </c>
      <c r="V60" s="247"/>
      <c r="W60" s="67">
        <f t="shared" si="27"/>
        <v>2481</v>
      </c>
      <c r="X60" s="118"/>
      <c r="Z60" s="67">
        <f t="shared" si="28"/>
        <v>2481</v>
      </c>
      <c r="AA60" s="13">
        <f t="shared" si="36"/>
        <v>51</v>
      </c>
      <c r="AB60" s="17">
        <f t="shared" si="37"/>
        <v>12</v>
      </c>
      <c r="AC60" s="163" t="str">
        <f t="shared" si="38"/>
        <v>PNR</v>
      </c>
      <c r="AD60" s="119">
        <v>46227</v>
      </c>
      <c r="AE60" s="120">
        <v>0.82638888888888884</v>
      </c>
      <c r="AF60" s="121">
        <v>46228</v>
      </c>
      <c r="AG60" s="122">
        <v>0.31597222222222221</v>
      </c>
      <c r="AH60" s="83">
        <f t="shared" si="35"/>
        <v>0.48958333332848269</v>
      </c>
      <c r="AI60" s="115">
        <v>46228</v>
      </c>
      <c r="AJ60" s="116">
        <v>0.94791666666666663</v>
      </c>
      <c r="AK60" s="83">
        <f t="shared" si="32"/>
        <v>0.63194444444525288</v>
      </c>
      <c r="AL60" s="85"/>
      <c r="AM60" s="254"/>
      <c r="AN60" s="254"/>
      <c r="AO60" s="255"/>
    </row>
    <row r="61" spans="2:41" x14ac:dyDescent="0.25">
      <c r="B61" s="321">
        <v>52</v>
      </c>
      <c r="C61" s="17">
        <v>12</v>
      </c>
      <c r="D61"/>
      <c r="E61" s="117" t="s">
        <v>908</v>
      </c>
      <c r="F61" s="26" t="s">
        <v>521</v>
      </c>
      <c r="G61" s="4" t="str">
        <f t="shared" ref="G61:G73" si="43">IFERROR(IF(VLOOKUP($E61,Inward,7,FALSE)&gt;0,VLOOKUP($E61,Inward,7,FALSE),""),"")</f>
        <v/>
      </c>
      <c r="H61" s="4" t="str">
        <f t="shared" ref="H61:H73" si="44">IFERROR(IF(VLOOKUP($E61,Inward,8,FALSE)&gt;0,VLOOKUP($E61,Inward,8,FALSE),""),"")</f>
        <v/>
      </c>
      <c r="I61" s="4" t="str">
        <f t="shared" ref="I61:I73" si="45">IFERROR(IF(VLOOKUP($E61,Inward,11,FALSE)&gt;0,VLOOKUP($E61,Inward,11,FALSE),""),"")</f>
        <v/>
      </c>
      <c r="J61" s="247"/>
      <c r="K61" s="117"/>
      <c r="L61" s="4" t="str">
        <f t="shared" si="23"/>
        <v/>
      </c>
      <c r="M61" s="4" t="str">
        <f t="shared" si="24"/>
        <v/>
      </c>
      <c r="N61" s="4" t="str">
        <f t="shared" si="25"/>
        <v/>
      </c>
      <c r="O61" s="4" t="str">
        <f t="shared" si="26"/>
        <v/>
      </c>
      <c r="P61" s="247"/>
      <c r="Q61" s="117"/>
      <c r="R61" s="4" t="str">
        <f t="shared" si="8"/>
        <v/>
      </c>
      <c r="S61" s="4" t="str">
        <f t="shared" si="9"/>
        <v/>
      </c>
      <c r="T61" s="4" t="str">
        <f t="shared" si="10"/>
        <v/>
      </c>
      <c r="U61" s="4" t="str">
        <f t="shared" si="11"/>
        <v/>
      </c>
      <c r="V61" s="247"/>
      <c r="W61" s="67" t="str">
        <f t="shared" si="27"/>
        <v/>
      </c>
      <c r="X61" s="118"/>
      <c r="Z61" s="67" t="str">
        <f t="shared" si="28"/>
        <v/>
      </c>
      <c r="AA61" s="13">
        <f t="shared" si="36"/>
        <v>52</v>
      </c>
      <c r="AB61" s="17">
        <f t="shared" si="37"/>
        <v>12</v>
      </c>
      <c r="AC61" s="26" t="str">
        <f t="shared" si="38"/>
        <v>SUPER ENGI</v>
      </c>
      <c r="AD61" s="119">
        <v>46228</v>
      </c>
      <c r="AE61" s="120">
        <v>0.97222222222222221</v>
      </c>
      <c r="AF61" s="121">
        <v>46229</v>
      </c>
      <c r="AG61" s="122">
        <v>0.65625</v>
      </c>
      <c r="AH61" s="83">
        <f t="shared" si="35"/>
        <v>0.68402777778101154</v>
      </c>
      <c r="AI61" s="115">
        <v>46229</v>
      </c>
      <c r="AJ61" s="116">
        <v>0.69791666666666663</v>
      </c>
      <c r="AK61" s="83">
        <f t="shared" si="32"/>
        <v>4.1666666664241347E-2</v>
      </c>
      <c r="AL61" s="85"/>
      <c r="AM61" s="254"/>
      <c r="AN61" s="254"/>
      <c r="AO61" s="255"/>
    </row>
    <row r="62" spans="2:41" x14ac:dyDescent="0.25">
      <c r="B62" s="321">
        <v>53</v>
      </c>
      <c r="C62" s="17">
        <v>12</v>
      </c>
      <c r="D62" t="s">
        <v>872</v>
      </c>
      <c r="E62" s="117">
        <v>400704</v>
      </c>
      <c r="F62" s="4" t="str">
        <f t="shared" ref="F62:F73" si="46">IFERROR(IF(VLOOKUP($E62,Inward,2,FALSE)&gt;0,VLOOKUP($E62,Inward,2,FALSE),""),"")</f>
        <v>PNR</v>
      </c>
      <c r="G62" s="4">
        <f t="shared" si="43"/>
        <v>11</v>
      </c>
      <c r="H62" s="4" t="str">
        <f t="shared" si="44"/>
        <v>EN31</v>
      </c>
      <c r="I62" s="4">
        <f t="shared" si="45"/>
        <v>2485</v>
      </c>
      <c r="J62" s="247">
        <v>80</v>
      </c>
      <c r="K62" s="117"/>
      <c r="L62" s="4" t="str">
        <f t="shared" si="23"/>
        <v/>
      </c>
      <c r="M62" s="4" t="str">
        <f t="shared" si="24"/>
        <v/>
      </c>
      <c r="N62" s="4" t="str">
        <f t="shared" si="25"/>
        <v/>
      </c>
      <c r="O62" s="4" t="str">
        <f t="shared" si="26"/>
        <v/>
      </c>
      <c r="P62" s="247"/>
      <c r="Q62" s="117"/>
      <c r="R62" s="4" t="str">
        <f t="shared" si="8"/>
        <v/>
      </c>
      <c r="S62" s="4" t="str">
        <f t="shared" si="9"/>
        <v/>
      </c>
      <c r="T62" s="4" t="str">
        <f t="shared" si="10"/>
        <v/>
      </c>
      <c r="U62" s="4" t="str">
        <f t="shared" si="11"/>
        <v/>
      </c>
      <c r="V62" s="247"/>
      <c r="W62" s="67">
        <f t="shared" si="27"/>
        <v>2485</v>
      </c>
      <c r="X62" s="118"/>
      <c r="Z62" s="67">
        <f t="shared" si="28"/>
        <v>2485</v>
      </c>
      <c r="AA62" s="13">
        <f t="shared" si="36"/>
        <v>53</v>
      </c>
      <c r="AB62" s="17">
        <f t="shared" si="37"/>
        <v>12</v>
      </c>
      <c r="AC62" s="163" t="str">
        <f t="shared" si="38"/>
        <v>PNR</v>
      </c>
      <c r="AD62" s="119">
        <v>46229</v>
      </c>
      <c r="AE62" s="120">
        <v>0.72222222222222221</v>
      </c>
      <c r="AF62" s="121">
        <v>46230</v>
      </c>
      <c r="AG62" s="122">
        <v>0.19444444444444445</v>
      </c>
      <c r="AH62" s="83">
        <f t="shared" si="35"/>
        <v>0.47222222222626442</v>
      </c>
      <c r="AI62" s="115">
        <v>46230</v>
      </c>
      <c r="AJ62" s="116">
        <v>0.97222222222222221</v>
      </c>
      <c r="AK62" s="83">
        <f t="shared" si="32"/>
        <v>0.77777777777373558</v>
      </c>
      <c r="AL62" s="85"/>
      <c r="AM62" s="254"/>
      <c r="AN62" s="254"/>
      <c r="AO62" s="255"/>
    </row>
    <row r="63" spans="2:41" x14ac:dyDescent="0.25">
      <c r="B63" s="321">
        <v>54</v>
      </c>
      <c r="C63" s="17">
        <v>12</v>
      </c>
      <c r="D63" t="s">
        <v>872</v>
      </c>
      <c r="E63" s="117" t="s">
        <v>954</v>
      </c>
      <c r="F63" s="4" t="str">
        <f t="shared" si="46"/>
        <v>PNR</v>
      </c>
      <c r="G63" s="4">
        <f t="shared" si="43"/>
        <v>22.3</v>
      </c>
      <c r="H63" s="4" t="str">
        <f t="shared" si="44"/>
        <v>EN31</v>
      </c>
      <c r="I63" s="4">
        <f t="shared" si="45"/>
        <v>2485</v>
      </c>
      <c r="J63" s="247">
        <v>79</v>
      </c>
      <c r="K63" s="117"/>
      <c r="L63" s="4" t="str">
        <f t="shared" si="23"/>
        <v/>
      </c>
      <c r="M63" s="4" t="str">
        <f t="shared" si="24"/>
        <v/>
      </c>
      <c r="N63" s="4" t="str">
        <f t="shared" si="25"/>
        <v/>
      </c>
      <c r="O63" s="4" t="str">
        <f t="shared" si="26"/>
        <v/>
      </c>
      <c r="P63" s="247"/>
      <c r="Q63" s="117"/>
      <c r="R63" s="4" t="str">
        <f t="shared" si="8"/>
        <v/>
      </c>
      <c r="S63" s="4" t="str">
        <f t="shared" si="9"/>
        <v/>
      </c>
      <c r="T63" s="4" t="str">
        <f t="shared" si="10"/>
        <v/>
      </c>
      <c r="U63" s="4" t="str">
        <f t="shared" si="11"/>
        <v/>
      </c>
      <c r="V63" s="247"/>
      <c r="W63" s="67">
        <f t="shared" si="27"/>
        <v>2485</v>
      </c>
      <c r="X63" s="118"/>
      <c r="Z63" s="67">
        <f t="shared" si="28"/>
        <v>2485</v>
      </c>
      <c r="AA63" s="13">
        <f t="shared" si="36"/>
        <v>54</v>
      </c>
      <c r="AB63" s="17">
        <f t="shared" si="37"/>
        <v>12</v>
      </c>
      <c r="AC63" s="163" t="str">
        <f t="shared" si="38"/>
        <v>PNR</v>
      </c>
      <c r="AD63" s="119">
        <v>46237</v>
      </c>
      <c r="AE63" s="120">
        <v>0.62013888888888891</v>
      </c>
      <c r="AF63" s="121">
        <v>46238</v>
      </c>
      <c r="AG63" s="122">
        <v>0.19305555555555556</v>
      </c>
      <c r="AH63" s="83">
        <f>IF(AG63&lt;&gt;0,((AF63+AG63)-(AD63+AE63)),"")</f>
        <v>0.57291666667151731</v>
      </c>
      <c r="AI63" s="115">
        <v>46238</v>
      </c>
      <c r="AJ63" s="116">
        <v>0.90277777777777779</v>
      </c>
      <c r="AK63" s="83">
        <f t="shared" si="32"/>
        <v>0.70972222222189885</v>
      </c>
      <c r="AL63" s="85"/>
      <c r="AM63" s="254"/>
      <c r="AN63" s="254"/>
      <c r="AO63" s="255"/>
    </row>
    <row r="64" spans="2:41" x14ac:dyDescent="0.25">
      <c r="B64" s="321" t="s">
        <v>964</v>
      </c>
      <c r="C64" s="17" t="s">
        <v>964</v>
      </c>
      <c r="D64" t="s">
        <v>872</v>
      </c>
      <c r="E64" s="13">
        <v>400702</v>
      </c>
      <c r="F64" s="13" t="str">
        <f>IFERROR(IF(VLOOKUP($E64,Inward,2,FALSE)&gt;0,VLOOKUP($E64,Inward,2,FALSE),""),"")</f>
        <v>PNR</v>
      </c>
      <c r="G64" s="13">
        <f>IFERROR(IF(VLOOKUP($E64,Inward,7,FALSE)&gt;0,VLOOKUP($E64,Inward,7,FALSE),""),"")</f>
        <v>11</v>
      </c>
      <c r="H64" s="13" t="str">
        <f>IFERROR(IF(VLOOKUP($E64,Inward,8,FALSE)&gt;0,VLOOKUP($E64,Inward,8,FALSE),""),"")</f>
        <v>EN31</v>
      </c>
      <c r="I64" s="13">
        <f>IFERROR(IF(VLOOKUP($E64,Inward,11,FALSE)&gt;0,VLOOKUP($E64,Inward,11,FALSE),""),"")</f>
        <v>2477</v>
      </c>
      <c r="J64" s="13"/>
      <c r="K64" s="13">
        <v>400705</v>
      </c>
      <c r="L64" s="13" t="str">
        <f>IFERROR(IF(VLOOKUP($K64,Inward,2,FALSE)&gt;0,VLOOKUP($K64,Inward,2,FALSE),""),"")</f>
        <v>PNR</v>
      </c>
      <c r="M64" s="13">
        <f>IFERROR(IF(VLOOKUP($K64,Inward,7,FALSE)&gt;0,VLOOKUP($K64,Inward,7,FALSE),""),"")</f>
        <v>11</v>
      </c>
      <c r="N64" s="13" t="str">
        <f>IFERROR(IF(VLOOKUP($K64,Inward,8,FALSE)&gt;0,VLOOKUP($K64,Inward,8,FALSE),""),"")</f>
        <v>EN31</v>
      </c>
      <c r="O64" s="13">
        <f>IFERROR(IF(VLOOKUP($K64,Inward,11,FALSE)&gt;0,VLOOKUP($K64,Inward,11,FALSE),""),"")</f>
        <v>2466</v>
      </c>
      <c r="P64" s="13"/>
      <c r="Q64" s="13">
        <v>400701</v>
      </c>
      <c r="R64" s="13" t="str">
        <f>IFERROR(IF(VLOOKUP($Q64,Inward,2,FALSE)&gt;0,VLOOKUP($Q64,Inward,2,FALSE),""),"")</f>
        <v>PNR</v>
      </c>
      <c r="S64" s="13">
        <f>IFERROR(IF(VLOOKUP($Q64,Inward,7,FALSE)&gt;0,VLOOKUP($Q64,Inward,7,FALSE),""),"")</f>
        <v>20</v>
      </c>
      <c r="T64" s="13" t="str">
        <f>IFERROR(IF(VLOOKUP($Q64,Inward,8,FALSE)&gt;0,VLOOKUP($Q64,Inward,8,FALSE),""),"")</f>
        <v>EN31</v>
      </c>
      <c r="U64" s="13">
        <f>IFERROR(IF(VLOOKUP($Q64,Inward,11,FALSE)&gt;0,VLOOKUP($Q64,Inward,11,FALSE),""),"")</f>
        <v>2452</v>
      </c>
      <c r="V64" s="247"/>
      <c r="W64" s="67">
        <f>IF(SUM(I64,O64,U64)&gt;0,(SUM(I64,O64,U64)),"")</f>
        <v>7395</v>
      </c>
      <c r="X64" s="118"/>
      <c r="Z64" s="67">
        <f>IF(SUM(W64,Y64)&gt;0,(SUM(W64,Y64)),"")</f>
        <v>7395</v>
      </c>
      <c r="AA64" s="13" t="str">
        <f>B64</f>
        <v>w/p</v>
      </c>
      <c r="AB64" s="17" t="str">
        <f>C64</f>
        <v>w/p</v>
      </c>
      <c r="AC64" s="13" t="str">
        <f>F64</f>
        <v>PNR</v>
      </c>
      <c r="AD64" s="561"/>
      <c r="AE64" s="560" t="s">
        <v>962</v>
      </c>
      <c r="AF64" s="561"/>
      <c r="AG64" s="122"/>
      <c r="AH64" s="83" t="str">
        <f t="shared" ref="AH64:AH67" si="47">IF(AG64&lt;&gt;0,((AF64+AG64)-(AD64+AE64)),"")</f>
        <v/>
      </c>
      <c r="AI64" s="115"/>
      <c r="AJ64" s="116"/>
      <c r="AK64" s="83" t="str">
        <f t="shared" si="32"/>
        <v/>
      </c>
      <c r="AL64" s="85"/>
      <c r="AM64" s="254"/>
      <c r="AN64" s="254"/>
      <c r="AO64" s="255"/>
    </row>
    <row r="65" spans="2:41" x14ac:dyDescent="0.25">
      <c r="B65" s="321">
        <v>55</v>
      </c>
      <c r="C65" s="17">
        <v>12</v>
      </c>
      <c r="D65" t="s">
        <v>872</v>
      </c>
      <c r="E65" s="117">
        <v>650702</v>
      </c>
      <c r="F65" s="4" t="str">
        <f t="shared" si="46"/>
        <v>MLN</v>
      </c>
      <c r="G65" s="4">
        <f t="shared" si="43"/>
        <v>17.5</v>
      </c>
      <c r="H65" s="4" t="str">
        <f t="shared" si="44"/>
        <v>EN31</v>
      </c>
      <c r="I65" s="4">
        <f t="shared" si="45"/>
        <v>1950</v>
      </c>
      <c r="J65" s="247">
        <v>81</v>
      </c>
      <c r="K65" s="117"/>
      <c r="L65" s="4" t="str">
        <f t="shared" si="23"/>
        <v/>
      </c>
      <c r="M65" s="4" t="str">
        <f t="shared" si="24"/>
        <v/>
      </c>
      <c r="N65" s="4" t="str">
        <f t="shared" si="25"/>
        <v/>
      </c>
      <c r="O65" s="4" t="str">
        <f t="shared" si="26"/>
        <v/>
      </c>
      <c r="P65" s="247"/>
      <c r="Q65" s="117"/>
      <c r="R65" s="4" t="str">
        <f t="shared" si="8"/>
        <v/>
      </c>
      <c r="S65" s="4" t="str">
        <f t="shared" si="9"/>
        <v/>
      </c>
      <c r="T65" s="4" t="str">
        <f t="shared" si="10"/>
        <v/>
      </c>
      <c r="U65" s="4" t="str">
        <f t="shared" si="11"/>
        <v/>
      </c>
      <c r="V65" s="247"/>
      <c r="W65" s="67">
        <f t="shared" si="27"/>
        <v>1950</v>
      </c>
      <c r="X65" s="118"/>
      <c r="Z65" s="67">
        <f t="shared" si="28"/>
        <v>1950</v>
      </c>
      <c r="AA65" s="13">
        <f t="shared" si="36"/>
        <v>55</v>
      </c>
      <c r="AB65" s="17">
        <f t="shared" si="37"/>
        <v>12</v>
      </c>
      <c r="AC65" s="163" t="str">
        <f t="shared" si="38"/>
        <v>MLN</v>
      </c>
      <c r="AD65" s="119">
        <v>46238</v>
      </c>
      <c r="AE65" s="120">
        <v>0.94444444444444442</v>
      </c>
      <c r="AF65" s="121">
        <v>46239</v>
      </c>
      <c r="AG65" s="122">
        <v>0.35416666666666669</v>
      </c>
      <c r="AH65" s="83">
        <f t="shared" si="47"/>
        <v>0.40972222221898846</v>
      </c>
      <c r="AI65" s="115">
        <v>46240</v>
      </c>
      <c r="AJ65" s="116">
        <v>2.7777777777777776E-2</v>
      </c>
      <c r="AK65" s="83">
        <f t="shared" si="32"/>
        <v>0.67361111111677019</v>
      </c>
      <c r="AL65" s="85"/>
      <c r="AN65" s="254"/>
      <c r="AO65" s="255"/>
    </row>
    <row r="66" spans="2:41" x14ac:dyDescent="0.25">
      <c r="B66" s="321">
        <v>56</v>
      </c>
      <c r="C66" s="17">
        <v>12</v>
      </c>
      <c r="D66" t="s">
        <v>872</v>
      </c>
      <c r="E66" s="117">
        <v>650701</v>
      </c>
      <c r="F66" s="4" t="str">
        <f t="shared" si="46"/>
        <v>MLN</v>
      </c>
      <c r="G66" s="4">
        <f t="shared" si="43"/>
        <v>17.5</v>
      </c>
      <c r="H66" s="4" t="str">
        <f t="shared" si="44"/>
        <v>EN31</v>
      </c>
      <c r="I66" s="4">
        <f t="shared" si="45"/>
        <v>1965</v>
      </c>
      <c r="J66" s="247">
        <v>81</v>
      </c>
      <c r="K66" s="117" t="s">
        <v>966</v>
      </c>
      <c r="L66" s="4" t="str">
        <f t="shared" si="23"/>
        <v>PNR</v>
      </c>
      <c r="M66" s="4">
        <f t="shared" si="24"/>
        <v>22.3</v>
      </c>
      <c r="N66" s="4" t="str">
        <f t="shared" si="25"/>
        <v>EN31</v>
      </c>
      <c r="O66" s="4">
        <f t="shared" si="26"/>
        <v>620</v>
      </c>
      <c r="P66" s="247">
        <v>80</v>
      </c>
      <c r="Q66" s="117"/>
      <c r="R66" s="4" t="str">
        <f t="shared" si="8"/>
        <v/>
      </c>
      <c r="S66" s="4" t="str">
        <f t="shared" si="9"/>
        <v/>
      </c>
      <c r="T66" s="4" t="str">
        <f t="shared" si="10"/>
        <v/>
      </c>
      <c r="U66" s="4" t="str">
        <f t="shared" si="11"/>
        <v/>
      </c>
      <c r="V66" s="247"/>
      <c r="W66" s="67">
        <f t="shared" si="27"/>
        <v>2585</v>
      </c>
      <c r="X66" s="118"/>
      <c r="Z66" s="67">
        <f t="shared" si="28"/>
        <v>2585</v>
      </c>
      <c r="AA66" s="13">
        <f t="shared" si="36"/>
        <v>56</v>
      </c>
      <c r="AB66" s="17">
        <f t="shared" si="37"/>
        <v>12</v>
      </c>
      <c r="AC66" s="163" t="str">
        <f t="shared" si="38"/>
        <v>MLN</v>
      </c>
      <c r="AD66" s="119">
        <v>46240</v>
      </c>
      <c r="AE66" s="120">
        <v>0.27430555555555558</v>
      </c>
      <c r="AF66" s="121">
        <v>46240</v>
      </c>
      <c r="AG66" s="122">
        <v>0.75694444444444442</v>
      </c>
      <c r="AH66" s="83">
        <f t="shared" si="47"/>
        <v>0.48263888889050577</v>
      </c>
      <c r="AI66" s="115">
        <v>46241</v>
      </c>
      <c r="AJ66" s="116">
        <v>0.54513888888888884</v>
      </c>
      <c r="AK66" s="83">
        <f t="shared" si="32"/>
        <v>0.78819444444525288</v>
      </c>
      <c r="AL66" s="85"/>
      <c r="AM66" s="254"/>
      <c r="AN66" s="254"/>
      <c r="AO66" s="255"/>
    </row>
    <row r="67" spans="2:41" x14ac:dyDescent="0.25">
      <c r="B67" s="321">
        <v>57</v>
      </c>
      <c r="C67" s="17">
        <v>12</v>
      </c>
      <c r="D67" s="273"/>
      <c r="E67" s="117">
        <v>410901</v>
      </c>
      <c r="F67" s="4" t="str">
        <f t="shared" si="46"/>
        <v>PF</v>
      </c>
      <c r="G67" s="4">
        <f t="shared" si="43"/>
        <v>14</v>
      </c>
      <c r="H67" s="4" t="str">
        <f t="shared" si="44"/>
        <v>15B25</v>
      </c>
      <c r="I67" s="4">
        <f t="shared" si="45"/>
        <v>1970</v>
      </c>
      <c r="J67" s="247">
        <v>65</v>
      </c>
      <c r="K67" s="117"/>
      <c r="L67" s="4" t="str">
        <f t="shared" si="23"/>
        <v/>
      </c>
      <c r="M67" s="4" t="str">
        <f t="shared" si="24"/>
        <v/>
      </c>
      <c r="N67" s="4" t="str">
        <f t="shared" si="25"/>
        <v/>
      </c>
      <c r="O67" s="4" t="str">
        <f t="shared" si="26"/>
        <v/>
      </c>
      <c r="P67" s="247"/>
      <c r="Q67" s="117"/>
      <c r="R67" s="4" t="str">
        <f t="shared" si="8"/>
        <v/>
      </c>
      <c r="S67" s="4" t="str">
        <f t="shared" si="9"/>
        <v/>
      </c>
      <c r="T67" s="4" t="str">
        <f t="shared" si="10"/>
        <v/>
      </c>
      <c r="U67" s="4" t="str">
        <f t="shared" si="11"/>
        <v/>
      </c>
      <c r="V67" s="247"/>
      <c r="W67" s="67">
        <f t="shared" si="27"/>
        <v>1970</v>
      </c>
      <c r="X67" s="118"/>
      <c r="Z67" s="67">
        <f t="shared" si="28"/>
        <v>1970</v>
      </c>
      <c r="AA67" s="13">
        <f t="shared" si="36"/>
        <v>57</v>
      </c>
      <c r="AB67" s="17">
        <f t="shared" si="37"/>
        <v>12</v>
      </c>
      <c r="AC67" s="163" t="str">
        <f t="shared" si="38"/>
        <v>PF</v>
      </c>
      <c r="AD67" s="119">
        <v>46282</v>
      </c>
      <c r="AE67" s="120">
        <v>0.40625</v>
      </c>
      <c r="AF67" s="121">
        <v>46282</v>
      </c>
      <c r="AG67" s="122">
        <v>0.84027777777777779</v>
      </c>
      <c r="AH67" s="83">
        <f t="shared" si="47"/>
        <v>0.43402777778101154</v>
      </c>
      <c r="AI67" s="115">
        <v>46283</v>
      </c>
      <c r="AJ67" s="116">
        <v>0.4236111111111111</v>
      </c>
      <c r="AK67" s="83">
        <f t="shared" si="32"/>
        <v>0.58333333332848269</v>
      </c>
      <c r="AL67" s="85"/>
      <c r="AM67" s="254"/>
      <c r="AN67" s="254"/>
      <c r="AO67" s="255"/>
    </row>
    <row r="68" spans="2:41" x14ac:dyDescent="0.25">
      <c r="B68" s="321">
        <v>58</v>
      </c>
      <c r="C68" s="17">
        <v>12</v>
      </c>
      <c r="D68" s="273"/>
      <c r="E68" s="117">
        <v>410904</v>
      </c>
      <c r="F68" s="4" t="str">
        <f t="shared" si="46"/>
        <v>PF</v>
      </c>
      <c r="G68" s="4">
        <f t="shared" si="43"/>
        <v>12</v>
      </c>
      <c r="H68" s="4" t="str">
        <f t="shared" si="44"/>
        <v>15B25</v>
      </c>
      <c r="I68" s="4">
        <f t="shared" si="45"/>
        <v>1980</v>
      </c>
      <c r="J68" s="247">
        <v>67</v>
      </c>
      <c r="K68" s="117"/>
      <c r="L68" s="4" t="str">
        <f t="shared" si="23"/>
        <v/>
      </c>
      <c r="M68" s="4" t="str">
        <f t="shared" si="24"/>
        <v/>
      </c>
      <c r="N68" s="4" t="str">
        <f t="shared" si="25"/>
        <v/>
      </c>
      <c r="O68" s="4" t="str">
        <f t="shared" si="26"/>
        <v/>
      </c>
      <c r="P68" s="247"/>
      <c r="Q68" s="117"/>
      <c r="R68" s="4" t="str">
        <f t="shared" ref="R68:R123" si="48">IFERROR(IF(VLOOKUP($Q68,Inward,2,FALSE)&gt;0,VLOOKUP($Q68,Inward,2,FALSE),""),"")</f>
        <v/>
      </c>
      <c r="S68" s="4" t="str">
        <f t="shared" ref="S68:S123" si="49">IFERROR(IF(VLOOKUP($Q68,Inward,7,FALSE)&gt;0,VLOOKUP($Q68,Inward,7,FALSE),""),"")</f>
        <v/>
      </c>
      <c r="T68" s="4" t="str">
        <f t="shared" ref="T68:T123" si="50">IFERROR(IF(VLOOKUP($Q68,Inward,8,FALSE)&gt;0,VLOOKUP($Q68,Inward,8,FALSE),""),"")</f>
        <v/>
      </c>
      <c r="U68" s="4" t="str">
        <f t="shared" ref="U68:U123" si="51">IFERROR(IF(VLOOKUP($Q68,Inward,11,FALSE)&gt;0,VLOOKUP($Q68,Inward,11,FALSE),""),"")</f>
        <v/>
      </c>
      <c r="V68" s="247"/>
      <c r="W68" s="67">
        <f t="shared" si="27"/>
        <v>1980</v>
      </c>
      <c r="X68" s="118"/>
      <c r="Z68" s="67">
        <f t="shared" si="28"/>
        <v>1980</v>
      </c>
      <c r="AA68" s="13">
        <f t="shared" si="36"/>
        <v>58</v>
      </c>
      <c r="AB68" s="17">
        <f t="shared" si="37"/>
        <v>12</v>
      </c>
      <c r="AC68" s="163" t="str">
        <f t="shared" si="38"/>
        <v>PF</v>
      </c>
      <c r="AD68" s="119">
        <v>46283</v>
      </c>
      <c r="AE68" s="120">
        <v>0.45833333333333331</v>
      </c>
      <c r="AF68" s="121">
        <v>46283</v>
      </c>
      <c r="AG68" s="122">
        <v>0.86111111111111116</v>
      </c>
      <c r="AH68" s="83">
        <f>IF(AG68&lt;&gt;0,((AF68+AG68)-(AD68+AE68)),"")</f>
        <v>0.40277777777373558</v>
      </c>
      <c r="AI68" s="115">
        <v>46284</v>
      </c>
      <c r="AJ68" s="116">
        <v>0.46180555555555558</v>
      </c>
      <c r="AK68" s="83"/>
      <c r="AL68" s="85"/>
      <c r="AM68" s="254"/>
      <c r="AN68" s="254"/>
      <c r="AO68" s="255"/>
    </row>
    <row r="69" spans="2:41" x14ac:dyDescent="0.25">
      <c r="B69" s="321">
        <v>59</v>
      </c>
      <c r="C69" s="17">
        <v>12</v>
      </c>
      <c r="D69" s="273"/>
      <c r="E69" s="117" t="s">
        <v>804</v>
      </c>
      <c r="F69" s="4" t="str">
        <f t="shared" si="46"/>
        <v/>
      </c>
      <c r="G69" s="4" t="str">
        <f t="shared" si="43"/>
        <v/>
      </c>
      <c r="H69" s="4" t="str">
        <f t="shared" si="44"/>
        <v/>
      </c>
      <c r="I69" s="4" t="str">
        <f t="shared" si="45"/>
        <v/>
      </c>
      <c r="J69" s="247"/>
      <c r="K69" s="117"/>
      <c r="L69" s="4" t="str">
        <f t="shared" ref="L69:L85" si="52">IFERROR(IF(VLOOKUP($K69,Inward,2,FALSE)&gt;0,VLOOKUP($K69,Inward,2,FALSE),""),"")</f>
        <v/>
      </c>
      <c r="M69" s="4" t="str">
        <f t="shared" ref="M69:M85" si="53">IFERROR(IF(VLOOKUP($K69,Inward,7,FALSE)&gt;0,VLOOKUP($K69,Inward,7,FALSE),""),"")</f>
        <v/>
      </c>
      <c r="N69" s="4" t="str">
        <f t="shared" ref="N69:N85" si="54">IFERROR(IF(VLOOKUP($K69,Inward,8,FALSE)&gt;0,VLOOKUP($K69,Inward,8,FALSE),""),"")</f>
        <v/>
      </c>
      <c r="O69" s="4" t="str">
        <f t="shared" ref="O69:O85" si="55">IFERROR(IF(VLOOKUP($K69,Inward,11,FALSE)&gt;0,VLOOKUP($K69,Inward,11,FALSE),""),"")</f>
        <v/>
      </c>
      <c r="P69" s="247"/>
      <c r="Q69" s="117"/>
      <c r="R69" s="4" t="str">
        <f t="shared" si="48"/>
        <v/>
      </c>
      <c r="S69" s="4" t="str">
        <f t="shared" si="49"/>
        <v/>
      </c>
      <c r="T69" s="4" t="str">
        <f t="shared" si="50"/>
        <v/>
      </c>
      <c r="U69" s="4" t="str">
        <f t="shared" si="51"/>
        <v/>
      </c>
      <c r="V69" s="247"/>
      <c r="W69" s="67" t="str">
        <f t="shared" ref="W69:W102" si="56">IF(SUM(I69,O69,U69)&gt;0,(SUM(I69,O69,U69)),"")</f>
        <v/>
      </c>
      <c r="X69" s="118"/>
      <c r="Z69" s="67" t="str">
        <f t="shared" ref="Z69:Z102" si="57">IF(SUM(W69,Y69)&gt;0,(SUM(W69,Y69)),"")</f>
        <v/>
      </c>
      <c r="AA69" s="13">
        <f t="shared" si="36"/>
        <v>59</v>
      </c>
      <c r="AB69" s="17">
        <f t="shared" si="37"/>
        <v>12</v>
      </c>
      <c r="AC69" s="163" t="str">
        <f t="shared" si="38"/>
        <v/>
      </c>
      <c r="AD69" s="119">
        <v>46284</v>
      </c>
      <c r="AE69" s="120">
        <v>0.48958333333333331</v>
      </c>
      <c r="AF69" s="121">
        <v>46284</v>
      </c>
      <c r="AG69" s="122">
        <v>0.76388888888888884</v>
      </c>
      <c r="AH69" s="83">
        <f>IF(AG69&lt;&gt;0,((AF69+AG69)-(AD69+AE69)),"")</f>
        <v>0.27430555555474712</v>
      </c>
      <c r="AI69" s="115">
        <v>46285</v>
      </c>
      <c r="AJ69" s="116">
        <v>0.85416666666666663</v>
      </c>
      <c r="AK69" s="83"/>
      <c r="AL69" s="85"/>
      <c r="AM69" s="254"/>
      <c r="AN69" s="254"/>
      <c r="AO69" s="255"/>
    </row>
    <row r="70" spans="2:41" x14ac:dyDescent="0.25">
      <c r="B70" s="321">
        <v>60</v>
      </c>
      <c r="C70" s="17">
        <v>12</v>
      </c>
      <c r="D70" s="273"/>
      <c r="E70" s="117">
        <v>410903</v>
      </c>
      <c r="F70" s="4" t="str">
        <f t="shared" si="46"/>
        <v>PF</v>
      </c>
      <c r="G70" s="4">
        <f t="shared" si="43"/>
        <v>18.5</v>
      </c>
      <c r="H70" s="4" t="str">
        <f t="shared" si="44"/>
        <v>15B25</v>
      </c>
      <c r="I70" s="4">
        <f t="shared" si="45"/>
        <v>2040</v>
      </c>
      <c r="J70" s="247">
        <v>65</v>
      </c>
      <c r="K70" s="117"/>
      <c r="L70" s="4" t="str">
        <f t="shared" si="52"/>
        <v/>
      </c>
      <c r="M70" s="4" t="str">
        <f t="shared" si="53"/>
        <v/>
      </c>
      <c r="N70" s="4" t="str">
        <f t="shared" si="54"/>
        <v/>
      </c>
      <c r="O70" s="4" t="str">
        <f t="shared" si="55"/>
        <v/>
      </c>
      <c r="P70" s="247"/>
      <c r="Q70" s="117"/>
      <c r="R70" s="4" t="str">
        <f t="shared" si="48"/>
        <v/>
      </c>
      <c r="S70" s="4" t="str">
        <f t="shared" si="49"/>
        <v/>
      </c>
      <c r="T70" s="4" t="str">
        <f t="shared" si="50"/>
        <v/>
      </c>
      <c r="U70" s="4" t="str">
        <f t="shared" si="51"/>
        <v/>
      </c>
      <c r="V70" s="247"/>
      <c r="W70" s="67">
        <f t="shared" si="56"/>
        <v>2040</v>
      </c>
      <c r="X70" s="118"/>
      <c r="Z70" s="67">
        <f t="shared" si="57"/>
        <v>2040</v>
      </c>
      <c r="AA70" s="13">
        <f t="shared" si="36"/>
        <v>60</v>
      </c>
      <c r="AB70" s="17">
        <f t="shared" si="37"/>
        <v>12</v>
      </c>
      <c r="AC70" s="163" t="str">
        <f t="shared" si="38"/>
        <v>PF</v>
      </c>
      <c r="AD70" s="119">
        <v>46287</v>
      </c>
      <c r="AE70" s="120">
        <v>0.39583333333333331</v>
      </c>
      <c r="AF70" s="121">
        <v>46287</v>
      </c>
      <c r="AG70" s="122">
        <v>0.82638888888888884</v>
      </c>
      <c r="AH70" s="83">
        <f>IF(AG70&lt;&gt;0,((AF70+AG70)-(AD70+AE70)),"")</f>
        <v>0.43055555555474712</v>
      </c>
      <c r="AI70" s="115">
        <v>46289</v>
      </c>
      <c r="AJ70" s="116">
        <v>0.45833333333333331</v>
      </c>
      <c r="AK70" s="83"/>
      <c r="AL70" s="85"/>
      <c r="AM70" s="254"/>
      <c r="AN70" s="254"/>
      <c r="AO70" s="255"/>
    </row>
    <row r="71" spans="2:41" x14ac:dyDescent="0.25">
      <c r="B71" s="321">
        <v>61</v>
      </c>
      <c r="C71" s="17">
        <v>11</v>
      </c>
      <c r="D71" s="273"/>
      <c r="E71" s="117">
        <v>410902</v>
      </c>
      <c r="F71" s="4" t="str">
        <f t="shared" si="46"/>
        <v>PF</v>
      </c>
      <c r="G71" s="4">
        <f t="shared" si="43"/>
        <v>10</v>
      </c>
      <c r="H71" s="4" t="str">
        <f t="shared" si="44"/>
        <v>15B25</v>
      </c>
      <c r="I71" s="4">
        <f t="shared" si="45"/>
        <v>1970</v>
      </c>
      <c r="J71" s="247">
        <v>65</v>
      </c>
      <c r="K71" s="117"/>
      <c r="L71" s="4" t="str">
        <f t="shared" si="52"/>
        <v/>
      </c>
      <c r="M71" s="4" t="str">
        <f t="shared" si="53"/>
        <v/>
      </c>
      <c r="N71" s="4" t="str">
        <f t="shared" si="54"/>
        <v/>
      </c>
      <c r="O71" s="4" t="str">
        <f t="shared" si="55"/>
        <v/>
      </c>
      <c r="P71" s="247"/>
      <c r="Q71" s="117"/>
      <c r="R71" s="4" t="str">
        <f t="shared" si="48"/>
        <v/>
      </c>
      <c r="S71" s="4" t="str">
        <f t="shared" si="49"/>
        <v/>
      </c>
      <c r="T71" s="4" t="str">
        <f t="shared" si="50"/>
        <v/>
      </c>
      <c r="U71" s="4" t="str">
        <f t="shared" si="51"/>
        <v/>
      </c>
      <c r="V71" s="247"/>
      <c r="W71" s="67">
        <f t="shared" si="56"/>
        <v>1970</v>
      </c>
      <c r="X71" s="118"/>
      <c r="Z71" s="67">
        <f t="shared" si="57"/>
        <v>1970</v>
      </c>
      <c r="AA71" s="13">
        <f t="shared" si="36"/>
        <v>61</v>
      </c>
      <c r="AB71" s="17">
        <f t="shared" si="37"/>
        <v>11</v>
      </c>
      <c r="AC71" s="163" t="str">
        <f t="shared" si="38"/>
        <v>PF</v>
      </c>
      <c r="AD71" s="119">
        <v>46289</v>
      </c>
      <c r="AE71" s="120">
        <v>0.48958333333333331</v>
      </c>
      <c r="AF71" s="121">
        <v>46289</v>
      </c>
      <c r="AG71" s="122">
        <v>0.91319444444444442</v>
      </c>
      <c r="AH71" s="83">
        <f>IF(AG71&lt;&gt;0,((AF71+AG71)-(AD71+AE71)),"")</f>
        <v>0.42361111110949423</v>
      </c>
      <c r="AI71" s="115">
        <v>46291</v>
      </c>
      <c r="AJ71" s="116">
        <v>0.39583333333333331</v>
      </c>
      <c r="AK71" s="83"/>
      <c r="AL71" s="85"/>
      <c r="AM71" s="254"/>
      <c r="AN71" s="254"/>
      <c r="AO71" s="255"/>
    </row>
    <row r="72" spans="2:41" x14ac:dyDescent="0.25">
      <c r="B72" s="321">
        <v>62</v>
      </c>
      <c r="C72" s="17"/>
      <c r="D72" s="273"/>
      <c r="E72" s="117"/>
      <c r="F72" s="4" t="str">
        <f t="shared" si="46"/>
        <v/>
      </c>
      <c r="G72" s="4" t="str">
        <f t="shared" si="43"/>
        <v/>
      </c>
      <c r="H72" s="4" t="str">
        <f t="shared" si="44"/>
        <v/>
      </c>
      <c r="I72" s="4" t="str">
        <f t="shared" si="45"/>
        <v/>
      </c>
      <c r="J72" s="247"/>
      <c r="K72" s="117"/>
      <c r="L72" s="4" t="str">
        <f t="shared" si="52"/>
        <v/>
      </c>
      <c r="M72" s="4" t="str">
        <f t="shared" si="53"/>
        <v/>
      </c>
      <c r="N72" s="4" t="str">
        <f t="shared" si="54"/>
        <v/>
      </c>
      <c r="O72" s="4" t="str">
        <f t="shared" si="55"/>
        <v/>
      </c>
      <c r="P72" s="247"/>
      <c r="Q72" s="117"/>
      <c r="R72" s="4" t="str">
        <f t="shared" si="48"/>
        <v/>
      </c>
      <c r="S72" s="4" t="str">
        <f t="shared" si="49"/>
        <v/>
      </c>
      <c r="T72" s="4" t="str">
        <f t="shared" si="50"/>
        <v/>
      </c>
      <c r="U72" s="4" t="str">
        <f t="shared" si="51"/>
        <v/>
      </c>
      <c r="V72" s="247"/>
      <c r="W72" s="67" t="str">
        <f t="shared" si="56"/>
        <v/>
      </c>
      <c r="X72" s="118"/>
      <c r="Z72" s="67" t="str">
        <f t="shared" si="57"/>
        <v/>
      </c>
      <c r="AA72" s="13">
        <f t="shared" si="36"/>
        <v>62</v>
      </c>
      <c r="AB72" s="17">
        <f t="shared" si="37"/>
        <v>0</v>
      </c>
      <c r="AC72" s="163" t="str">
        <f t="shared" si="38"/>
        <v/>
      </c>
      <c r="AD72" s="119"/>
      <c r="AE72" s="120"/>
      <c r="AF72" s="121"/>
      <c r="AG72" s="122"/>
      <c r="AH72" s="83"/>
      <c r="AI72" s="115"/>
      <c r="AJ72" s="116"/>
      <c r="AK72" s="83"/>
      <c r="AL72" s="85"/>
      <c r="AM72" s="254"/>
      <c r="AN72" s="254"/>
      <c r="AO72" s="255"/>
    </row>
    <row r="73" spans="2:41" x14ac:dyDescent="0.25">
      <c r="B73" s="321">
        <v>63</v>
      </c>
      <c r="C73" s="17"/>
      <c r="D73" s="273"/>
      <c r="E73" s="117"/>
      <c r="F73" s="4" t="str">
        <f t="shared" si="46"/>
        <v/>
      </c>
      <c r="G73" s="4" t="str">
        <f t="shared" si="43"/>
        <v/>
      </c>
      <c r="H73" s="4" t="str">
        <f t="shared" si="44"/>
        <v/>
      </c>
      <c r="I73" s="4" t="str">
        <f t="shared" si="45"/>
        <v/>
      </c>
      <c r="J73" s="247"/>
      <c r="K73" s="117"/>
      <c r="L73" s="4" t="str">
        <f t="shared" si="52"/>
        <v/>
      </c>
      <c r="M73" s="4" t="str">
        <f t="shared" si="53"/>
        <v/>
      </c>
      <c r="N73" s="4" t="str">
        <f t="shared" si="54"/>
        <v/>
      </c>
      <c r="O73" s="4" t="str">
        <f t="shared" si="55"/>
        <v/>
      </c>
      <c r="P73" s="247"/>
      <c r="Q73" s="117"/>
      <c r="R73" s="4" t="str">
        <f t="shared" si="48"/>
        <v/>
      </c>
      <c r="S73" s="4" t="str">
        <f t="shared" si="49"/>
        <v/>
      </c>
      <c r="T73" s="4" t="str">
        <f t="shared" si="50"/>
        <v/>
      </c>
      <c r="U73" s="4" t="str">
        <f t="shared" si="51"/>
        <v/>
      </c>
      <c r="V73" s="247"/>
      <c r="W73" s="67" t="str">
        <f t="shared" si="56"/>
        <v/>
      </c>
      <c r="X73" s="118"/>
      <c r="Z73" s="67" t="str">
        <f t="shared" si="57"/>
        <v/>
      </c>
      <c r="AA73" s="13">
        <f t="shared" si="36"/>
        <v>63</v>
      </c>
      <c r="AB73" s="17">
        <f t="shared" si="37"/>
        <v>0</v>
      </c>
      <c r="AC73" s="163" t="str">
        <f t="shared" si="38"/>
        <v/>
      </c>
      <c r="AD73" s="119"/>
      <c r="AE73" s="120"/>
      <c r="AF73" s="121"/>
      <c r="AG73" s="122"/>
      <c r="AH73" s="83"/>
      <c r="AI73" s="115"/>
      <c r="AJ73" s="116"/>
      <c r="AK73" s="83"/>
      <c r="AL73" s="85"/>
      <c r="AM73" s="254"/>
      <c r="AN73" s="254"/>
      <c r="AO73" s="255"/>
    </row>
    <row r="74" spans="2:41" x14ac:dyDescent="0.25">
      <c r="B74" s="321">
        <v>64</v>
      </c>
      <c r="C74" s="17"/>
      <c r="D74" s="273"/>
      <c r="E74" s="117"/>
      <c r="F74" s="4" t="str">
        <f t="shared" ref="F74:F100" si="58">IFERROR(IF(VLOOKUP($E74,Inward,2,FALSE)&gt;0,VLOOKUP($E74,Inward,2,FALSE),""),"")</f>
        <v/>
      </c>
      <c r="G74" s="4" t="str">
        <f t="shared" ref="G74:G100" si="59">IFERROR(IF(VLOOKUP($E74,Inward,7,FALSE)&gt;0,VLOOKUP($E74,Inward,7,FALSE),""),"")</f>
        <v/>
      </c>
      <c r="H74" s="4" t="str">
        <f t="shared" ref="H74:H100" si="60">IFERROR(IF(VLOOKUP($E74,Inward,8,FALSE)&gt;0,VLOOKUP($E74,Inward,8,FALSE),""),"")</f>
        <v/>
      </c>
      <c r="I74" s="4" t="str">
        <f t="shared" ref="I74:I100" si="61">IFERROR(IF(VLOOKUP($E74,Inward,11,FALSE)&gt;0,VLOOKUP($E74,Inward,11,FALSE),""),"")</f>
        <v/>
      </c>
      <c r="J74" s="247"/>
      <c r="K74" s="117"/>
      <c r="L74" s="4" t="str">
        <f t="shared" si="52"/>
        <v/>
      </c>
      <c r="M74" s="4" t="str">
        <f t="shared" si="53"/>
        <v/>
      </c>
      <c r="N74" s="4" t="str">
        <f t="shared" si="54"/>
        <v/>
      </c>
      <c r="O74" s="4" t="str">
        <f t="shared" si="55"/>
        <v/>
      </c>
      <c r="P74" s="247"/>
      <c r="Q74" s="117"/>
      <c r="R74" s="4" t="str">
        <f t="shared" si="48"/>
        <v/>
      </c>
      <c r="S74" s="4" t="str">
        <f t="shared" si="49"/>
        <v/>
      </c>
      <c r="T74" s="4" t="str">
        <f t="shared" si="50"/>
        <v/>
      </c>
      <c r="U74" s="4" t="str">
        <f t="shared" si="51"/>
        <v/>
      </c>
      <c r="V74" s="247"/>
      <c r="W74" s="67" t="str">
        <f t="shared" si="56"/>
        <v/>
      </c>
      <c r="X74" s="118"/>
      <c r="Z74" s="67" t="str">
        <f t="shared" si="57"/>
        <v/>
      </c>
      <c r="AA74" s="13">
        <f t="shared" si="36"/>
        <v>64</v>
      </c>
      <c r="AB74" s="17">
        <f t="shared" si="37"/>
        <v>0</v>
      </c>
      <c r="AC74" s="163" t="str">
        <f t="shared" si="38"/>
        <v/>
      </c>
      <c r="AD74" s="119"/>
      <c r="AE74" s="120"/>
      <c r="AF74" s="121"/>
      <c r="AG74" s="122"/>
      <c r="AH74" s="83"/>
      <c r="AI74" s="115"/>
      <c r="AJ74" s="116"/>
      <c r="AK74" s="83"/>
      <c r="AL74" s="85"/>
      <c r="AM74" s="254"/>
      <c r="AN74" s="254"/>
      <c r="AO74" s="255"/>
    </row>
    <row r="75" spans="2:41" x14ac:dyDescent="0.25">
      <c r="B75" s="321">
        <v>65</v>
      </c>
      <c r="C75" s="17"/>
      <c r="D75" s="273"/>
      <c r="E75" s="117"/>
      <c r="F75" s="4" t="str">
        <f t="shared" si="58"/>
        <v/>
      </c>
      <c r="G75" s="4" t="str">
        <f t="shared" si="59"/>
        <v/>
      </c>
      <c r="H75" s="4" t="str">
        <f t="shared" si="60"/>
        <v/>
      </c>
      <c r="I75" s="4" t="str">
        <f t="shared" si="61"/>
        <v/>
      </c>
      <c r="J75" s="247"/>
      <c r="K75" s="117"/>
      <c r="L75" s="4" t="str">
        <f t="shared" si="52"/>
        <v/>
      </c>
      <c r="M75" s="4" t="str">
        <f t="shared" si="53"/>
        <v/>
      </c>
      <c r="N75" s="4" t="str">
        <f t="shared" si="54"/>
        <v/>
      </c>
      <c r="O75" s="4" t="str">
        <f t="shared" si="55"/>
        <v/>
      </c>
      <c r="P75" s="247"/>
      <c r="Q75" s="117"/>
      <c r="R75" s="4" t="str">
        <f t="shared" si="48"/>
        <v/>
      </c>
      <c r="S75" s="4" t="str">
        <f t="shared" si="49"/>
        <v/>
      </c>
      <c r="T75" s="4" t="str">
        <f t="shared" si="50"/>
        <v/>
      </c>
      <c r="U75" s="4" t="str">
        <f t="shared" si="51"/>
        <v/>
      </c>
      <c r="V75" s="247"/>
      <c r="W75" s="67" t="str">
        <f t="shared" si="56"/>
        <v/>
      </c>
      <c r="X75" s="118"/>
      <c r="Z75" s="67" t="str">
        <f t="shared" si="57"/>
        <v/>
      </c>
      <c r="AA75" s="13">
        <f t="shared" si="36"/>
        <v>65</v>
      </c>
      <c r="AB75" s="17">
        <f t="shared" si="37"/>
        <v>0</v>
      </c>
      <c r="AC75" s="163" t="str">
        <f t="shared" si="38"/>
        <v/>
      </c>
      <c r="AD75" s="119"/>
      <c r="AE75" s="120"/>
      <c r="AF75" s="121"/>
      <c r="AG75" s="122"/>
      <c r="AH75" s="83"/>
      <c r="AI75" s="115"/>
      <c r="AJ75" s="116"/>
      <c r="AK75" s="83"/>
      <c r="AL75" s="85"/>
      <c r="AM75" s="254"/>
      <c r="AN75" s="254"/>
      <c r="AO75" s="255"/>
    </row>
    <row r="76" spans="2:41" x14ac:dyDescent="0.25">
      <c r="B76" s="321">
        <v>66</v>
      </c>
      <c r="C76" s="17"/>
      <c r="D76" s="273"/>
      <c r="E76" s="117"/>
      <c r="F76" s="4" t="str">
        <f t="shared" si="58"/>
        <v/>
      </c>
      <c r="G76" s="4" t="str">
        <f t="shared" si="59"/>
        <v/>
      </c>
      <c r="H76" s="4" t="str">
        <f t="shared" si="60"/>
        <v/>
      </c>
      <c r="I76" s="4" t="str">
        <f t="shared" si="61"/>
        <v/>
      </c>
      <c r="J76" s="247"/>
      <c r="K76" s="117"/>
      <c r="L76" s="4" t="str">
        <f t="shared" si="52"/>
        <v/>
      </c>
      <c r="M76" s="4" t="str">
        <f t="shared" si="53"/>
        <v/>
      </c>
      <c r="N76" s="4" t="str">
        <f t="shared" si="54"/>
        <v/>
      </c>
      <c r="O76" s="4" t="str">
        <f t="shared" si="55"/>
        <v/>
      </c>
      <c r="P76" s="247"/>
      <c r="Q76" s="117"/>
      <c r="R76" s="4" t="str">
        <f t="shared" si="48"/>
        <v/>
      </c>
      <c r="S76" s="4" t="str">
        <f t="shared" si="49"/>
        <v/>
      </c>
      <c r="T76" s="4" t="str">
        <f t="shared" si="50"/>
        <v/>
      </c>
      <c r="U76" s="4" t="str">
        <f t="shared" si="51"/>
        <v/>
      </c>
      <c r="V76" s="247"/>
      <c r="W76" s="67" t="str">
        <f t="shared" si="56"/>
        <v/>
      </c>
      <c r="X76" s="118"/>
      <c r="Z76" s="67" t="str">
        <f t="shared" si="57"/>
        <v/>
      </c>
      <c r="AA76" s="13">
        <f t="shared" si="36"/>
        <v>66</v>
      </c>
      <c r="AB76" s="17">
        <f t="shared" si="37"/>
        <v>0</v>
      </c>
      <c r="AC76" s="163" t="str">
        <f t="shared" si="38"/>
        <v/>
      </c>
      <c r="AD76" s="119"/>
      <c r="AE76" s="120"/>
      <c r="AF76" s="121"/>
      <c r="AG76" s="122"/>
      <c r="AH76" s="83"/>
      <c r="AI76" s="115"/>
      <c r="AJ76" s="116"/>
      <c r="AK76" s="83"/>
      <c r="AL76" s="85"/>
      <c r="AM76" s="254"/>
      <c r="AN76" s="254"/>
      <c r="AO76" s="255"/>
    </row>
    <row r="77" spans="2:41" x14ac:dyDescent="0.25">
      <c r="B77" s="321"/>
      <c r="C77" s="17"/>
      <c r="D77" s="273"/>
      <c r="E77" s="117"/>
      <c r="F77" s="4" t="str">
        <f t="shared" si="58"/>
        <v/>
      </c>
      <c r="G77" s="4" t="str">
        <f t="shared" si="59"/>
        <v/>
      </c>
      <c r="H77" s="4" t="str">
        <f t="shared" si="60"/>
        <v/>
      </c>
      <c r="I77" s="4" t="str">
        <f t="shared" si="61"/>
        <v/>
      </c>
      <c r="J77" s="247"/>
      <c r="K77" s="117"/>
      <c r="L77" s="4" t="str">
        <f t="shared" si="52"/>
        <v/>
      </c>
      <c r="M77" s="4" t="str">
        <f t="shared" si="53"/>
        <v/>
      </c>
      <c r="N77" s="4" t="str">
        <f t="shared" si="54"/>
        <v/>
      </c>
      <c r="O77" s="4" t="str">
        <f t="shared" si="55"/>
        <v/>
      </c>
      <c r="P77" s="247"/>
      <c r="Q77" s="117"/>
      <c r="R77" s="4" t="str">
        <f t="shared" si="48"/>
        <v/>
      </c>
      <c r="S77" s="4" t="str">
        <f t="shared" si="49"/>
        <v/>
      </c>
      <c r="T77" s="4" t="str">
        <f t="shared" si="50"/>
        <v/>
      </c>
      <c r="U77" s="4" t="str">
        <f t="shared" si="51"/>
        <v/>
      </c>
      <c r="V77" s="247"/>
      <c r="W77" s="67" t="str">
        <f t="shared" si="56"/>
        <v/>
      </c>
      <c r="X77" s="118"/>
      <c r="Z77" s="67" t="str">
        <f t="shared" si="57"/>
        <v/>
      </c>
      <c r="AA77" s="13">
        <f t="shared" si="36"/>
        <v>0</v>
      </c>
      <c r="AB77" s="17">
        <f t="shared" si="37"/>
        <v>0</v>
      </c>
      <c r="AC77" s="163" t="str">
        <f t="shared" si="38"/>
        <v/>
      </c>
      <c r="AD77" s="119"/>
      <c r="AE77" s="120"/>
      <c r="AF77" s="121"/>
      <c r="AG77" s="122"/>
      <c r="AH77" s="83"/>
      <c r="AI77" s="115"/>
      <c r="AJ77" s="116"/>
      <c r="AK77" s="83"/>
      <c r="AL77" s="85"/>
      <c r="AM77" s="254"/>
      <c r="AN77" s="254"/>
      <c r="AO77" s="255"/>
    </row>
    <row r="78" spans="2:41" x14ac:dyDescent="0.25">
      <c r="B78" s="321"/>
      <c r="C78" s="17"/>
      <c r="D78" s="273"/>
      <c r="E78" s="117"/>
      <c r="F78" s="4" t="str">
        <f t="shared" si="58"/>
        <v/>
      </c>
      <c r="G78" s="4" t="str">
        <f t="shared" si="59"/>
        <v/>
      </c>
      <c r="H78" s="4" t="str">
        <f t="shared" si="60"/>
        <v/>
      </c>
      <c r="I78" s="4" t="str">
        <f t="shared" si="61"/>
        <v/>
      </c>
      <c r="J78" s="247"/>
      <c r="K78" s="117"/>
      <c r="L78" s="4" t="str">
        <f t="shared" si="52"/>
        <v/>
      </c>
      <c r="M78" s="4" t="str">
        <f t="shared" si="53"/>
        <v/>
      </c>
      <c r="N78" s="4" t="str">
        <f t="shared" si="54"/>
        <v/>
      </c>
      <c r="O78" s="4" t="str">
        <f t="shared" si="55"/>
        <v/>
      </c>
      <c r="P78" s="247"/>
      <c r="Q78" s="117"/>
      <c r="R78" s="4" t="str">
        <f t="shared" si="48"/>
        <v/>
      </c>
      <c r="S78" s="4" t="str">
        <f t="shared" si="49"/>
        <v/>
      </c>
      <c r="T78" s="4" t="str">
        <f t="shared" si="50"/>
        <v/>
      </c>
      <c r="U78" s="4" t="str">
        <f t="shared" si="51"/>
        <v/>
      </c>
      <c r="V78" s="247"/>
      <c r="W78" s="67" t="str">
        <f t="shared" si="56"/>
        <v/>
      </c>
      <c r="X78" s="118"/>
      <c r="Z78" s="67" t="str">
        <f t="shared" si="57"/>
        <v/>
      </c>
      <c r="AA78" s="13">
        <f t="shared" si="36"/>
        <v>0</v>
      </c>
      <c r="AB78" s="17">
        <f t="shared" si="37"/>
        <v>0</v>
      </c>
      <c r="AC78" s="163" t="str">
        <f t="shared" si="38"/>
        <v/>
      </c>
      <c r="AD78" s="119"/>
      <c r="AE78" s="120"/>
      <c r="AF78" s="121"/>
      <c r="AG78" s="122"/>
      <c r="AH78" s="83"/>
      <c r="AI78" s="115"/>
      <c r="AJ78" s="116"/>
      <c r="AK78" s="83"/>
      <c r="AL78" s="85"/>
      <c r="AM78" s="254"/>
      <c r="AN78" s="254"/>
      <c r="AO78" s="255"/>
    </row>
    <row r="79" spans="2:41" x14ac:dyDescent="0.25">
      <c r="B79" s="321"/>
      <c r="C79" s="17"/>
      <c r="D79" s="273"/>
      <c r="E79" s="117"/>
      <c r="F79" s="4" t="str">
        <f t="shared" si="58"/>
        <v/>
      </c>
      <c r="G79" s="4" t="str">
        <f t="shared" si="59"/>
        <v/>
      </c>
      <c r="H79" s="4" t="str">
        <f t="shared" si="60"/>
        <v/>
      </c>
      <c r="I79" s="4" t="str">
        <f t="shared" si="61"/>
        <v/>
      </c>
      <c r="J79" s="247"/>
      <c r="K79" s="117"/>
      <c r="L79" s="4" t="str">
        <f t="shared" si="52"/>
        <v/>
      </c>
      <c r="M79" s="4" t="str">
        <f t="shared" si="53"/>
        <v/>
      </c>
      <c r="N79" s="4" t="str">
        <f t="shared" si="54"/>
        <v/>
      </c>
      <c r="O79" s="4" t="str">
        <f t="shared" si="55"/>
        <v/>
      </c>
      <c r="P79" s="247"/>
      <c r="Q79" s="117"/>
      <c r="R79" s="4" t="str">
        <f t="shared" si="48"/>
        <v/>
      </c>
      <c r="S79" s="4" t="str">
        <f t="shared" si="49"/>
        <v/>
      </c>
      <c r="T79" s="4" t="str">
        <f t="shared" si="50"/>
        <v/>
      </c>
      <c r="U79" s="4" t="str">
        <f t="shared" si="51"/>
        <v/>
      </c>
      <c r="V79" s="247"/>
      <c r="W79" s="67" t="str">
        <f t="shared" si="56"/>
        <v/>
      </c>
      <c r="X79" s="118"/>
      <c r="Z79" s="67" t="str">
        <f t="shared" si="57"/>
        <v/>
      </c>
      <c r="AA79" s="13">
        <f t="shared" si="36"/>
        <v>0</v>
      </c>
      <c r="AB79" s="17">
        <f t="shared" si="37"/>
        <v>0</v>
      </c>
      <c r="AC79" s="163" t="str">
        <f t="shared" si="38"/>
        <v/>
      </c>
      <c r="AD79" s="119"/>
      <c r="AE79" s="120"/>
      <c r="AF79" s="121"/>
      <c r="AG79" s="122"/>
      <c r="AH79" s="83"/>
      <c r="AI79" s="115"/>
      <c r="AJ79" s="116"/>
      <c r="AK79" s="83"/>
      <c r="AL79" s="85"/>
      <c r="AM79" s="254"/>
      <c r="AN79" s="254"/>
      <c r="AO79" s="255"/>
    </row>
    <row r="80" spans="2:41" x14ac:dyDescent="0.25">
      <c r="B80" s="321"/>
      <c r="C80" s="17"/>
      <c r="D80" s="273"/>
      <c r="E80" s="117"/>
      <c r="F80" s="4" t="str">
        <f t="shared" si="58"/>
        <v/>
      </c>
      <c r="G80" s="4" t="str">
        <f t="shared" si="59"/>
        <v/>
      </c>
      <c r="H80" s="4" t="str">
        <f t="shared" si="60"/>
        <v/>
      </c>
      <c r="I80" s="4" t="str">
        <f t="shared" si="61"/>
        <v/>
      </c>
      <c r="J80" s="247"/>
      <c r="K80" s="117"/>
      <c r="L80" s="4" t="str">
        <f t="shared" si="52"/>
        <v/>
      </c>
      <c r="M80" s="4" t="str">
        <f t="shared" si="53"/>
        <v/>
      </c>
      <c r="N80" s="4" t="str">
        <f t="shared" si="54"/>
        <v/>
      </c>
      <c r="O80" s="4" t="str">
        <f t="shared" si="55"/>
        <v/>
      </c>
      <c r="P80" s="247"/>
      <c r="Q80" s="117"/>
      <c r="R80" s="4" t="str">
        <f t="shared" si="48"/>
        <v/>
      </c>
      <c r="S80" s="4" t="str">
        <f t="shared" si="49"/>
        <v/>
      </c>
      <c r="T80" s="4" t="str">
        <f t="shared" si="50"/>
        <v/>
      </c>
      <c r="U80" s="4" t="str">
        <f t="shared" si="51"/>
        <v/>
      </c>
      <c r="V80" s="247"/>
      <c r="W80" s="67" t="str">
        <f t="shared" si="56"/>
        <v/>
      </c>
      <c r="X80" s="118"/>
      <c r="Z80" s="67" t="str">
        <f t="shared" si="57"/>
        <v/>
      </c>
      <c r="AA80" s="13">
        <f t="shared" si="36"/>
        <v>0</v>
      </c>
      <c r="AB80" s="17">
        <f t="shared" si="37"/>
        <v>0</v>
      </c>
      <c r="AC80" s="163" t="str">
        <f t="shared" si="38"/>
        <v/>
      </c>
      <c r="AD80" s="119"/>
      <c r="AE80" s="120"/>
      <c r="AF80" s="121"/>
      <c r="AG80" s="122"/>
      <c r="AH80" s="83"/>
      <c r="AI80" s="115"/>
      <c r="AJ80" s="116"/>
      <c r="AK80" s="83"/>
      <c r="AL80" s="85"/>
      <c r="AM80" s="254"/>
      <c r="AN80" s="254"/>
      <c r="AO80" s="255"/>
    </row>
    <row r="81" spans="2:41" x14ac:dyDescent="0.25">
      <c r="B81" s="321"/>
      <c r="C81" s="17"/>
      <c r="D81" s="273"/>
      <c r="E81" s="117"/>
      <c r="F81" s="4" t="str">
        <f t="shared" si="58"/>
        <v/>
      </c>
      <c r="G81" s="4" t="str">
        <f t="shared" si="59"/>
        <v/>
      </c>
      <c r="H81" s="4" t="str">
        <f t="shared" si="60"/>
        <v/>
      </c>
      <c r="I81" s="4" t="str">
        <f t="shared" si="61"/>
        <v/>
      </c>
      <c r="J81" s="247"/>
      <c r="K81" s="117"/>
      <c r="L81" s="4" t="str">
        <f t="shared" si="52"/>
        <v/>
      </c>
      <c r="M81" s="4" t="str">
        <f t="shared" si="53"/>
        <v/>
      </c>
      <c r="N81" s="4" t="str">
        <f t="shared" si="54"/>
        <v/>
      </c>
      <c r="O81" s="4" t="str">
        <f t="shared" si="55"/>
        <v/>
      </c>
      <c r="P81" s="247"/>
      <c r="Q81" s="117"/>
      <c r="R81" s="4" t="str">
        <f t="shared" si="48"/>
        <v/>
      </c>
      <c r="S81" s="4" t="str">
        <f t="shared" si="49"/>
        <v/>
      </c>
      <c r="T81" s="4" t="str">
        <f t="shared" si="50"/>
        <v/>
      </c>
      <c r="U81" s="4" t="str">
        <f t="shared" si="51"/>
        <v/>
      </c>
      <c r="V81" s="247"/>
      <c r="W81" s="67" t="str">
        <f t="shared" si="56"/>
        <v/>
      </c>
      <c r="X81" s="118"/>
      <c r="Z81" s="67" t="str">
        <f t="shared" si="57"/>
        <v/>
      </c>
      <c r="AA81" s="13">
        <f t="shared" si="36"/>
        <v>0</v>
      </c>
      <c r="AB81" s="17">
        <f t="shared" si="37"/>
        <v>0</v>
      </c>
      <c r="AC81" s="163" t="str">
        <f t="shared" si="38"/>
        <v/>
      </c>
      <c r="AD81" s="119"/>
      <c r="AE81" s="120"/>
      <c r="AF81" s="121"/>
      <c r="AG81" s="122"/>
      <c r="AH81" s="83"/>
      <c r="AI81" s="115"/>
      <c r="AJ81" s="116"/>
      <c r="AK81" s="83"/>
      <c r="AL81" s="85"/>
      <c r="AM81" s="254"/>
      <c r="AN81" s="254"/>
      <c r="AO81" s="255"/>
    </row>
    <row r="82" spans="2:41" x14ac:dyDescent="0.25">
      <c r="B82" s="321"/>
      <c r="C82" s="17"/>
      <c r="D82" s="273"/>
      <c r="E82" s="117"/>
      <c r="F82" s="4" t="str">
        <f t="shared" si="58"/>
        <v/>
      </c>
      <c r="G82" s="4" t="str">
        <f t="shared" si="59"/>
        <v/>
      </c>
      <c r="H82" s="4" t="str">
        <f t="shared" si="60"/>
        <v/>
      </c>
      <c r="I82" s="4" t="str">
        <f t="shared" si="61"/>
        <v/>
      </c>
      <c r="J82" s="247"/>
      <c r="K82" s="117"/>
      <c r="L82" s="4" t="str">
        <f t="shared" si="52"/>
        <v/>
      </c>
      <c r="M82" s="4" t="str">
        <f t="shared" si="53"/>
        <v/>
      </c>
      <c r="N82" s="4" t="str">
        <f t="shared" si="54"/>
        <v/>
      </c>
      <c r="O82" s="4" t="str">
        <f t="shared" si="55"/>
        <v/>
      </c>
      <c r="P82" s="247"/>
      <c r="Q82" s="117"/>
      <c r="R82" s="4" t="str">
        <f t="shared" si="48"/>
        <v/>
      </c>
      <c r="S82" s="4" t="str">
        <f t="shared" si="49"/>
        <v/>
      </c>
      <c r="T82" s="4" t="str">
        <f t="shared" si="50"/>
        <v/>
      </c>
      <c r="U82" s="4" t="str">
        <f t="shared" si="51"/>
        <v/>
      </c>
      <c r="V82" s="247"/>
      <c r="W82" s="67" t="str">
        <f t="shared" si="56"/>
        <v/>
      </c>
      <c r="X82" s="118"/>
      <c r="Z82" s="67" t="str">
        <f t="shared" si="57"/>
        <v/>
      </c>
      <c r="AA82" s="13">
        <f t="shared" si="36"/>
        <v>0</v>
      </c>
      <c r="AB82" s="17">
        <f t="shared" si="37"/>
        <v>0</v>
      </c>
      <c r="AC82" s="163" t="str">
        <f t="shared" si="38"/>
        <v/>
      </c>
      <c r="AD82" s="119"/>
      <c r="AE82" s="120"/>
      <c r="AF82" s="121"/>
      <c r="AG82" s="122"/>
      <c r="AH82" s="83"/>
      <c r="AI82" s="115"/>
      <c r="AJ82" s="116"/>
      <c r="AK82" s="83"/>
      <c r="AL82" s="85"/>
      <c r="AM82" s="254"/>
      <c r="AN82" s="254"/>
      <c r="AO82" s="255"/>
    </row>
    <row r="83" spans="2:41" x14ac:dyDescent="0.25">
      <c r="B83" s="321"/>
      <c r="C83" s="17"/>
      <c r="D83" s="273"/>
      <c r="E83" s="117"/>
      <c r="F83" s="4" t="str">
        <f t="shared" si="58"/>
        <v/>
      </c>
      <c r="G83" s="4" t="str">
        <f t="shared" si="59"/>
        <v/>
      </c>
      <c r="H83" s="4" t="str">
        <f t="shared" si="60"/>
        <v/>
      </c>
      <c r="I83" s="4" t="str">
        <f t="shared" si="61"/>
        <v/>
      </c>
      <c r="J83" s="247"/>
      <c r="K83" s="117"/>
      <c r="L83" s="4" t="str">
        <f t="shared" si="52"/>
        <v/>
      </c>
      <c r="M83" s="4" t="str">
        <f t="shared" si="53"/>
        <v/>
      </c>
      <c r="N83" s="4" t="str">
        <f t="shared" si="54"/>
        <v/>
      </c>
      <c r="O83" s="4" t="str">
        <f t="shared" si="55"/>
        <v/>
      </c>
      <c r="P83" s="247"/>
      <c r="Q83" s="117"/>
      <c r="R83" s="4" t="str">
        <f t="shared" si="48"/>
        <v/>
      </c>
      <c r="S83" s="4" t="str">
        <f t="shared" si="49"/>
        <v/>
      </c>
      <c r="T83" s="4" t="str">
        <f t="shared" si="50"/>
        <v/>
      </c>
      <c r="U83" s="4" t="str">
        <f t="shared" si="51"/>
        <v/>
      </c>
      <c r="V83" s="247"/>
      <c r="W83" s="67" t="str">
        <f t="shared" si="56"/>
        <v/>
      </c>
      <c r="X83" s="118"/>
      <c r="Z83" s="67" t="str">
        <f t="shared" si="57"/>
        <v/>
      </c>
      <c r="AA83" s="13">
        <f t="shared" ref="AA83:AA90" si="62">B83</f>
        <v>0</v>
      </c>
      <c r="AB83" s="17">
        <f t="shared" si="37"/>
        <v>0</v>
      </c>
      <c r="AC83" s="163" t="str">
        <f t="shared" ref="AC83:AC90" si="63">F83</f>
        <v/>
      </c>
      <c r="AD83" s="119"/>
      <c r="AE83" s="120"/>
      <c r="AF83" s="121"/>
      <c r="AG83" s="122"/>
      <c r="AH83" s="83"/>
      <c r="AI83" s="115"/>
      <c r="AJ83" s="116"/>
      <c r="AK83" s="83"/>
      <c r="AL83" s="85"/>
      <c r="AM83" s="254"/>
      <c r="AN83" s="254"/>
      <c r="AO83" s="255"/>
    </row>
    <row r="84" spans="2:41" x14ac:dyDescent="0.25">
      <c r="B84" s="321"/>
      <c r="C84" s="17"/>
      <c r="D84" s="273"/>
      <c r="E84" s="117"/>
      <c r="F84" s="4" t="str">
        <f t="shared" si="58"/>
        <v/>
      </c>
      <c r="G84" s="4" t="str">
        <f t="shared" si="59"/>
        <v/>
      </c>
      <c r="H84" s="4" t="str">
        <f t="shared" si="60"/>
        <v/>
      </c>
      <c r="I84" s="4" t="str">
        <f t="shared" si="61"/>
        <v/>
      </c>
      <c r="J84" s="247"/>
      <c r="K84" s="117"/>
      <c r="L84" s="4" t="str">
        <f t="shared" si="52"/>
        <v/>
      </c>
      <c r="M84" s="4" t="str">
        <f t="shared" si="53"/>
        <v/>
      </c>
      <c r="N84" s="4" t="str">
        <f t="shared" si="54"/>
        <v/>
      </c>
      <c r="O84" s="4" t="str">
        <f t="shared" si="55"/>
        <v/>
      </c>
      <c r="P84" s="247"/>
      <c r="Q84" s="117"/>
      <c r="R84" s="4" t="str">
        <f t="shared" si="48"/>
        <v/>
      </c>
      <c r="S84" s="4" t="str">
        <f t="shared" si="49"/>
        <v/>
      </c>
      <c r="T84" s="4" t="str">
        <f t="shared" si="50"/>
        <v/>
      </c>
      <c r="U84" s="4" t="str">
        <f t="shared" si="51"/>
        <v/>
      </c>
      <c r="V84" s="247"/>
      <c r="W84" s="67" t="str">
        <f t="shared" si="56"/>
        <v/>
      </c>
      <c r="X84" s="118"/>
      <c r="Z84" s="67" t="str">
        <f t="shared" si="57"/>
        <v/>
      </c>
      <c r="AA84" s="13">
        <f t="shared" si="62"/>
        <v>0</v>
      </c>
      <c r="AB84" s="17">
        <f t="shared" si="37"/>
        <v>0</v>
      </c>
      <c r="AC84" s="163" t="str">
        <f t="shared" si="63"/>
        <v/>
      </c>
      <c r="AD84" s="119"/>
      <c r="AE84" s="120"/>
      <c r="AF84" s="121"/>
      <c r="AG84" s="122"/>
      <c r="AH84" s="83"/>
      <c r="AI84" s="115"/>
      <c r="AJ84" s="116"/>
      <c r="AK84" s="83"/>
      <c r="AL84" s="85"/>
      <c r="AM84" s="254"/>
      <c r="AN84" s="254"/>
      <c r="AO84" s="255"/>
    </row>
    <row r="85" spans="2:41" x14ac:dyDescent="0.25">
      <c r="B85" s="321"/>
      <c r="C85" s="17"/>
      <c r="D85" s="273"/>
      <c r="E85" s="117"/>
      <c r="F85" s="4" t="str">
        <f t="shared" si="58"/>
        <v/>
      </c>
      <c r="G85" s="4" t="str">
        <f t="shared" si="59"/>
        <v/>
      </c>
      <c r="H85" s="4" t="str">
        <f t="shared" si="60"/>
        <v/>
      </c>
      <c r="I85" s="4" t="str">
        <f t="shared" si="61"/>
        <v/>
      </c>
      <c r="J85" s="247"/>
      <c r="K85" s="117"/>
      <c r="L85" s="4" t="str">
        <f t="shared" si="52"/>
        <v/>
      </c>
      <c r="M85" s="4" t="str">
        <f t="shared" si="53"/>
        <v/>
      </c>
      <c r="N85" s="4" t="str">
        <f t="shared" si="54"/>
        <v/>
      </c>
      <c r="O85" s="4" t="str">
        <f t="shared" si="55"/>
        <v/>
      </c>
      <c r="P85" s="247"/>
      <c r="Q85" s="117"/>
      <c r="R85" s="4" t="str">
        <f t="shared" si="48"/>
        <v/>
      </c>
      <c r="S85" s="4" t="str">
        <f t="shared" si="49"/>
        <v/>
      </c>
      <c r="T85" s="4" t="str">
        <f t="shared" si="50"/>
        <v/>
      </c>
      <c r="U85" s="4" t="str">
        <f t="shared" si="51"/>
        <v/>
      </c>
      <c r="V85" s="247"/>
      <c r="W85" s="67" t="str">
        <f t="shared" si="56"/>
        <v/>
      </c>
      <c r="X85" s="118"/>
      <c r="Z85" s="67" t="str">
        <f t="shared" si="57"/>
        <v/>
      </c>
      <c r="AA85" s="13">
        <f t="shared" si="62"/>
        <v>0</v>
      </c>
      <c r="AB85" s="17">
        <f t="shared" si="37"/>
        <v>0</v>
      </c>
      <c r="AC85" s="163" t="str">
        <f t="shared" si="63"/>
        <v/>
      </c>
      <c r="AD85" s="119"/>
      <c r="AE85" s="120"/>
      <c r="AF85" s="121"/>
      <c r="AG85" s="122"/>
      <c r="AH85" s="83"/>
      <c r="AI85" s="115"/>
      <c r="AJ85" s="116"/>
      <c r="AK85" s="83"/>
      <c r="AL85" s="85"/>
      <c r="AM85" s="254"/>
      <c r="AN85" s="254"/>
      <c r="AO85" s="255"/>
    </row>
    <row r="86" spans="2:41" x14ac:dyDescent="0.25">
      <c r="B86" s="321"/>
      <c r="C86" s="17"/>
      <c r="D86" s="273"/>
      <c r="E86" s="117"/>
      <c r="F86" s="4" t="str">
        <f t="shared" si="58"/>
        <v/>
      </c>
      <c r="G86" s="4" t="str">
        <f t="shared" si="59"/>
        <v/>
      </c>
      <c r="H86" s="4" t="str">
        <f t="shared" si="60"/>
        <v/>
      </c>
      <c r="I86" s="4" t="str">
        <f t="shared" si="61"/>
        <v/>
      </c>
      <c r="J86" s="247"/>
      <c r="K86" s="117"/>
      <c r="L86" s="4" t="str">
        <f t="shared" ref="L86:L123" si="64">IFERROR(IF(VLOOKUP($K86,Inward,2,FALSE)&gt;0,VLOOKUP($K86,Inward,2,FALSE),""),"")</f>
        <v/>
      </c>
      <c r="M86" s="4" t="str">
        <f t="shared" ref="M86:M123" si="65">IFERROR(IF(VLOOKUP($K86,Inward,7,FALSE)&gt;0,VLOOKUP($K86,Inward,7,FALSE),""),"")</f>
        <v/>
      </c>
      <c r="N86" s="4" t="str">
        <f t="shared" ref="N86:N123" si="66">IFERROR(IF(VLOOKUP($K86,Inward,8,FALSE)&gt;0,VLOOKUP($K86,Inward,8,FALSE),""),"")</f>
        <v/>
      </c>
      <c r="O86" s="4" t="str">
        <f t="shared" ref="O86:O123" si="67">IFERROR(IF(VLOOKUP($K86,Inward,11,FALSE)&gt;0,VLOOKUP($K86,Inward,11,FALSE),""),"")</f>
        <v/>
      </c>
      <c r="P86" s="247"/>
      <c r="Q86" s="117"/>
      <c r="R86" s="4" t="str">
        <f t="shared" si="48"/>
        <v/>
      </c>
      <c r="S86" s="4" t="str">
        <f t="shared" si="49"/>
        <v/>
      </c>
      <c r="T86" s="4" t="str">
        <f t="shared" si="50"/>
        <v/>
      </c>
      <c r="U86" s="4" t="str">
        <f t="shared" si="51"/>
        <v/>
      </c>
      <c r="V86" s="247"/>
      <c r="W86" s="67" t="str">
        <f t="shared" si="56"/>
        <v/>
      </c>
      <c r="X86" s="118"/>
      <c r="Z86" s="67" t="str">
        <f t="shared" si="57"/>
        <v/>
      </c>
      <c r="AA86" s="13">
        <f t="shared" si="62"/>
        <v>0</v>
      </c>
      <c r="AB86" s="17">
        <f t="shared" si="37"/>
        <v>0</v>
      </c>
      <c r="AC86" s="163" t="str">
        <f t="shared" si="63"/>
        <v/>
      </c>
      <c r="AD86" s="119"/>
      <c r="AE86" s="120"/>
      <c r="AF86" s="121"/>
      <c r="AG86" s="122"/>
      <c r="AH86" s="83"/>
      <c r="AI86" s="115"/>
      <c r="AJ86" s="116"/>
      <c r="AK86" s="83"/>
      <c r="AL86" s="85"/>
      <c r="AM86" s="254"/>
      <c r="AN86" s="254"/>
      <c r="AO86" s="255"/>
    </row>
    <row r="87" spans="2:41" x14ac:dyDescent="0.25">
      <c r="B87" s="321"/>
      <c r="C87" s="17"/>
      <c r="D87" s="273"/>
      <c r="E87" s="117"/>
      <c r="F87" s="4" t="str">
        <f t="shared" si="58"/>
        <v/>
      </c>
      <c r="G87" s="4" t="str">
        <f t="shared" si="59"/>
        <v/>
      </c>
      <c r="H87" s="4" t="str">
        <f t="shared" si="60"/>
        <v/>
      </c>
      <c r="I87" s="4" t="str">
        <f t="shared" si="61"/>
        <v/>
      </c>
      <c r="J87" s="247"/>
      <c r="K87" s="117"/>
      <c r="L87" s="4" t="str">
        <f t="shared" si="64"/>
        <v/>
      </c>
      <c r="M87" s="4" t="str">
        <f t="shared" si="65"/>
        <v/>
      </c>
      <c r="N87" s="4" t="str">
        <f t="shared" si="66"/>
        <v/>
      </c>
      <c r="O87" s="4" t="str">
        <f t="shared" si="67"/>
        <v/>
      </c>
      <c r="P87" s="247"/>
      <c r="Q87" s="117"/>
      <c r="R87" s="4" t="str">
        <f t="shared" si="48"/>
        <v/>
      </c>
      <c r="S87" s="4" t="str">
        <f t="shared" si="49"/>
        <v/>
      </c>
      <c r="T87" s="4" t="str">
        <f t="shared" si="50"/>
        <v/>
      </c>
      <c r="U87" s="4" t="str">
        <f t="shared" si="51"/>
        <v/>
      </c>
      <c r="V87" s="247"/>
      <c r="W87" s="67" t="str">
        <f t="shared" si="56"/>
        <v/>
      </c>
      <c r="X87" s="118"/>
      <c r="Z87" s="67" t="str">
        <f t="shared" si="57"/>
        <v/>
      </c>
      <c r="AA87" s="13">
        <f t="shared" si="62"/>
        <v>0</v>
      </c>
      <c r="AB87" s="17">
        <f t="shared" si="37"/>
        <v>0</v>
      </c>
      <c r="AC87" s="163" t="str">
        <f t="shared" si="63"/>
        <v/>
      </c>
      <c r="AD87" s="119"/>
      <c r="AE87" s="120"/>
      <c r="AF87" s="121"/>
      <c r="AG87" s="122"/>
      <c r="AH87" s="83"/>
      <c r="AI87" s="115"/>
      <c r="AJ87" s="116"/>
      <c r="AK87" s="83"/>
      <c r="AL87" s="85"/>
      <c r="AM87" s="254"/>
      <c r="AN87" s="254"/>
      <c r="AO87" s="255"/>
    </row>
    <row r="88" spans="2:41" x14ac:dyDescent="0.25">
      <c r="B88" s="321"/>
      <c r="C88" s="17"/>
      <c r="D88" s="273"/>
      <c r="E88" s="117"/>
      <c r="F88" s="4" t="str">
        <f t="shared" si="58"/>
        <v/>
      </c>
      <c r="G88" s="4" t="str">
        <f t="shared" si="59"/>
        <v/>
      </c>
      <c r="H88" s="4" t="str">
        <f t="shared" si="60"/>
        <v/>
      </c>
      <c r="I88" s="4" t="str">
        <f t="shared" si="61"/>
        <v/>
      </c>
      <c r="J88" s="247"/>
      <c r="K88" s="117"/>
      <c r="L88" s="4" t="str">
        <f t="shared" si="64"/>
        <v/>
      </c>
      <c r="M88" s="4" t="str">
        <f t="shared" si="65"/>
        <v/>
      </c>
      <c r="N88" s="4" t="str">
        <f t="shared" si="66"/>
        <v/>
      </c>
      <c r="O88" s="4" t="str">
        <f t="shared" si="67"/>
        <v/>
      </c>
      <c r="P88" s="247"/>
      <c r="Q88" s="117"/>
      <c r="R88" s="4" t="str">
        <f t="shared" si="48"/>
        <v/>
      </c>
      <c r="S88" s="4" t="str">
        <f t="shared" si="49"/>
        <v/>
      </c>
      <c r="T88" s="4" t="str">
        <f t="shared" si="50"/>
        <v/>
      </c>
      <c r="U88" s="4" t="str">
        <f t="shared" si="51"/>
        <v/>
      </c>
      <c r="V88" s="247"/>
      <c r="W88" s="67" t="str">
        <f t="shared" si="56"/>
        <v/>
      </c>
      <c r="X88" s="118"/>
      <c r="Z88" s="67" t="str">
        <f t="shared" si="57"/>
        <v/>
      </c>
      <c r="AA88" s="13">
        <f t="shared" si="62"/>
        <v>0</v>
      </c>
      <c r="AB88" s="17">
        <f t="shared" si="37"/>
        <v>0</v>
      </c>
      <c r="AC88" s="163" t="str">
        <f t="shared" si="63"/>
        <v/>
      </c>
      <c r="AD88" s="119"/>
      <c r="AE88" s="120"/>
      <c r="AF88" s="121"/>
      <c r="AG88" s="122"/>
      <c r="AH88" s="83"/>
      <c r="AI88" s="115"/>
      <c r="AJ88" s="116"/>
      <c r="AK88" s="83"/>
      <c r="AL88" s="85"/>
      <c r="AM88" s="254"/>
      <c r="AN88" s="254"/>
      <c r="AO88" s="255"/>
    </row>
    <row r="89" spans="2:41" x14ac:dyDescent="0.25">
      <c r="B89" s="321"/>
      <c r="C89" s="17"/>
      <c r="D89" s="273"/>
      <c r="E89" s="117"/>
      <c r="F89" s="4" t="str">
        <f t="shared" si="58"/>
        <v/>
      </c>
      <c r="G89" s="4" t="str">
        <f t="shared" si="59"/>
        <v/>
      </c>
      <c r="H89" s="4" t="str">
        <f t="shared" si="60"/>
        <v/>
      </c>
      <c r="I89" s="4" t="str">
        <f t="shared" si="61"/>
        <v/>
      </c>
      <c r="J89" s="247"/>
      <c r="K89" s="117"/>
      <c r="L89" s="4" t="str">
        <f t="shared" si="64"/>
        <v/>
      </c>
      <c r="M89" s="4" t="str">
        <f t="shared" si="65"/>
        <v/>
      </c>
      <c r="N89" s="4" t="str">
        <f t="shared" si="66"/>
        <v/>
      </c>
      <c r="O89" s="4" t="str">
        <f t="shared" si="67"/>
        <v/>
      </c>
      <c r="P89" s="247"/>
      <c r="Q89" s="117"/>
      <c r="R89" s="4" t="str">
        <f t="shared" si="48"/>
        <v/>
      </c>
      <c r="S89" s="4" t="str">
        <f t="shared" si="49"/>
        <v/>
      </c>
      <c r="T89" s="4" t="str">
        <f t="shared" si="50"/>
        <v/>
      </c>
      <c r="U89" s="4" t="str">
        <f t="shared" si="51"/>
        <v/>
      </c>
      <c r="V89" s="247"/>
      <c r="W89" s="67" t="str">
        <f t="shared" si="56"/>
        <v/>
      </c>
      <c r="X89" s="118"/>
      <c r="Z89" s="67" t="str">
        <f t="shared" si="57"/>
        <v/>
      </c>
      <c r="AA89" s="13">
        <f t="shared" si="62"/>
        <v>0</v>
      </c>
      <c r="AB89" s="17">
        <f t="shared" si="37"/>
        <v>0</v>
      </c>
      <c r="AC89" s="163" t="str">
        <f t="shared" si="63"/>
        <v/>
      </c>
      <c r="AD89" s="119"/>
      <c r="AE89" s="120"/>
      <c r="AF89" s="121"/>
      <c r="AG89" s="122"/>
      <c r="AH89" s="83"/>
      <c r="AI89" s="115"/>
      <c r="AJ89" s="116"/>
      <c r="AK89" s="83"/>
      <c r="AL89" s="85"/>
      <c r="AM89" s="254"/>
      <c r="AN89" s="254"/>
      <c r="AO89" s="255"/>
    </row>
    <row r="90" spans="2:41" x14ac:dyDescent="0.25">
      <c r="B90" s="321"/>
      <c r="C90" s="17"/>
      <c r="D90" s="273"/>
      <c r="E90" s="117"/>
      <c r="F90" s="4" t="str">
        <f t="shared" ref="F90:F97" si="68">IFERROR(IF(VLOOKUP($E90,Inward,2,FALSE)&gt;0,VLOOKUP($E90,Inward,2,FALSE),""),"")</f>
        <v/>
      </c>
      <c r="G90" s="4" t="str">
        <f t="shared" ref="G90:G97" si="69">IFERROR(IF(VLOOKUP($E90,Inward,7,FALSE)&gt;0,VLOOKUP($E90,Inward,7,FALSE),""),"")</f>
        <v/>
      </c>
      <c r="H90" s="4" t="str">
        <f t="shared" ref="H90:H97" si="70">IFERROR(IF(VLOOKUP($E90,Inward,8,FALSE)&gt;0,VLOOKUP($E90,Inward,8,FALSE),""),"")</f>
        <v/>
      </c>
      <c r="I90" s="4" t="str">
        <f t="shared" ref="I90:I97" si="71">IFERROR(IF(VLOOKUP($E90,Inward,11,FALSE)&gt;0,VLOOKUP($E90,Inward,11,FALSE),""),"")</f>
        <v/>
      </c>
      <c r="J90" s="247"/>
      <c r="K90" s="117"/>
      <c r="L90" s="4" t="str">
        <f t="shared" si="64"/>
        <v/>
      </c>
      <c r="M90" s="4" t="str">
        <f t="shared" si="65"/>
        <v/>
      </c>
      <c r="N90" s="4" t="str">
        <f t="shared" si="66"/>
        <v/>
      </c>
      <c r="O90" s="4" t="str">
        <f t="shared" si="67"/>
        <v/>
      </c>
      <c r="P90" s="247"/>
      <c r="Q90" s="117"/>
      <c r="R90" s="4" t="str">
        <f t="shared" si="48"/>
        <v/>
      </c>
      <c r="S90" s="4" t="str">
        <f t="shared" si="49"/>
        <v/>
      </c>
      <c r="T90" s="4" t="str">
        <f t="shared" si="50"/>
        <v/>
      </c>
      <c r="U90" s="4" t="str">
        <f t="shared" si="51"/>
        <v/>
      </c>
      <c r="V90" s="247"/>
      <c r="W90" s="67" t="str">
        <f t="shared" si="56"/>
        <v/>
      </c>
      <c r="X90" s="118"/>
      <c r="Z90" s="67" t="str">
        <f t="shared" si="57"/>
        <v/>
      </c>
      <c r="AA90" s="13">
        <f t="shared" si="62"/>
        <v>0</v>
      </c>
      <c r="AB90" s="17">
        <f t="shared" si="37"/>
        <v>0</v>
      </c>
      <c r="AC90" s="163" t="str">
        <f t="shared" si="63"/>
        <v/>
      </c>
      <c r="AD90" s="119"/>
      <c r="AE90" s="120"/>
      <c r="AF90" s="121"/>
      <c r="AG90" s="122"/>
      <c r="AH90" s="83"/>
      <c r="AI90" s="115"/>
      <c r="AJ90" s="116"/>
      <c r="AK90" s="83"/>
      <c r="AL90" s="85"/>
      <c r="AM90" s="254"/>
      <c r="AN90" s="254"/>
      <c r="AO90" s="255"/>
    </row>
    <row r="91" spans="2:41" x14ac:dyDescent="0.25">
      <c r="B91" s="321"/>
      <c r="C91" s="17"/>
      <c r="D91" s="273"/>
      <c r="E91" s="117"/>
      <c r="F91" s="4" t="str">
        <f t="shared" si="68"/>
        <v/>
      </c>
      <c r="G91" s="4" t="str">
        <f t="shared" si="69"/>
        <v/>
      </c>
      <c r="H91" s="4" t="str">
        <f t="shared" si="70"/>
        <v/>
      </c>
      <c r="I91" s="4" t="str">
        <f t="shared" si="71"/>
        <v/>
      </c>
      <c r="J91" s="247"/>
      <c r="K91" s="117"/>
      <c r="L91" s="4" t="str">
        <f t="shared" si="64"/>
        <v/>
      </c>
      <c r="M91" s="4" t="str">
        <f t="shared" si="65"/>
        <v/>
      </c>
      <c r="N91" s="4" t="str">
        <f t="shared" si="66"/>
        <v/>
      </c>
      <c r="O91" s="4" t="str">
        <f t="shared" si="67"/>
        <v/>
      </c>
      <c r="P91" s="247"/>
      <c r="Q91" s="117"/>
      <c r="R91" s="4" t="str">
        <f t="shared" si="48"/>
        <v/>
      </c>
      <c r="S91" s="4" t="str">
        <f t="shared" si="49"/>
        <v/>
      </c>
      <c r="T91" s="4" t="str">
        <f t="shared" si="50"/>
        <v/>
      </c>
      <c r="U91" s="4" t="str">
        <f t="shared" si="51"/>
        <v/>
      </c>
      <c r="V91" s="247"/>
      <c r="W91" s="67" t="str">
        <f t="shared" si="56"/>
        <v/>
      </c>
      <c r="X91" s="118"/>
      <c r="Z91" s="67" t="str">
        <f t="shared" si="57"/>
        <v/>
      </c>
      <c r="AA91" s="13">
        <f t="shared" ref="AA91:AA97" si="72">B91</f>
        <v>0</v>
      </c>
      <c r="AB91" s="17">
        <f t="shared" ref="AB91:AB97" si="73">C91</f>
        <v>0</v>
      </c>
      <c r="AC91" s="163" t="str">
        <f t="shared" ref="AC91:AC97" si="74">F91</f>
        <v/>
      </c>
      <c r="AD91" s="119"/>
      <c r="AE91" s="120"/>
      <c r="AF91" s="121"/>
      <c r="AG91" s="122"/>
      <c r="AH91" s="83"/>
      <c r="AI91" s="115"/>
      <c r="AJ91" s="116"/>
      <c r="AK91" s="83"/>
      <c r="AL91" s="85"/>
      <c r="AM91" s="254"/>
      <c r="AN91" s="254"/>
      <c r="AO91" s="255"/>
    </row>
    <row r="92" spans="2:41" x14ac:dyDescent="0.25">
      <c r="B92" s="321"/>
      <c r="C92" s="17"/>
      <c r="D92" s="273"/>
      <c r="E92" s="117"/>
      <c r="F92" s="4" t="str">
        <f t="shared" si="68"/>
        <v/>
      </c>
      <c r="G92" s="4" t="str">
        <f t="shared" si="69"/>
        <v/>
      </c>
      <c r="H92" s="4" t="str">
        <f t="shared" si="70"/>
        <v/>
      </c>
      <c r="I92" s="4" t="str">
        <f t="shared" si="71"/>
        <v/>
      </c>
      <c r="J92" s="247"/>
      <c r="K92" s="117"/>
      <c r="L92" s="4" t="str">
        <f t="shared" si="64"/>
        <v/>
      </c>
      <c r="M92" s="4" t="str">
        <f t="shared" si="65"/>
        <v/>
      </c>
      <c r="N92" s="4" t="str">
        <f t="shared" si="66"/>
        <v/>
      </c>
      <c r="O92" s="4" t="str">
        <f t="shared" si="67"/>
        <v/>
      </c>
      <c r="P92" s="247"/>
      <c r="Q92" s="117"/>
      <c r="R92" s="4" t="str">
        <f t="shared" si="48"/>
        <v/>
      </c>
      <c r="S92" s="4" t="str">
        <f t="shared" si="49"/>
        <v/>
      </c>
      <c r="T92" s="4" t="str">
        <f t="shared" si="50"/>
        <v/>
      </c>
      <c r="U92" s="4" t="str">
        <f t="shared" si="51"/>
        <v/>
      </c>
      <c r="V92" s="247"/>
      <c r="W92" s="67" t="str">
        <f t="shared" si="56"/>
        <v/>
      </c>
      <c r="X92" s="118"/>
      <c r="Z92" s="67" t="str">
        <f t="shared" si="57"/>
        <v/>
      </c>
      <c r="AA92" s="13">
        <f t="shared" si="72"/>
        <v>0</v>
      </c>
      <c r="AB92" s="17">
        <f t="shared" si="73"/>
        <v>0</v>
      </c>
      <c r="AC92" s="163" t="str">
        <f t="shared" si="74"/>
        <v/>
      </c>
      <c r="AD92" s="119"/>
      <c r="AE92" s="120"/>
      <c r="AF92" s="121"/>
      <c r="AG92" s="122"/>
      <c r="AH92" s="83"/>
      <c r="AI92" s="115"/>
      <c r="AJ92" s="116"/>
      <c r="AK92" s="83"/>
      <c r="AL92" s="85"/>
      <c r="AM92" s="254"/>
      <c r="AN92" s="254"/>
      <c r="AO92" s="255"/>
    </row>
    <row r="93" spans="2:41" x14ac:dyDescent="0.25">
      <c r="B93" s="321"/>
      <c r="C93" s="17"/>
      <c r="D93" s="273"/>
      <c r="E93" s="117"/>
      <c r="F93" s="4" t="str">
        <f t="shared" si="68"/>
        <v/>
      </c>
      <c r="G93" s="4" t="str">
        <f t="shared" si="69"/>
        <v/>
      </c>
      <c r="H93" s="4" t="str">
        <f t="shared" si="70"/>
        <v/>
      </c>
      <c r="I93" s="4" t="str">
        <f t="shared" si="71"/>
        <v/>
      </c>
      <c r="J93" s="247"/>
      <c r="K93" s="117"/>
      <c r="L93" s="4" t="str">
        <f t="shared" si="64"/>
        <v/>
      </c>
      <c r="M93" s="4" t="str">
        <f t="shared" si="65"/>
        <v/>
      </c>
      <c r="N93" s="4" t="str">
        <f t="shared" si="66"/>
        <v/>
      </c>
      <c r="O93" s="4" t="str">
        <f t="shared" si="67"/>
        <v/>
      </c>
      <c r="P93" s="247"/>
      <c r="Q93" s="117"/>
      <c r="R93" s="4" t="str">
        <f t="shared" si="48"/>
        <v/>
      </c>
      <c r="S93" s="4" t="str">
        <f t="shared" si="49"/>
        <v/>
      </c>
      <c r="T93" s="4" t="str">
        <f t="shared" si="50"/>
        <v/>
      </c>
      <c r="U93" s="4" t="str">
        <f t="shared" si="51"/>
        <v/>
      </c>
      <c r="V93" s="247"/>
      <c r="W93" s="67" t="str">
        <f t="shared" si="56"/>
        <v/>
      </c>
      <c r="X93" s="118"/>
      <c r="Z93" s="67" t="str">
        <f t="shared" si="57"/>
        <v/>
      </c>
      <c r="AA93" s="13">
        <f t="shared" si="72"/>
        <v>0</v>
      </c>
      <c r="AB93" s="17">
        <f t="shared" si="73"/>
        <v>0</v>
      </c>
      <c r="AC93" s="163" t="str">
        <f t="shared" si="74"/>
        <v/>
      </c>
      <c r="AD93" s="119"/>
      <c r="AE93" s="120"/>
      <c r="AF93" s="121"/>
      <c r="AG93" s="122"/>
      <c r="AH93" s="83"/>
      <c r="AI93" s="115"/>
      <c r="AJ93" s="116"/>
      <c r="AK93" s="83"/>
      <c r="AL93" s="85"/>
      <c r="AM93" s="254"/>
      <c r="AN93" s="254"/>
      <c r="AO93" s="255"/>
    </row>
    <row r="94" spans="2:41" x14ac:dyDescent="0.25">
      <c r="B94" s="321"/>
      <c r="C94" s="17"/>
      <c r="D94" s="273"/>
      <c r="E94" s="117"/>
      <c r="F94" s="4" t="str">
        <f t="shared" si="68"/>
        <v/>
      </c>
      <c r="G94" s="4" t="str">
        <f t="shared" si="69"/>
        <v/>
      </c>
      <c r="H94" s="4" t="str">
        <f t="shared" si="70"/>
        <v/>
      </c>
      <c r="I94" s="4" t="str">
        <f t="shared" si="71"/>
        <v/>
      </c>
      <c r="J94" s="247"/>
      <c r="K94" s="117"/>
      <c r="L94" s="4" t="str">
        <f t="shared" si="64"/>
        <v/>
      </c>
      <c r="M94" s="4" t="str">
        <f t="shared" si="65"/>
        <v/>
      </c>
      <c r="N94" s="4" t="str">
        <f t="shared" si="66"/>
        <v/>
      </c>
      <c r="O94" s="4" t="str">
        <f t="shared" si="67"/>
        <v/>
      </c>
      <c r="P94" s="247"/>
      <c r="Q94" s="117"/>
      <c r="R94" s="4" t="str">
        <f t="shared" si="48"/>
        <v/>
      </c>
      <c r="S94" s="4" t="str">
        <f t="shared" si="49"/>
        <v/>
      </c>
      <c r="T94" s="4" t="str">
        <f t="shared" si="50"/>
        <v/>
      </c>
      <c r="U94" s="4" t="str">
        <f t="shared" si="51"/>
        <v/>
      </c>
      <c r="V94" s="247"/>
      <c r="W94" s="67" t="str">
        <f t="shared" si="56"/>
        <v/>
      </c>
      <c r="X94" s="118"/>
      <c r="Z94" s="67" t="str">
        <f t="shared" si="57"/>
        <v/>
      </c>
      <c r="AA94" s="13">
        <f t="shared" si="72"/>
        <v>0</v>
      </c>
      <c r="AB94" s="17">
        <f t="shared" si="73"/>
        <v>0</v>
      </c>
      <c r="AC94" s="163" t="str">
        <f t="shared" si="74"/>
        <v/>
      </c>
      <c r="AD94" s="119"/>
      <c r="AE94" s="120"/>
      <c r="AF94" s="121"/>
      <c r="AG94" s="122"/>
      <c r="AH94" s="83"/>
      <c r="AI94" s="115"/>
      <c r="AJ94" s="116"/>
      <c r="AK94" s="83"/>
      <c r="AL94" s="85"/>
      <c r="AM94" s="254"/>
      <c r="AN94" s="254"/>
      <c r="AO94" s="255"/>
    </row>
    <row r="95" spans="2:41" x14ac:dyDescent="0.25">
      <c r="B95" s="321"/>
      <c r="C95" s="17"/>
      <c r="D95" s="273"/>
      <c r="E95" s="117"/>
      <c r="F95" s="4" t="str">
        <f t="shared" si="68"/>
        <v/>
      </c>
      <c r="G95" s="4" t="str">
        <f t="shared" si="69"/>
        <v/>
      </c>
      <c r="H95" s="4" t="str">
        <f t="shared" si="70"/>
        <v/>
      </c>
      <c r="I95" s="4" t="str">
        <f t="shared" si="71"/>
        <v/>
      </c>
      <c r="J95" s="247"/>
      <c r="K95" s="117"/>
      <c r="L95" s="4" t="str">
        <f t="shared" si="64"/>
        <v/>
      </c>
      <c r="M95" s="4" t="str">
        <f t="shared" si="65"/>
        <v/>
      </c>
      <c r="N95" s="4" t="str">
        <f t="shared" si="66"/>
        <v/>
      </c>
      <c r="O95" s="4" t="str">
        <f t="shared" si="67"/>
        <v/>
      </c>
      <c r="P95" s="247"/>
      <c r="Q95" s="117"/>
      <c r="R95" s="4" t="str">
        <f t="shared" si="48"/>
        <v/>
      </c>
      <c r="S95" s="4" t="str">
        <f t="shared" si="49"/>
        <v/>
      </c>
      <c r="T95" s="4" t="str">
        <f t="shared" si="50"/>
        <v/>
      </c>
      <c r="U95" s="4" t="str">
        <f t="shared" si="51"/>
        <v/>
      </c>
      <c r="V95" s="247"/>
      <c r="W95" s="67" t="str">
        <f t="shared" si="56"/>
        <v/>
      </c>
      <c r="X95" s="118"/>
      <c r="Z95" s="67" t="str">
        <f t="shared" si="57"/>
        <v/>
      </c>
      <c r="AA95" s="13">
        <f t="shared" si="72"/>
        <v>0</v>
      </c>
      <c r="AB95" s="17">
        <f t="shared" si="73"/>
        <v>0</v>
      </c>
      <c r="AC95" s="163" t="str">
        <f t="shared" si="74"/>
        <v/>
      </c>
      <c r="AD95" s="119"/>
      <c r="AE95" s="120"/>
      <c r="AF95" s="121"/>
      <c r="AG95" s="122"/>
      <c r="AH95" s="83"/>
      <c r="AI95" s="115"/>
      <c r="AJ95" s="116"/>
      <c r="AK95" s="83"/>
      <c r="AL95" s="85"/>
      <c r="AM95" s="254"/>
      <c r="AN95" s="254"/>
      <c r="AO95" s="255"/>
    </row>
    <row r="96" spans="2:41" x14ac:dyDescent="0.25">
      <c r="B96" s="321"/>
      <c r="C96" s="17"/>
      <c r="D96" s="273"/>
      <c r="E96" s="117"/>
      <c r="F96" s="4" t="str">
        <f t="shared" si="68"/>
        <v/>
      </c>
      <c r="G96" s="4" t="str">
        <f t="shared" si="69"/>
        <v/>
      </c>
      <c r="H96" s="4" t="str">
        <f t="shared" si="70"/>
        <v/>
      </c>
      <c r="I96" s="4" t="str">
        <f t="shared" si="71"/>
        <v/>
      </c>
      <c r="J96" s="247"/>
      <c r="K96" s="117"/>
      <c r="L96" s="4" t="str">
        <f t="shared" si="64"/>
        <v/>
      </c>
      <c r="M96" s="4" t="str">
        <f t="shared" si="65"/>
        <v/>
      </c>
      <c r="N96" s="4" t="str">
        <f t="shared" si="66"/>
        <v/>
      </c>
      <c r="O96" s="4" t="str">
        <f t="shared" si="67"/>
        <v/>
      </c>
      <c r="P96" s="247"/>
      <c r="Q96" s="117"/>
      <c r="R96" s="4" t="str">
        <f t="shared" si="48"/>
        <v/>
      </c>
      <c r="S96" s="4" t="str">
        <f t="shared" si="49"/>
        <v/>
      </c>
      <c r="T96" s="4" t="str">
        <f t="shared" si="50"/>
        <v/>
      </c>
      <c r="U96" s="4" t="str">
        <f t="shared" si="51"/>
        <v/>
      </c>
      <c r="V96" s="247"/>
      <c r="W96" s="67" t="str">
        <f t="shared" si="56"/>
        <v/>
      </c>
      <c r="X96" s="118"/>
      <c r="Z96" s="67" t="str">
        <f t="shared" si="57"/>
        <v/>
      </c>
      <c r="AA96" s="13">
        <f t="shared" si="72"/>
        <v>0</v>
      </c>
      <c r="AB96" s="17">
        <f t="shared" si="73"/>
        <v>0</v>
      </c>
      <c r="AC96" s="163" t="str">
        <f t="shared" si="74"/>
        <v/>
      </c>
      <c r="AD96" s="119"/>
      <c r="AE96" s="120"/>
      <c r="AF96" s="121"/>
      <c r="AG96" s="122"/>
      <c r="AH96" s="83"/>
      <c r="AI96" s="115"/>
      <c r="AJ96" s="116"/>
      <c r="AK96" s="83"/>
      <c r="AL96" s="85"/>
      <c r="AM96" s="254"/>
      <c r="AN96" s="254"/>
      <c r="AO96" s="255"/>
    </row>
    <row r="97" spans="2:41" x14ac:dyDescent="0.25">
      <c r="B97" s="321"/>
      <c r="C97" s="17"/>
      <c r="D97" s="273"/>
      <c r="E97" s="117"/>
      <c r="F97" s="4" t="str">
        <f t="shared" si="68"/>
        <v/>
      </c>
      <c r="G97" s="4" t="str">
        <f t="shared" si="69"/>
        <v/>
      </c>
      <c r="H97" s="4" t="str">
        <f t="shared" si="70"/>
        <v/>
      </c>
      <c r="I97" s="4" t="str">
        <f t="shared" si="71"/>
        <v/>
      </c>
      <c r="J97" s="247"/>
      <c r="K97" s="117"/>
      <c r="L97" s="4" t="str">
        <f t="shared" si="64"/>
        <v/>
      </c>
      <c r="M97" s="4" t="str">
        <f t="shared" si="65"/>
        <v/>
      </c>
      <c r="N97" s="4" t="str">
        <f t="shared" si="66"/>
        <v/>
      </c>
      <c r="O97" s="4" t="str">
        <f t="shared" si="67"/>
        <v/>
      </c>
      <c r="P97" s="247"/>
      <c r="Q97" s="117"/>
      <c r="R97" s="4" t="str">
        <f t="shared" si="48"/>
        <v/>
      </c>
      <c r="S97" s="4" t="str">
        <f t="shared" si="49"/>
        <v/>
      </c>
      <c r="T97" s="4" t="str">
        <f t="shared" si="50"/>
        <v/>
      </c>
      <c r="U97" s="4" t="str">
        <f t="shared" si="51"/>
        <v/>
      </c>
      <c r="V97" s="247"/>
      <c r="W97" s="67" t="str">
        <f t="shared" si="56"/>
        <v/>
      </c>
      <c r="X97" s="118"/>
      <c r="Z97" s="67" t="str">
        <f t="shared" si="57"/>
        <v/>
      </c>
      <c r="AA97" s="13">
        <f t="shared" si="72"/>
        <v>0</v>
      </c>
      <c r="AB97" s="17">
        <f t="shared" si="73"/>
        <v>0</v>
      </c>
      <c r="AC97" s="163" t="str">
        <f t="shared" si="74"/>
        <v/>
      </c>
      <c r="AD97" s="119"/>
      <c r="AE97" s="120"/>
      <c r="AF97" s="121"/>
      <c r="AG97" s="122"/>
      <c r="AH97" s="83"/>
      <c r="AI97" s="115"/>
      <c r="AJ97" s="116"/>
      <c r="AK97" s="83"/>
      <c r="AL97" s="85"/>
      <c r="AM97" s="254"/>
      <c r="AN97" s="254"/>
      <c r="AO97" s="255"/>
    </row>
    <row r="98" spans="2:41" x14ac:dyDescent="0.25">
      <c r="B98" s="321"/>
      <c r="C98" s="17"/>
      <c r="D98" s="273"/>
      <c r="E98" s="117"/>
      <c r="F98" s="4" t="str">
        <f t="shared" si="58"/>
        <v/>
      </c>
      <c r="G98" s="4" t="str">
        <f t="shared" si="59"/>
        <v/>
      </c>
      <c r="H98" s="4" t="str">
        <f t="shared" si="60"/>
        <v/>
      </c>
      <c r="I98" s="4" t="str">
        <f t="shared" si="61"/>
        <v/>
      </c>
      <c r="J98" s="247"/>
      <c r="K98" s="117"/>
      <c r="L98" s="4" t="str">
        <f t="shared" si="64"/>
        <v/>
      </c>
      <c r="M98" s="4" t="str">
        <f t="shared" si="65"/>
        <v/>
      </c>
      <c r="N98" s="4" t="str">
        <f t="shared" si="66"/>
        <v/>
      </c>
      <c r="O98" s="4" t="str">
        <f t="shared" si="67"/>
        <v/>
      </c>
      <c r="P98" s="247"/>
      <c r="Q98" s="117"/>
      <c r="R98" s="4" t="str">
        <f t="shared" si="48"/>
        <v/>
      </c>
      <c r="S98" s="4" t="str">
        <f t="shared" si="49"/>
        <v/>
      </c>
      <c r="T98" s="4" t="str">
        <f t="shared" si="50"/>
        <v/>
      </c>
      <c r="U98" s="4" t="str">
        <f t="shared" si="51"/>
        <v/>
      </c>
      <c r="V98" s="247"/>
      <c r="W98" s="67" t="str">
        <f t="shared" si="56"/>
        <v/>
      </c>
      <c r="X98" s="118"/>
      <c r="Z98" s="67" t="str">
        <f t="shared" si="57"/>
        <v/>
      </c>
      <c r="AA98" s="13">
        <f t="shared" si="36"/>
        <v>0</v>
      </c>
      <c r="AB98" s="17">
        <f t="shared" si="37"/>
        <v>0</v>
      </c>
      <c r="AC98" s="163" t="str">
        <f t="shared" si="38"/>
        <v/>
      </c>
      <c r="AD98" s="119"/>
      <c r="AE98" s="120"/>
      <c r="AF98" s="121"/>
      <c r="AG98" s="122"/>
      <c r="AH98" s="83"/>
      <c r="AI98" s="115"/>
      <c r="AJ98" s="116"/>
      <c r="AK98" s="83"/>
      <c r="AL98" s="85"/>
      <c r="AM98" s="254"/>
      <c r="AN98" s="254"/>
      <c r="AO98" s="255"/>
    </row>
    <row r="99" spans="2:41" x14ac:dyDescent="0.25">
      <c r="B99" s="321"/>
      <c r="C99" s="17"/>
      <c r="D99" s="273"/>
      <c r="E99" s="117"/>
      <c r="F99" s="4" t="str">
        <f t="shared" si="58"/>
        <v/>
      </c>
      <c r="G99" s="4" t="str">
        <f t="shared" si="59"/>
        <v/>
      </c>
      <c r="H99" s="4" t="str">
        <f t="shared" si="60"/>
        <v/>
      </c>
      <c r="I99" s="4" t="str">
        <f t="shared" si="61"/>
        <v/>
      </c>
      <c r="J99" s="247"/>
      <c r="K99" s="117"/>
      <c r="L99" s="4" t="str">
        <f t="shared" si="64"/>
        <v/>
      </c>
      <c r="M99" s="4" t="str">
        <f t="shared" si="65"/>
        <v/>
      </c>
      <c r="N99" s="4" t="str">
        <f t="shared" si="66"/>
        <v/>
      </c>
      <c r="O99" s="4" t="str">
        <f t="shared" si="67"/>
        <v/>
      </c>
      <c r="P99" s="247"/>
      <c r="Q99" s="117"/>
      <c r="R99" s="4" t="str">
        <f t="shared" si="48"/>
        <v/>
      </c>
      <c r="S99" s="4" t="str">
        <f t="shared" si="49"/>
        <v/>
      </c>
      <c r="T99" s="4" t="str">
        <f t="shared" si="50"/>
        <v/>
      </c>
      <c r="U99" s="4" t="str">
        <f t="shared" si="51"/>
        <v/>
      </c>
      <c r="V99" s="247"/>
      <c r="W99" s="67" t="str">
        <f t="shared" si="56"/>
        <v/>
      </c>
      <c r="X99" s="118"/>
      <c r="Z99" s="67" t="str">
        <f t="shared" si="57"/>
        <v/>
      </c>
      <c r="AA99" s="13">
        <f t="shared" si="36"/>
        <v>0</v>
      </c>
      <c r="AB99" s="17">
        <f t="shared" si="37"/>
        <v>0</v>
      </c>
      <c r="AC99" s="163" t="str">
        <f t="shared" si="38"/>
        <v/>
      </c>
      <c r="AD99" s="119"/>
      <c r="AE99" s="120"/>
      <c r="AF99" s="121"/>
      <c r="AG99" s="122"/>
      <c r="AH99" s="83"/>
      <c r="AI99" s="115"/>
      <c r="AJ99" s="116"/>
      <c r="AK99" s="83"/>
      <c r="AL99" s="85"/>
      <c r="AM99" s="254"/>
      <c r="AN99" s="254"/>
      <c r="AO99" s="255"/>
    </row>
    <row r="100" spans="2:41" x14ac:dyDescent="0.25">
      <c r="B100" s="321"/>
      <c r="C100" s="17"/>
      <c r="D100" s="273"/>
      <c r="E100" s="117"/>
      <c r="F100" s="4" t="str">
        <f t="shared" si="58"/>
        <v/>
      </c>
      <c r="G100" s="4" t="str">
        <f t="shared" si="59"/>
        <v/>
      </c>
      <c r="H100" s="4" t="str">
        <f t="shared" si="60"/>
        <v/>
      </c>
      <c r="I100" s="4" t="str">
        <f t="shared" si="61"/>
        <v/>
      </c>
      <c r="J100" s="247"/>
      <c r="K100" s="117"/>
      <c r="L100" s="4" t="str">
        <f t="shared" si="64"/>
        <v/>
      </c>
      <c r="M100" s="4" t="str">
        <f t="shared" si="65"/>
        <v/>
      </c>
      <c r="N100" s="4" t="str">
        <f t="shared" si="66"/>
        <v/>
      </c>
      <c r="O100" s="4" t="str">
        <f t="shared" si="67"/>
        <v/>
      </c>
      <c r="P100" s="247"/>
      <c r="Q100" s="117"/>
      <c r="R100" s="4" t="str">
        <f t="shared" si="48"/>
        <v/>
      </c>
      <c r="S100" s="4" t="str">
        <f t="shared" si="49"/>
        <v/>
      </c>
      <c r="T100" s="4" t="str">
        <f t="shared" si="50"/>
        <v/>
      </c>
      <c r="U100" s="4" t="str">
        <f t="shared" si="51"/>
        <v/>
      </c>
      <c r="V100" s="247"/>
      <c r="W100" s="67" t="str">
        <f t="shared" si="56"/>
        <v/>
      </c>
      <c r="X100" s="118"/>
      <c r="Z100" s="67" t="str">
        <f t="shared" si="57"/>
        <v/>
      </c>
      <c r="AA100" s="13">
        <f t="shared" si="36"/>
        <v>0</v>
      </c>
      <c r="AB100" s="17">
        <f t="shared" si="37"/>
        <v>0</v>
      </c>
      <c r="AC100" s="163" t="str">
        <f t="shared" si="38"/>
        <v/>
      </c>
      <c r="AD100" s="119"/>
      <c r="AE100" s="120"/>
      <c r="AF100" s="121"/>
      <c r="AG100" s="122"/>
      <c r="AH100" s="83"/>
      <c r="AI100" s="115"/>
      <c r="AJ100" s="116"/>
      <c r="AK100" s="83"/>
      <c r="AL100" s="85"/>
      <c r="AM100" s="254"/>
      <c r="AN100" s="254"/>
      <c r="AO100" s="255"/>
    </row>
    <row r="101" spans="2:41" x14ac:dyDescent="0.25">
      <c r="B101" s="321"/>
      <c r="C101" s="17"/>
      <c r="D101" s="273"/>
      <c r="E101" s="117"/>
      <c r="F101" s="4" t="str">
        <f t="shared" si="39"/>
        <v/>
      </c>
      <c r="G101" s="4" t="str">
        <f t="shared" si="40"/>
        <v/>
      </c>
      <c r="H101" s="4" t="str">
        <f t="shared" si="41"/>
        <v/>
      </c>
      <c r="I101" s="4" t="str">
        <f t="shared" si="42"/>
        <v/>
      </c>
      <c r="J101" s="247"/>
      <c r="K101" s="117"/>
      <c r="L101" s="4" t="str">
        <f t="shared" si="64"/>
        <v/>
      </c>
      <c r="M101" s="4" t="str">
        <f t="shared" si="65"/>
        <v/>
      </c>
      <c r="N101" s="4" t="str">
        <f t="shared" si="66"/>
        <v/>
      </c>
      <c r="O101" s="4" t="str">
        <f t="shared" si="67"/>
        <v/>
      </c>
      <c r="P101" s="247"/>
      <c r="Q101" s="117"/>
      <c r="R101" s="4" t="str">
        <f t="shared" si="48"/>
        <v/>
      </c>
      <c r="S101" s="4" t="str">
        <f t="shared" si="49"/>
        <v/>
      </c>
      <c r="T101" s="4" t="str">
        <f t="shared" si="50"/>
        <v/>
      </c>
      <c r="U101" s="4" t="str">
        <f t="shared" si="51"/>
        <v/>
      </c>
      <c r="V101" s="247"/>
      <c r="W101" s="67" t="str">
        <f t="shared" si="56"/>
        <v/>
      </c>
      <c r="X101" s="118"/>
      <c r="Z101" s="67" t="str">
        <f t="shared" si="57"/>
        <v/>
      </c>
      <c r="AA101" s="13">
        <f t="shared" si="36"/>
        <v>0</v>
      </c>
      <c r="AB101" s="17">
        <f t="shared" si="37"/>
        <v>0</v>
      </c>
      <c r="AC101" s="163" t="str">
        <f t="shared" si="38"/>
        <v/>
      </c>
      <c r="AD101" s="119"/>
      <c r="AE101" s="120"/>
      <c r="AF101" s="121"/>
      <c r="AG101" s="122"/>
      <c r="AH101" s="83"/>
      <c r="AI101" s="115"/>
      <c r="AJ101" s="116"/>
      <c r="AK101" s="83"/>
      <c r="AL101" s="85"/>
      <c r="AM101" s="254"/>
      <c r="AN101" s="254"/>
      <c r="AO101" s="255"/>
    </row>
    <row r="102" spans="2:41" x14ac:dyDescent="0.25">
      <c r="B102" s="321"/>
      <c r="C102" s="17"/>
      <c r="D102" s="273"/>
      <c r="E102" s="117"/>
      <c r="F102" s="4" t="str">
        <f t="shared" si="39"/>
        <v/>
      </c>
      <c r="G102" s="4" t="str">
        <f t="shared" si="40"/>
        <v/>
      </c>
      <c r="H102" s="4" t="str">
        <f t="shared" si="41"/>
        <v/>
      </c>
      <c r="I102" s="4" t="str">
        <f t="shared" si="42"/>
        <v/>
      </c>
      <c r="J102" s="247"/>
      <c r="K102" s="117"/>
      <c r="L102" s="4" t="str">
        <f t="shared" si="64"/>
        <v/>
      </c>
      <c r="M102" s="4" t="str">
        <f t="shared" si="65"/>
        <v/>
      </c>
      <c r="N102" s="4" t="str">
        <f t="shared" si="66"/>
        <v/>
      </c>
      <c r="O102" s="4" t="str">
        <f t="shared" si="67"/>
        <v/>
      </c>
      <c r="P102" s="247"/>
      <c r="Q102" s="117"/>
      <c r="R102" s="4" t="str">
        <f t="shared" si="48"/>
        <v/>
      </c>
      <c r="S102" s="4" t="str">
        <f t="shared" si="49"/>
        <v/>
      </c>
      <c r="T102" s="4" t="str">
        <f t="shared" si="50"/>
        <v/>
      </c>
      <c r="U102" s="4" t="str">
        <f t="shared" si="51"/>
        <v/>
      </c>
      <c r="V102" s="247"/>
      <c r="W102" s="67" t="str">
        <f t="shared" si="56"/>
        <v/>
      </c>
      <c r="X102" s="118"/>
      <c r="Z102" s="67" t="str">
        <f t="shared" si="57"/>
        <v/>
      </c>
      <c r="AA102" s="13">
        <f t="shared" si="36"/>
        <v>0</v>
      </c>
      <c r="AB102" s="17">
        <f t="shared" si="37"/>
        <v>0</v>
      </c>
      <c r="AC102" s="163" t="str">
        <f t="shared" si="38"/>
        <v/>
      </c>
      <c r="AD102" s="119"/>
      <c r="AE102" s="120"/>
      <c r="AF102" s="121"/>
      <c r="AG102" s="122"/>
      <c r="AH102" s="83"/>
      <c r="AI102" s="115"/>
      <c r="AJ102" s="116"/>
      <c r="AK102" s="83"/>
      <c r="AL102" s="85"/>
      <c r="AM102" s="254"/>
      <c r="AN102" s="254"/>
      <c r="AO102" s="255"/>
    </row>
    <row r="103" spans="2:41" x14ac:dyDescent="0.25">
      <c r="B103" s="321"/>
      <c r="C103" s="17"/>
      <c r="D103" s="273"/>
      <c r="E103" s="117"/>
      <c r="F103" s="4" t="str">
        <f t="shared" si="39"/>
        <v/>
      </c>
      <c r="G103" s="4" t="str">
        <f t="shared" si="40"/>
        <v/>
      </c>
      <c r="H103" s="4" t="str">
        <f t="shared" si="41"/>
        <v/>
      </c>
      <c r="I103" s="4" t="str">
        <f t="shared" si="42"/>
        <v/>
      </c>
      <c r="J103" s="247"/>
      <c r="K103" s="117"/>
      <c r="L103" s="4" t="str">
        <f t="shared" si="64"/>
        <v/>
      </c>
      <c r="M103" s="4" t="str">
        <f t="shared" si="65"/>
        <v/>
      </c>
      <c r="N103" s="4" t="str">
        <f t="shared" si="66"/>
        <v/>
      </c>
      <c r="O103" s="4" t="str">
        <f t="shared" si="67"/>
        <v/>
      </c>
      <c r="P103" s="247"/>
      <c r="Q103" s="117"/>
      <c r="R103" s="4" t="str">
        <f t="shared" si="48"/>
        <v/>
      </c>
      <c r="S103" s="4" t="str">
        <f t="shared" si="49"/>
        <v/>
      </c>
      <c r="T103" s="4" t="str">
        <f t="shared" si="50"/>
        <v/>
      </c>
      <c r="U103" s="4" t="str">
        <f t="shared" si="51"/>
        <v/>
      </c>
      <c r="V103" s="247"/>
      <c r="W103" s="67" t="str">
        <f t="shared" ref="W103:W123" si="75">IF(SUM(I103,O103,U103)&gt;0,(SUM(I103,O103,U103)),"")</f>
        <v/>
      </c>
      <c r="X103" s="118"/>
      <c r="Z103" s="67" t="str">
        <f t="shared" ref="Z103:Z123" si="76">IF(SUM(W103,Y103)&gt;0,(SUM(W103,Y103)),"")</f>
        <v/>
      </c>
      <c r="AA103" s="13">
        <f t="shared" si="36"/>
        <v>0</v>
      </c>
      <c r="AB103" s="17">
        <f t="shared" si="37"/>
        <v>0</v>
      </c>
      <c r="AC103" s="163" t="str">
        <f t="shared" si="38"/>
        <v/>
      </c>
      <c r="AD103" s="119"/>
      <c r="AE103" s="120"/>
      <c r="AF103" s="121"/>
      <c r="AG103" s="122"/>
      <c r="AH103" s="83"/>
      <c r="AI103" s="115"/>
      <c r="AJ103" s="116"/>
      <c r="AK103" s="83"/>
      <c r="AL103" s="85"/>
      <c r="AM103" s="254"/>
      <c r="AN103" s="254"/>
      <c r="AO103" s="255"/>
    </row>
    <row r="104" spans="2:41" x14ac:dyDescent="0.25">
      <c r="B104" s="321"/>
      <c r="C104" s="17"/>
      <c r="D104" s="273"/>
      <c r="E104" s="117"/>
      <c r="F104" s="4" t="str">
        <f t="shared" si="39"/>
        <v/>
      </c>
      <c r="G104" s="4" t="str">
        <f t="shared" si="40"/>
        <v/>
      </c>
      <c r="H104" s="4" t="str">
        <f t="shared" si="41"/>
        <v/>
      </c>
      <c r="I104" s="4" t="str">
        <f t="shared" si="42"/>
        <v/>
      </c>
      <c r="J104" s="247"/>
      <c r="K104" s="117"/>
      <c r="L104" s="4" t="str">
        <f t="shared" si="64"/>
        <v/>
      </c>
      <c r="M104" s="4" t="str">
        <f t="shared" si="65"/>
        <v/>
      </c>
      <c r="N104" s="4" t="str">
        <f t="shared" si="66"/>
        <v/>
      </c>
      <c r="O104" s="4" t="str">
        <f t="shared" si="67"/>
        <v/>
      </c>
      <c r="P104" s="247"/>
      <c r="Q104" s="117"/>
      <c r="R104" s="4" t="str">
        <f t="shared" si="48"/>
        <v/>
      </c>
      <c r="S104" s="4" t="str">
        <f t="shared" si="49"/>
        <v/>
      </c>
      <c r="T104" s="4" t="str">
        <f t="shared" si="50"/>
        <v/>
      </c>
      <c r="U104" s="4" t="str">
        <f t="shared" si="51"/>
        <v/>
      </c>
      <c r="V104" s="247"/>
      <c r="W104" s="67" t="str">
        <f t="shared" si="75"/>
        <v/>
      </c>
      <c r="X104" s="118"/>
      <c r="Z104" s="67" t="str">
        <f t="shared" si="76"/>
        <v/>
      </c>
      <c r="AA104" s="13">
        <f t="shared" si="36"/>
        <v>0</v>
      </c>
      <c r="AB104" s="17">
        <f t="shared" si="37"/>
        <v>0</v>
      </c>
      <c r="AC104" s="163" t="str">
        <f t="shared" si="38"/>
        <v/>
      </c>
      <c r="AD104" s="119"/>
      <c r="AE104" s="120"/>
      <c r="AF104" s="121"/>
      <c r="AG104" s="122"/>
      <c r="AH104" s="83"/>
      <c r="AI104" s="115"/>
      <c r="AJ104" s="116"/>
      <c r="AK104" s="83"/>
      <c r="AL104" s="85"/>
      <c r="AM104" s="254"/>
      <c r="AN104" s="254"/>
      <c r="AO104" s="255"/>
    </row>
    <row r="105" spans="2:41" x14ac:dyDescent="0.25">
      <c r="B105" s="321"/>
      <c r="C105" s="17"/>
      <c r="D105" s="273"/>
      <c r="E105" s="117"/>
      <c r="F105" s="4" t="str">
        <f t="shared" si="39"/>
        <v/>
      </c>
      <c r="G105" s="4" t="str">
        <f t="shared" si="40"/>
        <v/>
      </c>
      <c r="H105" s="4" t="str">
        <f t="shared" si="41"/>
        <v/>
      </c>
      <c r="I105" s="4" t="str">
        <f t="shared" si="42"/>
        <v/>
      </c>
      <c r="J105" s="247"/>
      <c r="K105" s="117"/>
      <c r="L105" s="4" t="str">
        <f t="shared" si="64"/>
        <v/>
      </c>
      <c r="M105" s="4" t="str">
        <f t="shared" si="65"/>
        <v/>
      </c>
      <c r="N105" s="4" t="str">
        <f t="shared" si="66"/>
        <v/>
      </c>
      <c r="O105" s="4" t="str">
        <f t="shared" si="67"/>
        <v/>
      </c>
      <c r="P105" s="247"/>
      <c r="Q105" s="117"/>
      <c r="R105" s="4" t="str">
        <f t="shared" si="48"/>
        <v/>
      </c>
      <c r="S105" s="4" t="str">
        <f t="shared" si="49"/>
        <v/>
      </c>
      <c r="T105" s="4" t="str">
        <f t="shared" si="50"/>
        <v/>
      </c>
      <c r="U105" s="4" t="str">
        <f t="shared" si="51"/>
        <v/>
      </c>
      <c r="V105" s="247"/>
      <c r="W105" s="67" t="str">
        <f t="shared" si="75"/>
        <v/>
      </c>
      <c r="X105" s="118"/>
      <c r="Z105" s="67" t="str">
        <f t="shared" si="76"/>
        <v/>
      </c>
      <c r="AA105" s="13">
        <f t="shared" si="36"/>
        <v>0</v>
      </c>
      <c r="AB105" s="17">
        <f t="shared" si="37"/>
        <v>0</v>
      </c>
      <c r="AC105" s="163" t="str">
        <f t="shared" si="38"/>
        <v/>
      </c>
      <c r="AD105" s="119"/>
      <c r="AE105" s="120"/>
      <c r="AF105" s="121"/>
      <c r="AG105" s="122"/>
      <c r="AH105" s="83"/>
      <c r="AI105" s="115"/>
      <c r="AJ105" s="116"/>
      <c r="AK105" s="83"/>
      <c r="AL105" s="85"/>
      <c r="AM105" s="254"/>
      <c r="AN105" s="254"/>
      <c r="AO105" s="255"/>
    </row>
    <row r="106" spans="2:41" x14ac:dyDescent="0.25">
      <c r="B106" s="321"/>
      <c r="C106" s="17"/>
      <c r="D106" s="273"/>
      <c r="E106" s="117"/>
      <c r="F106" s="4" t="str">
        <f t="shared" si="39"/>
        <v/>
      </c>
      <c r="G106" s="4" t="str">
        <f t="shared" si="40"/>
        <v/>
      </c>
      <c r="H106" s="4" t="str">
        <f t="shared" si="41"/>
        <v/>
      </c>
      <c r="I106" s="4" t="str">
        <f t="shared" si="42"/>
        <v/>
      </c>
      <c r="J106" s="247"/>
      <c r="K106" s="117"/>
      <c r="L106" s="4" t="str">
        <f t="shared" si="64"/>
        <v/>
      </c>
      <c r="M106" s="4" t="str">
        <f t="shared" si="65"/>
        <v/>
      </c>
      <c r="N106" s="4" t="str">
        <f t="shared" si="66"/>
        <v/>
      </c>
      <c r="O106" s="4" t="str">
        <f t="shared" si="67"/>
        <v/>
      </c>
      <c r="P106" s="247"/>
      <c r="Q106" s="117"/>
      <c r="R106" s="4" t="str">
        <f t="shared" si="48"/>
        <v/>
      </c>
      <c r="S106" s="4" t="str">
        <f t="shared" si="49"/>
        <v/>
      </c>
      <c r="T106" s="4" t="str">
        <f t="shared" si="50"/>
        <v/>
      </c>
      <c r="U106" s="4" t="str">
        <f t="shared" si="51"/>
        <v/>
      </c>
      <c r="V106" s="247"/>
      <c r="W106" s="67" t="str">
        <f t="shared" si="75"/>
        <v/>
      </c>
      <c r="X106" s="118"/>
      <c r="Z106" s="67" t="str">
        <f t="shared" si="76"/>
        <v/>
      </c>
      <c r="AA106" s="13">
        <f t="shared" si="36"/>
        <v>0</v>
      </c>
      <c r="AB106" s="17">
        <f t="shared" si="37"/>
        <v>0</v>
      </c>
      <c r="AC106" s="163" t="str">
        <f t="shared" si="38"/>
        <v/>
      </c>
      <c r="AD106" s="119"/>
      <c r="AE106" s="120"/>
      <c r="AF106" s="121"/>
      <c r="AG106" s="122"/>
      <c r="AH106" s="83"/>
      <c r="AI106" s="115"/>
      <c r="AJ106" s="116"/>
      <c r="AK106" s="83"/>
      <c r="AL106" s="85"/>
      <c r="AM106" s="254"/>
      <c r="AN106" s="254"/>
      <c r="AO106" s="255"/>
    </row>
    <row r="107" spans="2:41" x14ac:dyDescent="0.25">
      <c r="B107" s="321"/>
      <c r="C107" s="17"/>
      <c r="D107" s="273"/>
      <c r="E107" s="117"/>
      <c r="F107" s="4" t="str">
        <f t="shared" si="39"/>
        <v/>
      </c>
      <c r="G107" s="4" t="str">
        <f t="shared" si="40"/>
        <v/>
      </c>
      <c r="H107" s="4" t="str">
        <f t="shared" si="41"/>
        <v/>
      </c>
      <c r="I107" s="4" t="str">
        <f t="shared" si="42"/>
        <v/>
      </c>
      <c r="J107" s="247"/>
      <c r="K107" s="117"/>
      <c r="L107" s="4" t="str">
        <f t="shared" si="64"/>
        <v/>
      </c>
      <c r="M107" s="4" t="str">
        <f t="shared" si="65"/>
        <v/>
      </c>
      <c r="N107" s="4" t="str">
        <f t="shared" si="66"/>
        <v/>
      </c>
      <c r="O107" s="4" t="str">
        <f t="shared" si="67"/>
        <v/>
      </c>
      <c r="P107" s="247"/>
      <c r="Q107" s="117"/>
      <c r="R107" s="4" t="str">
        <f t="shared" si="48"/>
        <v/>
      </c>
      <c r="S107" s="4" t="str">
        <f t="shared" si="49"/>
        <v/>
      </c>
      <c r="T107" s="4" t="str">
        <f t="shared" si="50"/>
        <v/>
      </c>
      <c r="U107" s="4" t="str">
        <f t="shared" si="51"/>
        <v/>
      </c>
      <c r="V107" s="247"/>
      <c r="W107" s="67" t="str">
        <f t="shared" si="75"/>
        <v/>
      </c>
      <c r="X107" s="118"/>
      <c r="Z107" s="67" t="str">
        <f t="shared" si="76"/>
        <v/>
      </c>
      <c r="AA107" s="13">
        <f t="shared" si="36"/>
        <v>0</v>
      </c>
      <c r="AB107" s="17">
        <f t="shared" si="37"/>
        <v>0</v>
      </c>
      <c r="AC107" s="163" t="str">
        <f t="shared" si="38"/>
        <v/>
      </c>
      <c r="AD107" s="119"/>
      <c r="AE107" s="120"/>
      <c r="AF107" s="121"/>
      <c r="AG107" s="122"/>
      <c r="AH107" s="83"/>
      <c r="AI107" s="115"/>
      <c r="AJ107" s="116"/>
      <c r="AK107" s="83"/>
      <c r="AL107" s="85"/>
      <c r="AM107" s="254"/>
      <c r="AN107" s="254"/>
      <c r="AO107" s="255"/>
    </row>
    <row r="108" spans="2:41" x14ac:dyDescent="0.25">
      <c r="B108" s="321"/>
      <c r="C108" s="17"/>
      <c r="D108" s="273"/>
      <c r="E108" s="117"/>
      <c r="F108" s="4" t="str">
        <f t="shared" si="39"/>
        <v/>
      </c>
      <c r="G108" s="4" t="str">
        <f t="shared" si="40"/>
        <v/>
      </c>
      <c r="H108" s="4" t="str">
        <f t="shared" si="41"/>
        <v/>
      </c>
      <c r="I108" s="4" t="str">
        <f t="shared" si="42"/>
        <v/>
      </c>
      <c r="J108" s="247"/>
      <c r="K108" s="117"/>
      <c r="L108" s="4" t="str">
        <f t="shared" si="64"/>
        <v/>
      </c>
      <c r="M108" s="4" t="str">
        <f t="shared" si="65"/>
        <v/>
      </c>
      <c r="N108" s="4" t="str">
        <f t="shared" si="66"/>
        <v/>
      </c>
      <c r="O108" s="4" t="str">
        <f t="shared" si="67"/>
        <v/>
      </c>
      <c r="P108" s="247"/>
      <c r="Q108" s="117"/>
      <c r="R108" s="4" t="str">
        <f t="shared" si="48"/>
        <v/>
      </c>
      <c r="S108" s="4" t="str">
        <f t="shared" si="49"/>
        <v/>
      </c>
      <c r="T108" s="4" t="str">
        <f t="shared" si="50"/>
        <v/>
      </c>
      <c r="U108" s="4" t="str">
        <f t="shared" si="51"/>
        <v/>
      </c>
      <c r="V108" s="247"/>
      <c r="W108" s="67" t="str">
        <f t="shared" si="75"/>
        <v/>
      </c>
      <c r="X108" s="118"/>
      <c r="Z108" s="67" t="str">
        <f t="shared" si="76"/>
        <v/>
      </c>
      <c r="AA108" s="13">
        <f t="shared" si="36"/>
        <v>0</v>
      </c>
      <c r="AB108" s="17">
        <f t="shared" si="37"/>
        <v>0</v>
      </c>
      <c r="AC108" s="163" t="str">
        <f t="shared" si="38"/>
        <v/>
      </c>
      <c r="AD108" s="119"/>
      <c r="AE108" s="120"/>
      <c r="AF108" s="121"/>
      <c r="AG108" s="122"/>
      <c r="AH108" s="83"/>
      <c r="AI108" s="115"/>
      <c r="AJ108" s="116"/>
      <c r="AK108" s="83"/>
      <c r="AL108" s="85"/>
      <c r="AM108" s="254"/>
      <c r="AN108" s="254"/>
      <c r="AO108" s="255"/>
    </row>
    <row r="109" spans="2:41" x14ac:dyDescent="0.25">
      <c r="B109" s="321"/>
      <c r="C109" s="17"/>
      <c r="D109" s="273"/>
      <c r="E109" s="117"/>
      <c r="F109" s="4" t="str">
        <f t="shared" si="39"/>
        <v/>
      </c>
      <c r="G109" s="4" t="str">
        <f t="shared" si="40"/>
        <v/>
      </c>
      <c r="H109" s="4" t="str">
        <f t="shared" si="41"/>
        <v/>
      </c>
      <c r="I109" s="4" t="str">
        <f t="shared" si="42"/>
        <v/>
      </c>
      <c r="J109" s="247"/>
      <c r="K109" s="117"/>
      <c r="L109" s="4" t="str">
        <f t="shared" si="64"/>
        <v/>
      </c>
      <c r="M109" s="4" t="str">
        <f t="shared" si="65"/>
        <v/>
      </c>
      <c r="N109" s="4" t="str">
        <f t="shared" si="66"/>
        <v/>
      </c>
      <c r="O109" s="4" t="str">
        <f t="shared" si="67"/>
        <v/>
      </c>
      <c r="P109" s="247"/>
      <c r="Q109" s="117"/>
      <c r="R109" s="4" t="str">
        <f t="shared" si="48"/>
        <v/>
      </c>
      <c r="S109" s="4" t="str">
        <f t="shared" si="49"/>
        <v/>
      </c>
      <c r="T109" s="4" t="str">
        <f t="shared" si="50"/>
        <v/>
      </c>
      <c r="U109" s="4" t="str">
        <f t="shared" si="51"/>
        <v/>
      </c>
      <c r="V109" s="247"/>
      <c r="W109" s="67" t="str">
        <f t="shared" si="75"/>
        <v/>
      </c>
      <c r="X109" s="118"/>
      <c r="Z109" s="67" t="str">
        <f t="shared" si="76"/>
        <v/>
      </c>
      <c r="AA109" s="13">
        <f t="shared" si="36"/>
        <v>0</v>
      </c>
      <c r="AB109" s="17">
        <f t="shared" si="37"/>
        <v>0</v>
      </c>
      <c r="AC109" s="163" t="str">
        <f t="shared" si="38"/>
        <v/>
      </c>
      <c r="AD109" s="119"/>
      <c r="AE109" s="120"/>
      <c r="AF109" s="121"/>
      <c r="AG109" s="122"/>
      <c r="AH109" s="83"/>
      <c r="AI109" s="115"/>
      <c r="AJ109" s="116"/>
      <c r="AK109" s="83"/>
      <c r="AL109" s="85"/>
      <c r="AM109" s="254"/>
      <c r="AN109" s="254"/>
      <c r="AO109" s="255"/>
    </row>
    <row r="110" spans="2:41" x14ac:dyDescent="0.25">
      <c r="B110" s="321"/>
      <c r="C110" s="17"/>
      <c r="D110" s="273"/>
      <c r="E110" s="117"/>
      <c r="F110" s="4" t="str">
        <f t="shared" si="39"/>
        <v/>
      </c>
      <c r="G110" s="4" t="str">
        <f t="shared" si="40"/>
        <v/>
      </c>
      <c r="H110" s="4" t="str">
        <f t="shared" si="41"/>
        <v/>
      </c>
      <c r="I110" s="4" t="str">
        <f t="shared" si="42"/>
        <v/>
      </c>
      <c r="J110" s="247"/>
      <c r="K110" s="117"/>
      <c r="L110" s="4" t="str">
        <f t="shared" si="64"/>
        <v/>
      </c>
      <c r="M110" s="4" t="str">
        <f t="shared" si="65"/>
        <v/>
      </c>
      <c r="N110" s="4" t="str">
        <f t="shared" si="66"/>
        <v/>
      </c>
      <c r="O110" s="4" t="str">
        <f t="shared" si="67"/>
        <v/>
      </c>
      <c r="P110" s="247"/>
      <c r="Q110" s="117"/>
      <c r="R110" s="4" t="str">
        <f t="shared" si="48"/>
        <v/>
      </c>
      <c r="S110" s="4" t="str">
        <f t="shared" si="49"/>
        <v/>
      </c>
      <c r="T110" s="4" t="str">
        <f t="shared" si="50"/>
        <v/>
      </c>
      <c r="U110" s="4" t="str">
        <f t="shared" si="51"/>
        <v/>
      </c>
      <c r="V110" s="247"/>
      <c r="W110" s="67" t="str">
        <f t="shared" si="75"/>
        <v/>
      </c>
      <c r="X110" s="118"/>
      <c r="Z110" s="67" t="str">
        <f t="shared" si="76"/>
        <v/>
      </c>
      <c r="AA110" s="13">
        <f t="shared" si="36"/>
        <v>0</v>
      </c>
      <c r="AB110" s="17">
        <f t="shared" si="37"/>
        <v>0</v>
      </c>
      <c r="AC110" s="163" t="str">
        <f t="shared" si="38"/>
        <v/>
      </c>
      <c r="AD110" s="119"/>
      <c r="AE110" s="120"/>
      <c r="AF110" s="121"/>
      <c r="AG110" s="122"/>
      <c r="AH110" s="83"/>
      <c r="AI110" s="115"/>
      <c r="AJ110" s="116"/>
      <c r="AK110" s="83"/>
      <c r="AL110" s="85"/>
      <c r="AM110" s="254"/>
      <c r="AN110" s="254"/>
      <c r="AO110" s="255"/>
    </row>
    <row r="111" spans="2:41" x14ac:dyDescent="0.25">
      <c r="B111" s="321"/>
      <c r="C111" s="17"/>
      <c r="D111" s="273"/>
      <c r="E111" s="117"/>
      <c r="F111" s="4" t="str">
        <f t="shared" si="39"/>
        <v/>
      </c>
      <c r="G111" s="4" t="str">
        <f t="shared" si="40"/>
        <v/>
      </c>
      <c r="H111" s="4" t="str">
        <f t="shared" si="41"/>
        <v/>
      </c>
      <c r="I111" s="4" t="str">
        <f t="shared" si="42"/>
        <v/>
      </c>
      <c r="J111" s="247"/>
      <c r="K111" s="117"/>
      <c r="L111" s="4" t="str">
        <f t="shared" si="64"/>
        <v/>
      </c>
      <c r="M111" s="4" t="str">
        <f t="shared" si="65"/>
        <v/>
      </c>
      <c r="N111" s="4" t="str">
        <f t="shared" si="66"/>
        <v/>
      </c>
      <c r="O111" s="4" t="str">
        <f t="shared" si="67"/>
        <v/>
      </c>
      <c r="P111" s="247"/>
      <c r="Q111" s="117"/>
      <c r="R111" s="4" t="str">
        <f t="shared" si="48"/>
        <v/>
      </c>
      <c r="S111" s="4" t="str">
        <f t="shared" si="49"/>
        <v/>
      </c>
      <c r="T111" s="4" t="str">
        <f t="shared" si="50"/>
        <v/>
      </c>
      <c r="U111" s="4" t="str">
        <f t="shared" si="51"/>
        <v/>
      </c>
      <c r="V111" s="247"/>
      <c r="W111" s="67" t="str">
        <f t="shared" si="75"/>
        <v/>
      </c>
      <c r="X111" s="118"/>
      <c r="Z111" s="67" t="str">
        <f t="shared" si="76"/>
        <v/>
      </c>
      <c r="AA111" s="13">
        <f t="shared" si="36"/>
        <v>0</v>
      </c>
      <c r="AB111" s="17">
        <f t="shared" si="37"/>
        <v>0</v>
      </c>
      <c r="AC111" s="163" t="str">
        <f t="shared" si="38"/>
        <v/>
      </c>
      <c r="AD111" s="119"/>
      <c r="AE111" s="120"/>
      <c r="AF111" s="121"/>
      <c r="AG111" s="122"/>
      <c r="AH111" s="83"/>
      <c r="AI111" s="115"/>
      <c r="AJ111" s="116"/>
      <c r="AK111" s="83"/>
      <c r="AL111" s="85"/>
      <c r="AM111" s="254"/>
      <c r="AN111" s="254"/>
      <c r="AO111" s="255"/>
    </row>
    <row r="112" spans="2:41" x14ac:dyDescent="0.25">
      <c r="B112" s="321"/>
      <c r="C112" s="17"/>
      <c r="D112" s="273"/>
      <c r="E112" s="117"/>
      <c r="F112" s="4" t="str">
        <f t="shared" si="39"/>
        <v/>
      </c>
      <c r="G112" s="4" t="str">
        <f t="shared" si="40"/>
        <v/>
      </c>
      <c r="H112" s="4" t="str">
        <f t="shared" si="41"/>
        <v/>
      </c>
      <c r="I112" s="4" t="str">
        <f t="shared" si="42"/>
        <v/>
      </c>
      <c r="J112" s="247"/>
      <c r="K112" s="117"/>
      <c r="L112" s="4" t="str">
        <f t="shared" si="64"/>
        <v/>
      </c>
      <c r="M112" s="4" t="str">
        <f t="shared" si="65"/>
        <v/>
      </c>
      <c r="N112" s="4" t="str">
        <f t="shared" si="66"/>
        <v/>
      </c>
      <c r="O112" s="4" t="str">
        <f t="shared" si="67"/>
        <v/>
      </c>
      <c r="P112" s="247"/>
      <c r="Q112" s="117"/>
      <c r="R112" s="4" t="str">
        <f t="shared" si="48"/>
        <v/>
      </c>
      <c r="S112" s="4" t="str">
        <f t="shared" si="49"/>
        <v/>
      </c>
      <c r="T112" s="4" t="str">
        <f t="shared" si="50"/>
        <v/>
      </c>
      <c r="U112" s="4" t="str">
        <f t="shared" si="51"/>
        <v/>
      </c>
      <c r="V112" s="247"/>
      <c r="W112" s="67" t="str">
        <f t="shared" si="75"/>
        <v/>
      </c>
      <c r="X112" s="118"/>
      <c r="Z112" s="67" t="str">
        <f t="shared" si="76"/>
        <v/>
      </c>
      <c r="AA112" s="13">
        <f t="shared" si="36"/>
        <v>0</v>
      </c>
      <c r="AB112" s="17">
        <f t="shared" si="37"/>
        <v>0</v>
      </c>
      <c r="AC112" s="163" t="str">
        <f t="shared" si="38"/>
        <v/>
      </c>
      <c r="AD112" s="119"/>
      <c r="AE112" s="120"/>
      <c r="AF112" s="121"/>
      <c r="AG112" s="122"/>
      <c r="AH112" s="83"/>
      <c r="AI112" s="115"/>
      <c r="AJ112" s="116"/>
      <c r="AK112" s="83"/>
      <c r="AL112" s="85"/>
      <c r="AM112" s="254"/>
      <c r="AN112" s="254"/>
      <c r="AO112" s="255"/>
    </row>
    <row r="113" spans="2:41" x14ac:dyDescent="0.25">
      <c r="B113" s="321"/>
      <c r="C113" s="17"/>
      <c r="D113" s="273"/>
      <c r="E113" s="117"/>
      <c r="F113" s="4" t="str">
        <f t="shared" si="39"/>
        <v/>
      </c>
      <c r="G113" s="4" t="str">
        <f t="shared" si="40"/>
        <v/>
      </c>
      <c r="H113" s="4" t="str">
        <f t="shared" si="41"/>
        <v/>
      </c>
      <c r="I113" s="4" t="str">
        <f t="shared" si="42"/>
        <v/>
      </c>
      <c r="J113" s="247"/>
      <c r="K113" s="117"/>
      <c r="L113" s="4" t="str">
        <f t="shared" si="64"/>
        <v/>
      </c>
      <c r="M113" s="4" t="str">
        <f t="shared" si="65"/>
        <v/>
      </c>
      <c r="N113" s="4" t="str">
        <f t="shared" si="66"/>
        <v/>
      </c>
      <c r="O113" s="4" t="str">
        <f t="shared" si="67"/>
        <v/>
      </c>
      <c r="P113" s="247"/>
      <c r="Q113" s="117"/>
      <c r="R113" s="4" t="str">
        <f t="shared" si="48"/>
        <v/>
      </c>
      <c r="S113" s="4" t="str">
        <f t="shared" si="49"/>
        <v/>
      </c>
      <c r="T113" s="4" t="str">
        <f t="shared" si="50"/>
        <v/>
      </c>
      <c r="U113" s="4" t="str">
        <f t="shared" si="51"/>
        <v/>
      </c>
      <c r="V113" s="247"/>
      <c r="W113" s="67" t="str">
        <f t="shared" si="75"/>
        <v/>
      </c>
      <c r="X113" s="118"/>
      <c r="Z113" s="67" t="str">
        <f t="shared" si="76"/>
        <v/>
      </c>
      <c r="AA113" s="13">
        <f t="shared" si="36"/>
        <v>0</v>
      </c>
      <c r="AB113" s="17">
        <f t="shared" si="37"/>
        <v>0</v>
      </c>
      <c r="AC113" s="163" t="str">
        <f t="shared" si="38"/>
        <v/>
      </c>
      <c r="AD113" s="119"/>
      <c r="AE113" s="120"/>
      <c r="AF113" s="121"/>
      <c r="AG113" s="122"/>
      <c r="AH113" s="83"/>
      <c r="AI113" s="115"/>
      <c r="AJ113" s="116"/>
      <c r="AK113" s="83"/>
      <c r="AL113" s="85"/>
      <c r="AM113" s="254"/>
      <c r="AN113" s="254"/>
      <c r="AO113" s="255"/>
    </row>
    <row r="114" spans="2:41" x14ac:dyDescent="0.25">
      <c r="B114" s="321"/>
      <c r="C114" s="17"/>
      <c r="D114" s="273"/>
      <c r="E114" s="117"/>
      <c r="F114" s="4" t="str">
        <f t="shared" si="39"/>
        <v/>
      </c>
      <c r="G114" s="4" t="str">
        <f t="shared" si="40"/>
        <v/>
      </c>
      <c r="H114" s="4" t="str">
        <f t="shared" si="41"/>
        <v/>
      </c>
      <c r="I114" s="4" t="str">
        <f t="shared" si="42"/>
        <v/>
      </c>
      <c r="J114" s="247"/>
      <c r="K114" s="117"/>
      <c r="L114" s="4" t="str">
        <f t="shared" si="64"/>
        <v/>
      </c>
      <c r="M114" s="4" t="str">
        <f t="shared" si="65"/>
        <v/>
      </c>
      <c r="N114" s="4" t="str">
        <f t="shared" si="66"/>
        <v/>
      </c>
      <c r="O114" s="4" t="str">
        <f t="shared" si="67"/>
        <v/>
      </c>
      <c r="P114" s="247"/>
      <c r="Q114" s="117"/>
      <c r="R114" s="4" t="str">
        <f t="shared" si="48"/>
        <v/>
      </c>
      <c r="S114" s="4" t="str">
        <f t="shared" si="49"/>
        <v/>
      </c>
      <c r="T114" s="4" t="str">
        <f t="shared" si="50"/>
        <v/>
      </c>
      <c r="U114" s="4" t="str">
        <f t="shared" si="51"/>
        <v/>
      </c>
      <c r="V114" s="247"/>
      <c r="W114" s="67" t="str">
        <f t="shared" si="75"/>
        <v/>
      </c>
      <c r="X114" s="118"/>
      <c r="Z114" s="67" t="str">
        <f t="shared" si="76"/>
        <v/>
      </c>
      <c r="AA114" s="13">
        <f t="shared" si="36"/>
        <v>0</v>
      </c>
      <c r="AB114" s="17">
        <f t="shared" si="37"/>
        <v>0</v>
      </c>
      <c r="AC114" s="163" t="str">
        <f t="shared" si="38"/>
        <v/>
      </c>
      <c r="AD114" s="119"/>
      <c r="AE114" s="120"/>
      <c r="AF114" s="121"/>
      <c r="AG114" s="122"/>
      <c r="AH114" s="83"/>
      <c r="AI114" s="115"/>
      <c r="AJ114" s="116"/>
      <c r="AK114" s="83"/>
      <c r="AL114" s="85"/>
      <c r="AM114" s="254"/>
      <c r="AN114" s="254"/>
      <c r="AO114" s="255"/>
    </row>
    <row r="115" spans="2:41" x14ac:dyDescent="0.25">
      <c r="B115" s="321"/>
      <c r="C115" s="17"/>
      <c r="D115" s="273"/>
      <c r="E115" s="117"/>
      <c r="F115" s="4" t="str">
        <f t="shared" si="39"/>
        <v/>
      </c>
      <c r="G115" s="4" t="str">
        <f t="shared" si="40"/>
        <v/>
      </c>
      <c r="H115" s="4" t="str">
        <f t="shared" si="41"/>
        <v/>
      </c>
      <c r="I115" s="4" t="str">
        <f t="shared" si="42"/>
        <v/>
      </c>
      <c r="J115" s="247"/>
      <c r="K115" s="117"/>
      <c r="L115" s="4" t="str">
        <f t="shared" si="64"/>
        <v/>
      </c>
      <c r="M115" s="4" t="str">
        <f t="shared" si="65"/>
        <v/>
      </c>
      <c r="N115" s="4" t="str">
        <f t="shared" si="66"/>
        <v/>
      </c>
      <c r="O115" s="4" t="str">
        <f t="shared" si="67"/>
        <v/>
      </c>
      <c r="P115" s="247"/>
      <c r="Q115" s="117"/>
      <c r="R115" s="4" t="str">
        <f t="shared" si="48"/>
        <v/>
      </c>
      <c r="S115" s="4" t="str">
        <f t="shared" si="49"/>
        <v/>
      </c>
      <c r="T115" s="4" t="str">
        <f t="shared" si="50"/>
        <v/>
      </c>
      <c r="U115" s="4" t="str">
        <f t="shared" si="51"/>
        <v/>
      </c>
      <c r="V115" s="247"/>
      <c r="W115" s="67" t="str">
        <f t="shared" si="75"/>
        <v/>
      </c>
      <c r="X115" s="118"/>
      <c r="Z115" s="67" t="str">
        <f t="shared" si="76"/>
        <v/>
      </c>
      <c r="AA115" s="13">
        <f t="shared" si="36"/>
        <v>0</v>
      </c>
      <c r="AB115" s="17">
        <f t="shared" si="37"/>
        <v>0</v>
      </c>
      <c r="AC115" s="163" t="str">
        <f t="shared" si="38"/>
        <v/>
      </c>
      <c r="AD115" s="119"/>
      <c r="AE115" s="120"/>
      <c r="AF115" s="121"/>
      <c r="AG115" s="122"/>
      <c r="AH115" s="83"/>
      <c r="AI115" s="115"/>
      <c r="AJ115" s="116"/>
      <c r="AK115" s="83"/>
      <c r="AL115" s="85"/>
      <c r="AM115" s="254"/>
      <c r="AN115" s="254"/>
      <c r="AO115" s="255"/>
    </row>
    <row r="116" spans="2:41" x14ac:dyDescent="0.25">
      <c r="B116" s="321"/>
      <c r="C116" s="17"/>
      <c r="D116" s="273"/>
      <c r="E116" s="117"/>
      <c r="F116" s="4" t="str">
        <f t="shared" si="39"/>
        <v/>
      </c>
      <c r="G116" s="4" t="str">
        <f t="shared" si="40"/>
        <v/>
      </c>
      <c r="H116" s="4" t="str">
        <f t="shared" si="41"/>
        <v/>
      </c>
      <c r="I116" s="4" t="str">
        <f t="shared" si="42"/>
        <v/>
      </c>
      <c r="J116" s="247"/>
      <c r="K116" s="117"/>
      <c r="L116" s="4" t="str">
        <f t="shared" si="64"/>
        <v/>
      </c>
      <c r="M116" s="4" t="str">
        <f t="shared" si="65"/>
        <v/>
      </c>
      <c r="N116" s="4" t="str">
        <f t="shared" si="66"/>
        <v/>
      </c>
      <c r="O116" s="4" t="str">
        <f t="shared" si="67"/>
        <v/>
      </c>
      <c r="P116" s="247"/>
      <c r="Q116" s="117"/>
      <c r="R116" s="4" t="str">
        <f t="shared" si="48"/>
        <v/>
      </c>
      <c r="S116" s="4" t="str">
        <f t="shared" si="49"/>
        <v/>
      </c>
      <c r="T116" s="4" t="str">
        <f t="shared" si="50"/>
        <v/>
      </c>
      <c r="U116" s="4" t="str">
        <f t="shared" si="51"/>
        <v/>
      </c>
      <c r="V116" s="247"/>
      <c r="W116" s="67" t="str">
        <f t="shared" si="75"/>
        <v/>
      </c>
      <c r="X116" s="118"/>
      <c r="Z116" s="67" t="str">
        <f t="shared" si="76"/>
        <v/>
      </c>
      <c r="AA116" s="13">
        <f t="shared" si="36"/>
        <v>0</v>
      </c>
      <c r="AB116" s="17">
        <f t="shared" si="37"/>
        <v>0</v>
      </c>
      <c r="AC116" s="163" t="str">
        <f t="shared" si="38"/>
        <v/>
      </c>
      <c r="AD116" s="119"/>
      <c r="AE116" s="120"/>
      <c r="AF116" s="121"/>
      <c r="AG116" s="122"/>
      <c r="AH116" s="83"/>
      <c r="AI116" s="115"/>
      <c r="AJ116" s="116"/>
      <c r="AK116" s="83"/>
      <c r="AL116" s="85"/>
      <c r="AM116" s="254"/>
      <c r="AN116" s="254"/>
      <c r="AO116" s="255"/>
    </row>
    <row r="117" spans="2:41" x14ac:dyDescent="0.25">
      <c r="B117" s="321"/>
      <c r="C117" s="17"/>
      <c r="D117" s="273"/>
      <c r="E117" s="117"/>
      <c r="F117" s="4" t="str">
        <f t="shared" si="39"/>
        <v/>
      </c>
      <c r="G117" s="4" t="str">
        <f t="shared" si="40"/>
        <v/>
      </c>
      <c r="H117" s="4" t="str">
        <f t="shared" si="41"/>
        <v/>
      </c>
      <c r="I117" s="4" t="str">
        <f t="shared" si="42"/>
        <v/>
      </c>
      <c r="J117" s="247"/>
      <c r="K117" s="117"/>
      <c r="L117" s="4" t="str">
        <f t="shared" si="64"/>
        <v/>
      </c>
      <c r="M117" s="4" t="str">
        <f t="shared" si="65"/>
        <v/>
      </c>
      <c r="N117" s="4" t="str">
        <f t="shared" si="66"/>
        <v/>
      </c>
      <c r="O117" s="4" t="str">
        <f t="shared" si="67"/>
        <v/>
      </c>
      <c r="P117" s="247"/>
      <c r="Q117" s="117"/>
      <c r="R117" s="4" t="str">
        <f t="shared" si="48"/>
        <v/>
      </c>
      <c r="S117" s="4" t="str">
        <f t="shared" si="49"/>
        <v/>
      </c>
      <c r="T117" s="4" t="str">
        <f t="shared" si="50"/>
        <v/>
      </c>
      <c r="U117" s="4" t="str">
        <f t="shared" si="51"/>
        <v/>
      </c>
      <c r="V117" s="247"/>
      <c r="W117" s="67" t="str">
        <f t="shared" si="75"/>
        <v/>
      </c>
      <c r="X117" s="118"/>
      <c r="Z117" s="67" t="str">
        <f t="shared" si="76"/>
        <v/>
      </c>
      <c r="AA117" s="13">
        <f t="shared" si="36"/>
        <v>0</v>
      </c>
      <c r="AB117" s="17">
        <f t="shared" si="37"/>
        <v>0</v>
      </c>
      <c r="AC117" s="163" t="str">
        <f t="shared" si="38"/>
        <v/>
      </c>
      <c r="AD117" s="119"/>
      <c r="AE117" s="120"/>
      <c r="AF117" s="121"/>
      <c r="AG117" s="122"/>
      <c r="AH117" s="83"/>
      <c r="AI117" s="115"/>
      <c r="AJ117" s="116"/>
      <c r="AK117" s="83"/>
      <c r="AL117" s="85"/>
      <c r="AM117" s="254"/>
      <c r="AN117" s="254"/>
      <c r="AO117" s="255"/>
    </row>
    <row r="118" spans="2:41" x14ac:dyDescent="0.25">
      <c r="B118" s="321"/>
      <c r="C118" s="17"/>
      <c r="D118" s="273"/>
      <c r="E118" s="117"/>
      <c r="F118" s="4" t="str">
        <f t="shared" si="39"/>
        <v/>
      </c>
      <c r="G118" s="4" t="str">
        <f t="shared" si="40"/>
        <v/>
      </c>
      <c r="H118" s="4" t="str">
        <f t="shared" si="41"/>
        <v/>
      </c>
      <c r="I118" s="4" t="str">
        <f t="shared" si="42"/>
        <v/>
      </c>
      <c r="J118" s="247"/>
      <c r="K118" s="117"/>
      <c r="L118" s="4" t="str">
        <f t="shared" si="64"/>
        <v/>
      </c>
      <c r="M118" s="4" t="str">
        <f t="shared" si="65"/>
        <v/>
      </c>
      <c r="N118" s="4" t="str">
        <f t="shared" si="66"/>
        <v/>
      </c>
      <c r="O118" s="4" t="str">
        <f t="shared" si="67"/>
        <v/>
      </c>
      <c r="P118" s="247"/>
      <c r="Q118" s="117"/>
      <c r="R118" s="4" t="str">
        <f t="shared" si="48"/>
        <v/>
      </c>
      <c r="S118" s="4" t="str">
        <f t="shared" si="49"/>
        <v/>
      </c>
      <c r="T118" s="4" t="str">
        <f t="shared" si="50"/>
        <v/>
      </c>
      <c r="U118" s="4" t="str">
        <f t="shared" si="51"/>
        <v/>
      </c>
      <c r="V118" s="247"/>
      <c r="W118" s="67" t="str">
        <f t="shared" si="75"/>
        <v/>
      </c>
      <c r="X118" s="118"/>
      <c r="Z118" s="67" t="str">
        <f t="shared" si="76"/>
        <v/>
      </c>
      <c r="AA118" s="13">
        <f t="shared" si="36"/>
        <v>0</v>
      </c>
      <c r="AB118" s="17">
        <f t="shared" si="37"/>
        <v>0</v>
      </c>
      <c r="AC118" s="163" t="str">
        <f t="shared" si="38"/>
        <v/>
      </c>
      <c r="AD118" s="119"/>
      <c r="AE118" s="120"/>
      <c r="AF118" s="121"/>
      <c r="AG118" s="122"/>
      <c r="AH118" s="83"/>
      <c r="AI118" s="115"/>
      <c r="AJ118" s="116"/>
      <c r="AK118" s="83"/>
      <c r="AL118" s="85"/>
      <c r="AM118" s="254"/>
      <c r="AN118" s="254"/>
      <c r="AO118" s="255"/>
    </row>
    <row r="119" spans="2:41" x14ac:dyDescent="0.25">
      <c r="B119" s="321"/>
      <c r="C119" s="17"/>
      <c r="D119" s="273"/>
      <c r="E119" s="117"/>
      <c r="F119" s="4" t="str">
        <f t="shared" si="39"/>
        <v/>
      </c>
      <c r="G119" s="4" t="str">
        <f t="shared" si="40"/>
        <v/>
      </c>
      <c r="H119" s="4" t="str">
        <f t="shared" si="41"/>
        <v/>
      </c>
      <c r="I119" s="4" t="str">
        <f t="shared" si="42"/>
        <v/>
      </c>
      <c r="J119" s="247"/>
      <c r="K119" s="117"/>
      <c r="L119" s="4" t="str">
        <f t="shared" si="64"/>
        <v/>
      </c>
      <c r="M119" s="4" t="str">
        <f t="shared" si="65"/>
        <v/>
      </c>
      <c r="N119" s="4" t="str">
        <f t="shared" si="66"/>
        <v/>
      </c>
      <c r="O119" s="4" t="str">
        <f t="shared" si="67"/>
        <v/>
      </c>
      <c r="P119" s="247"/>
      <c r="Q119" s="117"/>
      <c r="R119" s="4" t="str">
        <f t="shared" si="48"/>
        <v/>
      </c>
      <c r="S119" s="4" t="str">
        <f t="shared" si="49"/>
        <v/>
      </c>
      <c r="T119" s="4" t="str">
        <f t="shared" si="50"/>
        <v/>
      </c>
      <c r="U119" s="4" t="str">
        <f t="shared" si="51"/>
        <v/>
      </c>
      <c r="V119" s="247"/>
      <c r="W119" s="67" t="str">
        <f t="shared" si="75"/>
        <v/>
      </c>
      <c r="X119" s="118"/>
      <c r="Z119" s="67" t="str">
        <f t="shared" si="76"/>
        <v/>
      </c>
      <c r="AA119" s="13">
        <f t="shared" si="36"/>
        <v>0</v>
      </c>
      <c r="AB119" s="17">
        <f t="shared" si="37"/>
        <v>0</v>
      </c>
      <c r="AC119" s="163" t="str">
        <f t="shared" si="38"/>
        <v/>
      </c>
      <c r="AD119" s="119"/>
      <c r="AE119" s="120"/>
      <c r="AF119" s="121"/>
      <c r="AG119" s="122"/>
      <c r="AH119" s="83"/>
      <c r="AI119" s="115"/>
      <c r="AJ119" s="116"/>
      <c r="AK119" s="83"/>
      <c r="AL119" s="85"/>
      <c r="AM119" s="254"/>
      <c r="AN119" s="254"/>
      <c r="AO119" s="255"/>
    </row>
    <row r="120" spans="2:41" x14ac:dyDescent="0.25">
      <c r="B120" s="321"/>
      <c r="C120" s="17"/>
      <c r="D120" s="273"/>
      <c r="E120" s="117"/>
      <c r="F120" s="4" t="str">
        <f t="shared" si="39"/>
        <v/>
      </c>
      <c r="G120" s="4" t="str">
        <f t="shared" si="40"/>
        <v/>
      </c>
      <c r="H120" s="4" t="str">
        <f t="shared" si="41"/>
        <v/>
      </c>
      <c r="I120" s="4" t="str">
        <f t="shared" si="42"/>
        <v/>
      </c>
      <c r="J120" s="247"/>
      <c r="K120" s="117"/>
      <c r="L120" s="4" t="str">
        <f t="shared" si="64"/>
        <v/>
      </c>
      <c r="M120" s="4" t="str">
        <f t="shared" si="65"/>
        <v/>
      </c>
      <c r="N120" s="4" t="str">
        <f t="shared" si="66"/>
        <v/>
      </c>
      <c r="O120" s="4" t="str">
        <f t="shared" si="67"/>
        <v/>
      </c>
      <c r="P120" s="247"/>
      <c r="Q120" s="117"/>
      <c r="R120" s="4" t="str">
        <f t="shared" si="48"/>
        <v/>
      </c>
      <c r="S120" s="4" t="str">
        <f t="shared" si="49"/>
        <v/>
      </c>
      <c r="T120" s="4" t="str">
        <f t="shared" si="50"/>
        <v/>
      </c>
      <c r="U120" s="4" t="str">
        <f t="shared" si="51"/>
        <v/>
      </c>
      <c r="V120" s="247"/>
      <c r="W120" s="67" t="str">
        <f t="shared" si="75"/>
        <v/>
      </c>
      <c r="X120" s="118"/>
      <c r="Z120" s="67" t="str">
        <f t="shared" si="76"/>
        <v/>
      </c>
      <c r="AA120" s="13">
        <f t="shared" si="36"/>
        <v>0</v>
      </c>
      <c r="AB120" s="17">
        <f t="shared" si="37"/>
        <v>0</v>
      </c>
      <c r="AC120" s="163" t="str">
        <f t="shared" si="38"/>
        <v/>
      </c>
      <c r="AD120" s="119"/>
      <c r="AE120" s="120"/>
      <c r="AF120" s="121"/>
      <c r="AG120" s="122"/>
      <c r="AH120" s="83"/>
      <c r="AI120" s="115"/>
      <c r="AJ120" s="116"/>
      <c r="AK120" s="83"/>
      <c r="AL120" s="85"/>
      <c r="AM120" s="254"/>
      <c r="AN120" s="254"/>
      <c r="AO120" s="255"/>
    </row>
    <row r="121" spans="2:41" x14ac:dyDescent="0.25">
      <c r="B121" s="321"/>
      <c r="C121" s="17"/>
      <c r="D121" s="273"/>
      <c r="E121" s="117"/>
      <c r="F121" s="4" t="str">
        <f t="shared" si="39"/>
        <v/>
      </c>
      <c r="G121" s="4" t="str">
        <f t="shared" si="40"/>
        <v/>
      </c>
      <c r="H121" s="4" t="str">
        <f t="shared" si="41"/>
        <v/>
      </c>
      <c r="I121" s="4" t="str">
        <f t="shared" si="42"/>
        <v/>
      </c>
      <c r="J121" s="247"/>
      <c r="K121" s="117"/>
      <c r="L121" s="4" t="str">
        <f t="shared" si="64"/>
        <v/>
      </c>
      <c r="M121" s="4" t="str">
        <f t="shared" si="65"/>
        <v/>
      </c>
      <c r="N121" s="4" t="str">
        <f t="shared" si="66"/>
        <v/>
      </c>
      <c r="O121" s="4" t="str">
        <f t="shared" si="67"/>
        <v/>
      </c>
      <c r="P121" s="247"/>
      <c r="Q121" s="117"/>
      <c r="R121" s="4" t="str">
        <f t="shared" si="48"/>
        <v/>
      </c>
      <c r="S121" s="4" t="str">
        <f t="shared" si="49"/>
        <v/>
      </c>
      <c r="T121" s="4" t="str">
        <f t="shared" si="50"/>
        <v/>
      </c>
      <c r="U121" s="4" t="str">
        <f t="shared" si="51"/>
        <v/>
      </c>
      <c r="V121" s="247"/>
      <c r="W121" s="67" t="str">
        <f t="shared" si="75"/>
        <v/>
      </c>
      <c r="X121" s="118"/>
      <c r="Z121" s="67" t="str">
        <f t="shared" si="76"/>
        <v/>
      </c>
      <c r="AA121" s="13">
        <f t="shared" si="36"/>
        <v>0</v>
      </c>
      <c r="AB121" s="17">
        <f t="shared" si="37"/>
        <v>0</v>
      </c>
      <c r="AC121" s="163" t="str">
        <f t="shared" si="38"/>
        <v/>
      </c>
      <c r="AD121" s="119"/>
      <c r="AE121" s="120"/>
      <c r="AF121" s="121"/>
      <c r="AG121" s="122"/>
      <c r="AH121" s="83"/>
      <c r="AI121" s="115"/>
      <c r="AJ121" s="116"/>
      <c r="AK121" s="83"/>
      <c r="AL121" s="85"/>
      <c r="AM121" s="254"/>
      <c r="AN121" s="254"/>
      <c r="AO121" s="255"/>
    </row>
    <row r="122" spans="2:41" x14ac:dyDescent="0.25">
      <c r="B122" s="321"/>
      <c r="C122" s="17"/>
      <c r="D122" s="273"/>
      <c r="E122" s="117"/>
      <c r="F122" s="4" t="str">
        <f t="shared" si="39"/>
        <v/>
      </c>
      <c r="G122" s="4" t="str">
        <f t="shared" si="40"/>
        <v/>
      </c>
      <c r="H122" s="4" t="str">
        <f t="shared" si="41"/>
        <v/>
      </c>
      <c r="I122" s="4" t="str">
        <f t="shared" si="42"/>
        <v/>
      </c>
      <c r="J122" s="247"/>
      <c r="K122" s="117"/>
      <c r="L122" s="4" t="str">
        <f t="shared" si="64"/>
        <v/>
      </c>
      <c r="M122" s="4" t="str">
        <f t="shared" si="65"/>
        <v/>
      </c>
      <c r="N122" s="4" t="str">
        <f t="shared" si="66"/>
        <v/>
      </c>
      <c r="O122" s="4" t="str">
        <f t="shared" si="67"/>
        <v/>
      </c>
      <c r="P122" s="247"/>
      <c r="Q122" s="117"/>
      <c r="R122" s="4" t="str">
        <f t="shared" si="48"/>
        <v/>
      </c>
      <c r="S122" s="4" t="str">
        <f t="shared" si="49"/>
        <v/>
      </c>
      <c r="T122" s="4" t="str">
        <f t="shared" si="50"/>
        <v/>
      </c>
      <c r="U122" s="4" t="str">
        <f t="shared" si="51"/>
        <v/>
      </c>
      <c r="V122" s="247"/>
      <c r="W122" s="67" t="str">
        <f t="shared" si="75"/>
        <v/>
      </c>
      <c r="X122" s="118"/>
      <c r="Z122" s="67" t="str">
        <f t="shared" si="76"/>
        <v/>
      </c>
      <c r="AA122" s="13">
        <f t="shared" si="36"/>
        <v>0</v>
      </c>
      <c r="AB122" s="17">
        <f t="shared" si="37"/>
        <v>0</v>
      </c>
      <c r="AC122" s="163" t="str">
        <f t="shared" si="38"/>
        <v/>
      </c>
      <c r="AD122" s="119"/>
      <c r="AE122" s="120"/>
      <c r="AF122" s="121"/>
      <c r="AG122" s="122"/>
      <c r="AH122" s="83"/>
      <c r="AI122" s="115"/>
      <c r="AJ122" s="116"/>
      <c r="AK122" s="83"/>
      <c r="AL122" s="85"/>
      <c r="AM122" s="254"/>
      <c r="AN122" s="254"/>
      <c r="AO122" s="255"/>
    </row>
    <row r="123" spans="2:41" x14ac:dyDescent="0.25">
      <c r="B123" s="321"/>
      <c r="C123" s="17"/>
      <c r="D123" s="273"/>
      <c r="E123" s="117"/>
      <c r="F123" s="4" t="str">
        <f t="shared" si="39"/>
        <v/>
      </c>
      <c r="G123" s="4" t="str">
        <f t="shared" si="40"/>
        <v/>
      </c>
      <c r="H123" s="4" t="str">
        <f t="shared" si="41"/>
        <v/>
      </c>
      <c r="I123" s="4" t="str">
        <f t="shared" si="42"/>
        <v/>
      </c>
      <c r="J123" s="247"/>
      <c r="K123" s="117"/>
      <c r="L123" s="4" t="str">
        <f t="shared" si="64"/>
        <v/>
      </c>
      <c r="M123" s="4" t="str">
        <f t="shared" si="65"/>
        <v/>
      </c>
      <c r="N123" s="4" t="str">
        <f t="shared" si="66"/>
        <v/>
      </c>
      <c r="O123" s="4" t="str">
        <f t="shared" si="67"/>
        <v/>
      </c>
      <c r="P123" s="247"/>
      <c r="Q123" s="117"/>
      <c r="R123" s="4" t="str">
        <f t="shared" si="48"/>
        <v/>
      </c>
      <c r="S123" s="4" t="str">
        <f t="shared" si="49"/>
        <v/>
      </c>
      <c r="T123" s="4" t="str">
        <f t="shared" si="50"/>
        <v/>
      </c>
      <c r="U123" s="4" t="str">
        <f t="shared" si="51"/>
        <v/>
      </c>
      <c r="V123" s="247"/>
      <c r="W123" s="67" t="str">
        <f t="shared" si="75"/>
        <v/>
      </c>
      <c r="X123" s="118"/>
      <c r="Z123" s="67" t="str">
        <f t="shared" si="76"/>
        <v/>
      </c>
      <c r="AA123" s="13">
        <f t="shared" si="36"/>
        <v>0</v>
      </c>
      <c r="AB123" s="17">
        <f t="shared" si="37"/>
        <v>0</v>
      </c>
      <c r="AC123" s="163" t="str">
        <f t="shared" si="38"/>
        <v/>
      </c>
      <c r="AD123" s="119"/>
      <c r="AE123" s="120"/>
      <c r="AF123" s="121"/>
      <c r="AG123" s="122"/>
      <c r="AH123" s="83"/>
      <c r="AI123" s="115"/>
      <c r="AJ123" s="116"/>
      <c r="AK123" s="83"/>
      <c r="AL123" s="85"/>
      <c r="AM123" s="254"/>
      <c r="AN123" s="254"/>
      <c r="AO123" s="255"/>
    </row>
    <row r="124" spans="2:41" x14ac:dyDescent="0.25">
      <c r="B124" s="321"/>
      <c r="C124" s="17"/>
      <c r="D124" s="273"/>
      <c r="E124" s="117"/>
      <c r="F124" s="4" t="str">
        <f t="shared" ref="F124:F187" si="77">IFERROR(IF(VLOOKUP($E124,Inward,2,FALSE)&gt;0,VLOOKUP($E124,Inward,2,FALSE),""),"")</f>
        <v/>
      </c>
      <c r="G124" s="4" t="str">
        <f t="shared" ref="G124:G187" si="78">IFERROR(IF(VLOOKUP($E124,Inward,7,FALSE)&gt;0,VLOOKUP($E124,Inward,7,FALSE),""),"")</f>
        <v/>
      </c>
      <c r="H124" s="4" t="str">
        <f t="shared" ref="H124:H187" si="79">IFERROR(IF(VLOOKUP($E124,Inward,8,FALSE)&gt;0,VLOOKUP($E124,Inward,8,FALSE),""),"")</f>
        <v/>
      </c>
      <c r="I124" s="4" t="str">
        <f t="shared" ref="I124:I187" si="80">IFERROR(IF(VLOOKUP($E124,Inward,11,FALSE)&gt;0,VLOOKUP($E124,Inward,11,FALSE),""),"")</f>
        <v/>
      </c>
      <c r="J124" s="247"/>
      <c r="K124" s="117"/>
      <c r="L124" s="4" t="str">
        <f t="shared" ref="L124:L187" si="81">IFERROR(IF(VLOOKUP($K124,Inward,2,FALSE)&gt;0,VLOOKUP($K124,Inward,2,FALSE),""),"")</f>
        <v/>
      </c>
      <c r="M124" s="4" t="str">
        <f t="shared" ref="M124:M187" si="82">IFERROR(IF(VLOOKUP($K124,Inward,7,FALSE)&gt;0,VLOOKUP($K124,Inward,7,FALSE),""),"")</f>
        <v/>
      </c>
      <c r="N124" s="4" t="str">
        <f t="shared" ref="N124:N187" si="83">IFERROR(IF(VLOOKUP($K124,Inward,8,FALSE)&gt;0,VLOOKUP($K124,Inward,8,FALSE),""),"")</f>
        <v/>
      </c>
      <c r="O124" s="4" t="str">
        <f t="shared" ref="O124:O187" si="84">IFERROR(IF(VLOOKUP($K124,Inward,11,FALSE)&gt;0,VLOOKUP($K124,Inward,11,FALSE),""),"")</f>
        <v/>
      </c>
      <c r="P124" s="247"/>
      <c r="Q124" s="117"/>
      <c r="R124" s="4" t="str">
        <f t="shared" ref="R124:R187" si="85">IFERROR(IF(VLOOKUP($Q124,Inward,2,FALSE)&gt;0,VLOOKUP($Q124,Inward,2,FALSE),""),"")</f>
        <v/>
      </c>
      <c r="S124" s="4" t="str">
        <f t="shared" ref="S124:S187" si="86">IFERROR(IF(VLOOKUP($Q124,Inward,7,FALSE)&gt;0,VLOOKUP($Q124,Inward,7,FALSE),""),"")</f>
        <v/>
      </c>
      <c r="T124" s="4" t="str">
        <f t="shared" ref="T124:T187" si="87">IFERROR(IF(VLOOKUP($Q124,Inward,8,FALSE)&gt;0,VLOOKUP($Q124,Inward,8,FALSE),""),"")</f>
        <v/>
      </c>
      <c r="U124" s="4" t="str">
        <f t="shared" ref="U124:U187" si="88">IFERROR(IF(VLOOKUP($Q124,Inward,11,FALSE)&gt;0,VLOOKUP($Q124,Inward,11,FALSE),""),"")</f>
        <v/>
      </c>
      <c r="V124" s="247"/>
      <c r="W124" s="67" t="str">
        <f t="shared" ref="W124:W187" si="89">IF(SUM(I124,O124,U124)&gt;0,(SUM(I124,O124,U124)),"")</f>
        <v/>
      </c>
      <c r="X124" s="118"/>
      <c r="Z124" s="67" t="str">
        <f t="shared" ref="Z124:Z187" si="90">IF(SUM(W124,Y124)&gt;0,(SUM(W124,Y124)),"")</f>
        <v/>
      </c>
      <c r="AA124" s="13">
        <f t="shared" ref="AA124:AA187" si="91">B124</f>
        <v>0</v>
      </c>
      <c r="AB124" s="17">
        <f t="shared" ref="AB124:AB187" si="92">C124</f>
        <v>0</v>
      </c>
      <c r="AC124" s="163" t="str">
        <f t="shared" ref="AC124:AC187" si="93">F124</f>
        <v/>
      </c>
      <c r="AD124" s="119"/>
      <c r="AE124" s="120"/>
      <c r="AF124" s="121"/>
      <c r="AG124" s="122"/>
      <c r="AH124" s="83"/>
      <c r="AI124" s="115"/>
      <c r="AJ124" s="116"/>
      <c r="AK124" s="83"/>
      <c r="AL124" s="85"/>
      <c r="AM124" s="254"/>
      <c r="AN124" s="254"/>
      <c r="AO124" s="255"/>
    </row>
    <row r="125" spans="2:41" x14ac:dyDescent="0.25">
      <c r="B125" s="321"/>
      <c r="C125" s="17"/>
      <c r="D125" s="273"/>
      <c r="E125" s="117"/>
      <c r="F125" s="4" t="str">
        <f t="shared" si="77"/>
        <v/>
      </c>
      <c r="G125" s="4" t="str">
        <f t="shared" si="78"/>
        <v/>
      </c>
      <c r="H125" s="4" t="str">
        <f t="shared" si="79"/>
        <v/>
      </c>
      <c r="I125" s="4" t="str">
        <f t="shared" si="80"/>
        <v/>
      </c>
      <c r="J125" s="247"/>
      <c r="K125" s="117"/>
      <c r="L125" s="4" t="str">
        <f t="shared" si="81"/>
        <v/>
      </c>
      <c r="M125" s="4" t="str">
        <f t="shared" si="82"/>
        <v/>
      </c>
      <c r="N125" s="4" t="str">
        <f t="shared" si="83"/>
        <v/>
      </c>
      <c r="O125" s="4" t="str">
        <f t="shared" si="84"/>
        <v/>
      </c>
      <c r="P125" s="247"/>
      <c r="Q125" s="117"/>
      <c r="R125" s="4" t="str">
        <f t="shared" si="85"/>
        <v/>
      </c>
      <c r="S125" s="4" t="str">
        <f t="shared" si="86"/>
        <v/>
      </c>
      <c r="T125" s="4" t="str">
        <f t="shared" si="87"/>
        <v/>
      </c>
      <c r="U125" s="4" t="str">
        <f t="shared" si="88"/>
        <v/>
      </c>
      <c r="V125" s="247"/>
      <c r="W125" s="67" t="str">
        <f t="shared" si="89"/>
        <v/>
      </c>
      <c r="X125" s="118"/>
      <c r="Z125" s="67" t="str">
        <f t="shared" si="90"/>
        <v/>
      </c>
      <c r="AA125" s="13">
        <f t="shared" si="91"/>
        <v>0</v>
      </c>
      <c r="AB125" s="17">
        <f t="shared" si="92"/>
        <v>0</v>
      </c>
      <c r="AC125" s="163" t="str">
        <f t="shared" si="93"/>
        <v/>
      </c>
      <c r="AD125" s="119"/>
      <c r="AE125" s="120"/>
      <c r="AF125" s="121"/>
      <c r="AG125" s="122"/>
      <c r="AH125" s="83"/>
      <c r="AI125" s="115"/>
      <c r="AJ125" s="116"/>
      <c r="AK125" s="83"/>
      <c r="AL125" s="85"/>
      <c r="AM125" s="254"/>
      <c r="AN125" s="254"/>
      <c r="AO125" s="255"/>
    </row>
    <row r="126" spans="2:41" x14ac:dyDescent="0.25">
      <c r="B126" s="321"/>
      <c r="C126" s="17"/>
      <c r="D126" s="273"/>
      <c r="E126" s="117"/>
      <c r="F126" s="4" t="str">
        <f t="shared" si="77"/>
        <v/>
      </c>
      <c r="G126" s="4" t="str">
        <f t="shared" si="78"/>
        <v/>
      </c>
      <c r="H126" s="4" t="str">
        <f t="shared" si="79"/>
        <v/>
      </c>
      <c r="I126" s="4" t="str">
        <f t="shared" si="80"/>
        <v/>
      </c>
      <c r="J126" s="247"/>
      <c r="K126" s="117"/>
      <c r="L126" s="4" t="str">
        <f t="shared" si="81"/>
        <v/>
      </c>
      <c r="M126" s="4" t="str">
        <f t="shared" si="82"/>
        <v/>
      </c>
      <c r="N126" s="4" t="str">
        <f t="shared" si="83"/>
        <v/>
      </c>
      <c r="O126" s="4" t="str">
        <f t="shared" si="84"/>
        <v/>
      </c>
      <c r="P126" s="247"/>
      <c r="Q126" s="117"/>
      <c r="R126" s="4" t="str">
        <f t="shared" si="85"/>
        <v/>
      </c>
      <c r="S126" s="4" t="str">
        <f t="shared" si="86"/>
        <v/>
      </c>
      <c r="T126" s="4" t="str">
        <f t="shared" si="87"/>
        <v/>
      </c>
      <c r="U126" s="4" t="str">
        <f t="shared" si="88"/>
        <v/>
      </c>
      <c r="V126" s="247"/>
      <c r="W126" s="67" t="str">
        <f t="shared" si="89"/>
        <v/>
      </c>
      <c r="X126" s="118"/>
      <c r="Z126" s="67" t="str">
        <f t="shared" si="90"/>
        <v/>
      </c>
      <c r="AA126" s="13">
        <f t="shared" si="91"/>
        <v>0</v>
      </c>
      <c r="AB126" s="17">
        <f t="shared" si="92"/>
        <v>0</v>
      </c>
      <c r="AC126" s="163" t="str">
        <f t="shared" si="93"/>
        <v/>
      </c>
      <c r="AD126" s="119"/>
      <c r="AE126" s="120"/>
      <c r="AF126" s="121"/>
      <c r="AG126" s="122"/>
      <c r="AH126" s="83"/>
      <c r="AI126" s="115"/>
      <c r="AJ126" s="116"/>
      <c r="AK126" s="83"/>
      <c r="AL126" s="85"/>
      <c r="AM126" s="254"/>
      <c r="AN126" s="254"/>
      <c r="AO126" s="255"/>
    </row>
    <row r="127" spans="2:41" x14ac:dyDescent="0.25">
      <c r="B127" s="321"/>
      <c r="C127" s="17"/>
      <c r="D127" s="273"/>
      <c r="E127" s="117"/>
      <c r="F127" s="4" t="str">
        <f t="shared" si="77"/>
        <v/>
      </c>
      <c r="G127" s="4" t="str">
        <f t="shared" si="78"/>
        <v/>
      </c>
      <c r="H127" s="4" t="str">
        <f t="shared" si="79"/>
        <v/>
      </c>
      <c r="I127" s="4" t="str">
        <f t="shared" si="80"/>
        <v/>
      </c>
      <c r="J127" s="247"/>
      <c r="K127" s="117"/>
      <c r="L127" s="4" t="str">
        <f t="shared" si="81"/>
        <v/>
      </c>
      <c r="M127" s="4" t="str">
        <f t="shared" si="82"/>
        <v/>
      </c>
      <c r="N127" s="4" t="str">
        <f t="shared" si="83"/>
        <v/>
      </c>
      <c r="O127" s="4" t="str">
        <f t="shared" si="84"/>
        <v/>
      </c>
      <c r="P127" s="247"/>
      <c r="Q127" s="117"/>
      <c r="R127" s="4" t="str">
        <f t="shared" si="85"/>
        <v/>
      </c>
      <c r="S127" s="4" t="str">
        <f t="shared" si="86"/>
        <v/>
      </c>
      <c r="T127" s="4" t="str">
        <f t="shared" si="87"/>
        <v/>
      </c>
      <c r="U127" s="4" t="str">
        <f t="shared" si="88"/>
        <v/>
      </c>
      <c r="V127" s="247"/>
      <c r="W127" s="67" t="str">
        <f t="shared" si="89"/>
        <v/>
      </c>
      <c r="X127" s="118"/>
      <c r="Z127" s="67" t="str">
        <f t="shared" si="90"/>
        <v/>
      </c>
      <c r="AA127" s="13">
        <f t="shared" si="91"/>
        <v>0</v>
      </c>
      <c r="AB127" s="17">
        <f t="shared" si="92"/>
        <v>0</v>
      </c>
      <c r="AC127" s="163" t="str">
        <f t="shared" si="93"/>
        <v/>
      </c>
      <c r="AD127" s="119"/>
      <c r="AE127" s="120"/>
      <c r="AF127" s="121"/>
      <c r="AG127" s="122"/>
      <c r="AH127" s="83"/>
      <c r="AI127" s="115"/>
      <c r="AJ127" s="116"/>
      <c r="AK127" s="83"/>
      <c r="AL127" s="85"/>
      <c r="AM127" s="254"/>
      <c r="AN127" s="254"/>
      <c r="AO127" s="255"/>
    </row>
    <row r="128" spans="2:41" x14ac:dyDescent="0.25">
      <c r="B128" s="321"/>
      <c r="C128" s="17"/>
      <c r="D128" s="273"/>
      <c r="E128" s="117"/>
      <c r="F128" s="4" t="str">
        <f t="shared" si="77"/>
        <v/>
      </c>
      <c r="G128" s="4" t="str">
        <f t="shared" si="78"/>
        <v/>
      </c>
      <c r="H128" s="4" t="str">
        <f t="shared" si="79"/>
        <v/>
      </c>
      <c r="I128" s="4" t="str">
        <f t="shared" si="80"/>
        <v/>
      </c>
      <c r="J128" s="247"/>
      <c r="K128" s="117"/>
      <c r="L128" s="4" t="str">
        <f t="shared" si="81"/>
        <v/>
      </c>
      <c r="M128" s="4" t="str">
        <f t="shared" si="82"/>
        <v/>
      </c>
      <c r="N128" s="4" t="str">
        <f t="shared" si="83"/>
        <v/>
      </c>
      <c r="O128" s="4" t="str">
        <f t="shared" si="84"/>
        <v/>
      </c>
      <c r="P128" s="247"/>
      <c r="Q128" s="117"/>
      <c r="R128" s="4" t="str">
        <f t="shared" si="85"/>
        <v/>
      </c>
      <c r="S128" s="4" t="str">
        <f t="shared" si="86"/>
        <v/>
      </c>
      <c r="T128" s="4" t="str">
        <f t="shared" si="87"/>
        <v/>
      </c>
      <c r="U128" s="4" t="str">
        <f t="shared" si="88"/>
        <v/>
      </c>
      <c r="V128" s="247"/>
      <c r="W128" s="67" t="str">
        <f t="shared" si="89"/>
        <v/>
      </c>
      <c r="X128" s="118"/>
      <c r="Z128" s="67" t="str">
        <f t="shared" si="90"/>
        <v/>
      </c>
      <c r="AA128" s="13">
        <f t="shared" si="91"/>
        <v>0</v>
      </c>
      <c r="AB128" s="17">
        <f t="shared" si="92"/>
        <v>0</v>
      </c>
      <c r="AC128" s="163" t="str">
        <f t="shared" si="93"/>
        <v/>
      </c>
      <c r="AD128" s="119"/>
      <c r="AE128" s="120"/>
      <c r="AF128" s="121"/>
      <c r="AG128" s="122"/>
      <c r="AH128" s="83"/>
      <c r="AI128" s="115"/>
      <c r="AJ128" s="116"/>
      <c r="AK128" s="83"/>
      <c r="AL128" s="85"/>
      <c r="AM128" s="254"/>
      <c r="AN128" s="254"/>
      <c r="AO128" s="255"/>
    </row>
    <row r="129" spans="1:41" x14ac:dyDescent="0.25">
      <c r="B129" s="321"/>
      <c r="C129" s="17"/>
      <c r="D129" s="273"/>
      <c r="E129" s="117"/>
      <c r="F129" s="4" t="str">
        <f t="shared" si="77"/>
        <v/>
      </c>
      <c r="G129" s="4" t="str">
        <f t="shared" si="78"/>
        <v/>
      </c>
      <c r="H129" s="4" t="str">
        <f t="shared" si="79"/>
        <v/>
      </c>
      <c r="I129" s="4" t="str">
        <f t="shared" si="80"/>
        <v/>
      </c>
      <c r="J129" s="247"/>
      <c r="K129" s="117"/>
      <c r="L129" s="4" t="str">
        <f t="shared" si="81"/>
        <v/>
      </c>
      <c r="M129" s="4" t="str">
        <f t="shared" si="82"/>
        <v/>
      </c>
      <c r="N129" s="4" t="str">
        <f t="shared" si="83"/>
        <v/>
      </c>
      <c r="O129" s="4" t="str">
        <f t="shared" si="84"/>
        <v/>
      </c>
      <c r="P129" s="247"/>
      <c r="Q129" s="117"/>
      <c r="R129" s="4" t="str">
        <f t="shared" si="85"/>
        <v/>
      </c>
      <c r="S129" s="4" t="str">
        <f t="shared" si="86"/>
        <v/>
      </c>
      <c r="T129" s="4" t="str">
        <f t="shared" si="87"/>
        <v/>
      </c>
      <c r="U129" s="4" t="str">
        <f t="shared" si="88"/>
        <v/>
      </c>
      <c r="V129" s="247"/>
      <c r="W129" s="67" t="str">
        <f t="shared" si="89"/>
        <v/>
      </c>
      <c r="X129" s="118"/>
      <c r="Z129" s="67" t="str">
        <f t="shared" si="90"/>
        <v/>
      </c>
      <c r="AA129" s="13">
        <f t="shared" si="91"/>
        <v>0</v>
      </c>
      <c r="AB129" s="17">
        <f t="shared" si="92"/>
        <v>0</v>
      </c>
      <c r="AC129" s="163" t="str">
        <f t="shared" si="93"/>
        <v/>
      </c>
      <c r="AD129" s="119"/>
      <c r="AE129" s="120"/>
      <c r="AF129" s="121"/>
      <c r="AG129" s="122"/>
      <c r="AH129" s="83"/>
      <c r="AI129" s="115"/>
      <c r="AJ129" s="116"/>
      <c r="AK129" s="83"/>
      <c r="AL129" s="85"/>
      <c r="AM129" s="254"/>
      <c r="AN129" s="324"/>
      <c r="AO129" s="255"/>
    </row>
    <row r="130" spans="1:41" x14ac:dyDescent="0.25">
      <c r="B130" s="321"/>
      <c r="C130" s="17"/>
      <c r="D130" s="273"/>
      <c r="E130" s="117"/>
      <c r="F130" s="4" t="str">
        <f t="shared" si="77"/>
        <v/>
      </c>
      <c r="G130" s="4" t="str">
        <f t="shared" si="78"/>
        <v/>
      </c>
      <c r="H130" s="4" t="str">
        <f t="shared" si="79"/>
        <v/>
      </c>
      <c r="I130" s="4" t="str">
        <f t="shared" si="80"/>
        <v/>
      </c>
      <c r="J130" s="247"/>
      <c r="K130" s="117"/>
      <c r="L130" s="4" t="str">
        <f t="shared" si="81"/>
        <v/>
      </c>
      <c r="M130" s="4" t="str">
        <f t="shared" si="82"/>
        <v/>
      </c>
      <c r="N130" s="4" t="str">
        <f t="shared" si="83"/>
        <v/>
      </c>
      <c r="O130" s="4" t="str">
        <f t="shared" si="84"/>
        <v/>
      </c>
      <c r="P130" s="247"/>
      <c r="Q130" s="117"/>
      <c r="R130" s="4" t="str">
        <f t="shared" si="85"/>
        <v/>
      </c>
      <c r="S130" s="4" t="str">
        <f t="shared" si="86"/>
        <v/>
      </c>
      <c r="T130" s="4" t="str">
        <f t="shared" si="87"/>
        <v/>
      </c>
      <c r="U130" s="4" t="str">
        <f t="shared" si="88"/>
        <v/>
      </c>
      <c r="V130" s="247"/>
      <c r="W130" s="67" t="str">
        <f t="shared" si="89"/>
        <v/>
      </c>
      <c r="X130" s="118"/>
      <c r="Z130" s="67" t="str">
        <f t="shared" si="90"/>
        <v/>
      </c>
      <c r="AA130" s="13">
        <f t="shared" si="91"/>
        <v>0</v>
      </c>
      <c r="AB130" s="17">
        <f t="shared" si="92"/>
        <v>0</v>
      </c>
      <c r="AC130" s="163" t="str">
        <f t="shared" si="93"/>
        <v/>
      </c>
      <c r="AD130" s="119"/>
      <c r="AE130" s="120"/>
      <c r="AF130" s="121"/>
      <c r="AG130" s="122"/>
      <c r="AH130" s="83"/>
      <c r="AI130" s="115"/>
      <c r="AJ130" s="116"/>
      <c r="AK130" s="83"/>
      <c r="AL130" s="85"/>
      <c r="AM130" s="254"/>
      <c r="AN130" s="254"/>
      <c r="AO130" s="255"/>
    </row>
    <row r="131" spans="1:41" x14ac:dyDescent="0.25">
      <c r="B131" s="321"/>
      <c r="C131" s="17"/>
      <c r="D131" s="273"/>
      <c r="E131" s="117"/>
      <c r="F131" s="4" t="str">
        <f t="shared" ref="F131:F158" si="94">IFERROR(IF(VLOOKUP($E131,Inward,2,FALSE)&gt;0,VLOOKUP($E131,Inward,2,FALSE),""),"")</f>
        <v/>
      </c>
      <c r="G131" s="4" t="str">
        <f t="shared" ref="G131:G158" si="95">IFERROR(IF(VLOOKUP($E131,Inward,7,FALSE)&gt;0,VLOOKUP($E131,Inward,7,FALSE),""),"")</f>
        <v/>
      </c>
      <c r="H131" s="4" t="str">
        <f t="shared" ref="H131:H158" si="96">IFERROR(IF(VLOOKUP($E131,Inward,8,FALSE)&gt;0,VLOOKUP($E131,Inward,8,FALSE),""),"")</f>
        <v/>
      </c>
      <c r="I131" s="4" t="str">
        <f t="shared" ref="I131:I158" si="97">IFERROR(IF(VLOOKUP($E131,Inward,11,FALSE)&gt;0,VLOOKUP($E131,Inward,11,FALSE),""),"")</f>
        <v/>
      </c>
      <c r="J131" s="247"/>
      <c r="K131" s="117"/>
      <c r="L131" s="4" t="str">
        <f t="shared" ref="L131:L158" si="98">IFERROR(IF(VLOOKUP($K131,Inward,2,FALSE)&gt;0,VLOOKUP($K131,Inward,2,FALSE),""),"")</f>
        <v/>
      </c>
      <c r="M131" s="4" t="str">
        <f t="shared" ref="M131:M158" si="99">IFERROR(IF(VLOOKUP($K131,Inward,7,FALSE)&gt;0,VLOOKUP($K131,Inward,7,FALSE),""),"")</f>
        <v/>
      </c>
      <c r="N131" s="4" t="str">
        <f t="shared" ref="N131:N158" si="100">IFERROR(IF(VLOOKUP($K131,Inward,8,FALSE)&gt;0,VLOOKUP($K131,Inward,8,FALSE),""),"")</f>
        <v/>
      </c>
      <c r="O131" s="4" t="str">
        <f t="shared" ref="O131:O158" si="101">IFERROR(IF(VLOOKUP($K131,Inward,11,FALSE)&gt;0,VLOOKUP($K131,Inward,11,FALSE),""),"")</f>
        <v/>
      </c>
      <c r="P131" s="247"/>
      <c r="Q131" s="117"/>
      <c r="R131" s="4" t="str">
        <f t="shared" ref="R131:R158" si="102">IFERROR(IF(VLOOKUP($Q131,Inward,2,FALSE)&gt;0,VLOOKUP($Q131,Inward,2,FALSE),""),"")</f>
        <v/>
      </c>
      <c r="S131" s="4" t="str">
        <f t="shared" ref="S131:S158" si="103">IFERROR(IF(VLOOKUP($Q131,Inward,7,FALSE)&gt;0,VLOOKUP($Q131,Inward,7,FALSE),""),"")</f>
        <v/>
      </c>
      <c r="T131" s="4" t="str">
        <f t="shared" ref="T131:T158" si="104">IFERROR(IF(VLOOKUP($Q131,Inward,8,FALSE)&gt;0,VLOOKUP($Q131,Inward,8,FALSE),""),"")</f>
        <v/>
      </c>
      <c r="U131" s="4" t="str">
        <f t="shared" ref="U131:U158" si="105">IFERROR(IF(VLOOKUP($Q131,Inward,11,FALSE)&gt;0,VLOOKUP($Q131,Inward,11,FALSE),""),"")</f>
        <v/>
      </c>
      <c r="V131" s="247"/>
      <c r="W131" s="67" t="str">
        <f t="shared" ref="W131:W158" si="106">IF(SUM(I131,O131,U131)&gt;0,(SUM(I131,O131,U131)),"")</f>
        <v/>
      </c>
      <c r="X131" s="118"/>
      <c r="Z131" s="67" t="str">
        <f t="shared" ref="Z131:Z158" si="107">IF(SUM(W131,Y131)&gt;0,(SUM(W131,Y131)),"")</f>
        <v/>
      </c>
      <c r="AA131" s="13">
        <f t="shared" ref="AA131:AA158" si="108">B131</f>
        <v>0</v>
      </c>
      <c r="AB131" s="17">
        <f t="shared" si="92"/>
        <v>0</v>
      </c>
      <c r="AC131" s="163" t="str">
        <f t="shared" ref="AC131:AC158" si="109">F131</f>
        <v/>
      </c>
      <c r="AD131" s="119"/>
      <c r="AE131" s="120"/>
      <c r="AF131" s="121"/>
      <c r="AG131" s="122"/>
      <c r="AH131" s="83"/>
      <c r="AI131" s="115"/>
      <c r="AJ131" s="116"/>
      <c r="AK131" s="83"/>
      <c r="AL131" s="85"/>
      <c r="AM131" s="254"/>
      <c r="AN131" s="254"/>
      <c r="AO131" s="255"/>
    </row>
    <row r="132" spans="1:41" x14ac:dyDescent="0.25">
      <c r="B132" s="321"/>
      <c r="C132" s="17"/>
      <c r="D132" s="273"/>
      <c r="E132" s="117"/>
      <c r="F132" s="4" t="str">
        <f t="shared" si="94"/>
        <v/>
      </c>
      <c r="G132" s="4" t="str">
        <f t="shared" si="95"/>
        <v/>
      </c>
      <c r="H132" s="4" t="str">
        <f t="shared" si="96"/>
        <v/>
      </c>
      <c r="I132" s="4" t="str">
        <f t="shared" si="97"/>
        <v/>
      </c>
      <c r="J132" s="247"/>
      <c r="K132" s="117"/>
      <c r="L132" s="4" t="str">
        <f t="shared" si="98"/>
        <v/>
      </c>
      <c r="M132" s="4" t="str">
        <f t="shared" si="99"/>
        <v/>
      </c>
      <c r="N132" s="4" t="str">
        <f t="shared" si="100"/>
        <v/>
      </c>
      <c r="O132" s="4" t="str">
        <f t="shared" si="101"/>
        <v/>
      </c>
      <c r="P132" s="247"/>
      <c r="Q132" s="117"/>
      <c r="R132" s="4" t="str">
        <f t="shared" si="102"/>
        <v/>
      </c>
      <c r="S132" s="4" t="str">
        <f t="shared" si="103"/>
        <v/>
      </c>
      <c r="T132" s="4" t="str">
        <f t="shared" si="104"/>
        <v/>
      </c>
      <c r="U132" s="4" t="str">
        <f t="shared" si="105"/>
        <v/>
      </c>
      <c r="V132" s="247"/>
      <c r="W132" s="67" t="str">
        <f t="shared" si="106"/>
        <v/>
      </c>
      <c r="X132" s="118"/>
      <c r="Z132" s="67" t="str">
        <f t="shared" si="107"/>
        <v/>
      </c>
      <c r="AA132" s="13">
        <f t="shared" si="108"/>
        <v>0</v>
      </c>
      <c r="AB132" s="17">
        <f t="shared" si="92"/>
        <v>0</v>
      </c>
      <c r="AC132" s="163" t="str">
        <f t="shared" si="109"/>
        <v/>
      </c>
      <c r="AD132" s="119"/>
      <c r="AE132" s="120"/>
      <c r="AF132" s="121"/>
      <c r="AG132" s="122"/>
      <c r="AH132" s="83"/>
      <c r="AI132" s="115"/>
      <c r="AJ132" s="116"/>
      <c r="AK132" s="83"/>
      <c r="AL132" s="85"/>
      <c r="AM132" s="254"/>
      <c r="AN132" s="254"/>
      <c r="AO132" s="255"/>
    </row>
    <row r="133" spans="1:41" x14ac:dyDescent="0.25">
      <c r="B133" s="321"/>
      <c r="C133" s="17"/>
      <c r="D133" s="273"/>
      <c r="E133" s="117"/>
      <c r="F133" s="4" t="str">
        <f t="shared" si="94"/>
        <v/>
      </c>
      <c r="G133" s="4" t="str">
        <f t="shared" si="95"/>
        <v/>
      </c>
      <c r="H133" s="4" t="str">
        <f t="shared" si="96"/>
        <v/>
      </c>
      <c r="I133" s="4" t="str">
        <f t="shared" si="97"/>
        <v/>
      </c>
      <c r="J133" s="247"/>
      <c r="K133" s="117"/>
      <c r="L133" s="4" t="str">
        <f t="shared" si="98"/>
        <v/>
      </c>
      <c r="M133" s="4" t="str">
        <f t="shared" si="99"/>
        <v/>
      </c>
      <c r="N133" s="4" t="str">
        <f t="shared" si="100"/>
        <v/>
      </c>
      <c r="O133" s="4" t="str">
        <f t="shared" si="101"/>
        <v/>
      </c>
      <c r="P133" s="247"/>
      <c r="Q133" s="117"/>
      <c r="R133" s="4" t="str">
        <f t="shared" si="102"/>
        <v/>
      </c>
      <c r="S133" s="4" t="str">
        <f t="shared" si="103"/>
        <v/>
      </c>
      <c r="T133" s="4" t="str">
        <f t="shared" si="104"/>
        <v/>
      </c>
      <c r="U133" s="4" t="str">
        <f t="shared" si="105"/>
        <v/>
      </c>
      <c r="V133" s="247"/>
      <c r="W133" s="67" t="str">
        <f t="shared" si="106"/>
        <v/>
      </c>
      <c r="X133" s="118"/>
      <c r="Z133" s="67" t="str">
        <f t="shared" si="107"/>
        <v/>
      </c>
      <c r="AA133" s="13">
        <f t="shared" si="108"/>
        <v>0</v>
      </c>
      <c r="AB133" s="17">
        <f t="shared" si="92"/>
        <v>0</v>
      </c>
      <c r="AC133" s="163" t="str">
        <f t="shared" si="109"/>
        <v/>
      </c>
      <c r="AD133" s="119"/>
      <c r="AE133" s="120"/>
      <c r="AF133" s="121"/>
      <c r="AG133" s="122"/>
      <c r="AH133" s="83"/>
      <c r="AI133" s="115"/>
      <c r="AJ133" s="116"/>
      <c r="AK133" s="83"/>
      <c r="AL133" s="85"/>
      <c r="AM133" s="254"/>
      <c r="AN133" s="254"/>
      <c r="AO133" s="255"/>
    </row>
    <row r="134" spans="1:41" x14ac:dyDescent="0.25">
      <c r="B134" s="321"/>
      <c r="C134" s="17"/>
      <c r="D134" s="273"/>
      <c r="E134" s="117"/>
      <c r="F134" s="4" t="str">
        <f t="shared" si="94"/>
        <v/>
      </c>
      <c r="G134" s="4" t="str">
        <f t="shared" si="95"/>
        <v/>
      </c>
      <c r="H134" s="4" t="str">
        <f t="shared" si="96"/>
        <v/>
      </c>
      <c r="I134" s="4" t="str">
        <f t="shared" si="97"/>
        <v/>
      </c>
      <c r="J134" s="247"/>
      <c r="K134" s="117"/>
      <c r="L134" s="4" t="str">
        <f t="shared" si="98"/>
        <v/>
      </c>
      <c r="M134" s="4" t="str">
        <f t="shared" si="99"/>
        <v/>
      </c>
      <c r="N134" s="4" t="str">
        <f t="shared" si="100"/>
        <v/>
      </c>
      <c r="O134" s="4" t="str">
        <f t="shared" si="101"/>
        <v/>
      </c>
      <c r="P134" s="247"/>
      <c r="Q134" s="117"/>
      <c r="R134" s="4" t="str">
        <f t="shared" si="102"/>
        <v/>
      </c>
      <c r="S134" s="4" t="str">
        <f t="shared" si="103"/>
        <v/>
      </c>
      <c r="T134" s="4" t="str">
        <f t="shared" si="104"/>
        <v/>
      </c>
      <c r="U134" s="4" t="str">
        <f t="shared" si="105"/>
        <v/>
      </c>
      <c r="V134" s="247"/>
      <c r="W134" s="67" t="str">
        <f t="shared" si="106"/>
        <v/>
      </c>
      <c r="X134" s="118"/>
      <c r="Z134" s="67" t="str">
        <f t="shared" si="107"/>
        <v/>
      </c>
      <c r="AA134" s="13">
        <f t="shared" si="108"/>
        <v>0</v>
      </c>
      <c r="AB134" s="17">
        <f t="shared" si="92"/>
        <v>0</v>
      </c>
      <c r="AC134" s="163" t="str">
        <f t="shared" si="109"/>
        <v/>
      </c>
      <c r="AD134" s="119"/>
      <c r="AE134" s="120"/>
      <c r="AF134" s="121"/>
      <c r="AG134" s="122"/>
      <c r="AH134" s="83"/>
      <c r="AI134" s="115"/>
      <c r="AJ134" s="116"/>
      <c r="AK134" s="83"/>
      <c r="AL134" s="85"/>
      <c r="AM134" s="254"/>
      <c r="AN134" s="254"/>
      <c r="AO134" s="255"/>
    </row>
    <row r="135" spans="1:41" x14ac:dyDescent="0.25">
      <c r="B135" s="321"/>
      <c r="C135" s="17"/>
      <c r="D135" s="273"/>
      <c r="E135" s="117"/>
      <c r="F135" s="4" t="str">
        <f t="shared" si="94"/>
        <v/>
      </c>
      <c r="G135" s="4" t="str">
        <f t="shared" si="95"/>
        <v/>
      </c>
      <c r="H135" s="4" t="str">
        <f t="shared" si="96"/>
        <v/>
      </c>
      <c r="I135" s="4" t="str">
        <f t="shared" si="97"/>
        <v/>
      </c>
      <c r="J135" s="247"/>
      <c r="K135" s="117"/>
      <c r="L135" s="4" t="str">
        <f t="shared" si="98"/>
        <v/>
      </c>
      <c r="M135" s="4" t="str">
        <f t="shared" si="99"/>
        <v/>
      </c>
      <c r="N135" s="4" t="str">
        <f t="shared" si="100"/>
        <v/>
      </c>
      <c r="O135" s="4" t="str">
        <f t="shared" si="101"/>
        <v/>
      </c>
      <c r="P135" s="247"/>
      <c r="Q135" s="117"/>
      <c r="R135" s="4" t="str">
        <f t="shared" si="102"/>
        <v/>
      </c>
      <c r="S135" s="4" t="str">
        <f t="shared" si="103"/>
        <v/>
      </c>
      <c r="T135" s="4" t="str">
        <f t="shared" si="104"/>
        <v/>
      </c>
      <c r="U135" s="4" t="str">
        <f t="shared" si="105"/>
        <v/>
      </c>
      <c r="V135" s="247"/>
      <c r="W135" s="67" t="str">
        <f t="shared" si="106"/>
        <v/>
      </c>
      <c r="X135" s="118"/>
      <c r="Z135" s="67" t="str">
        <f t="shared" si="107"/>
        <v/>
      </c>
      <c r="AA135" s="13">
        <f t="shared" si="108"/>
        <v>0</v>
      </c>
      <c r="AB135" s="17">
        <f t="shared" si="92"/>
        <v>0</v>
      </c>
      <c r="AC135" s="163" t="str">
        <f t="shared" si="109"/>
        <v/>
      </c>
      <c r="AD135" s="119"/>
      <c r="AE135" s="120"/>
      <c r="AF135" s="121"/>
      <c r="AG135" s="122"/>
      <c r="AH135" s="83"/>
      <c r="AI135" s="115"/>
      <c r="AJ135" s="116"/>
      <c r="AK135" s="83"/>
      <c r="AL135" s="85"/>
      <c r="AM135" s="254"/>
      <c r="AN135" s="254"/>
      <c r="AO135" s="255"/>
    </row>
    <row r="136" spans="1:41" x14ac:dyDescent="0.25">
      <c r="B136" s="321"/>
      <c r="C136" s="17"/>
      <c r="D136" s="273"/>
      <c r="E136" s="117"/>
      <c r="F136" s="4" t="str">
        <f t="shared" si="94"/>
        <v/>
      </c>
      <c r="G136" s="4" t="str">
        <f t="shared" si="95"/>
        <v/>
      </c>
      <c r="H136" s="4" t="str">
        <f t="shared" si="96"/>
        <v/>
      </c>
      <c r="I136" s="4" t="str">
        <f t="shared" si="97"/>
        <v/>
      </c>
      <c r="J136" s="247"/>
      <c r="K136" s="117"/>
      <c r="L136" s="4" t="str">
        <f t="shared" si="98"/>
        <v/>
      </c>
      <c r="M136" s="4" t="str">
        <f t="shared" si="99"/>
        <v/>
      </c>
      <c r="N136" s="4" t="str">
        <f t="shared" si="100"/>
        <v/>
      </c>
      <c r="O136" s="4" t="str">
        <f t="shared" si="101"/>
        <v/>
      </c>
      <c r="P136" s="247"/>
      <c r="Q136" s="117"/>
      <c r="R136" s="4" t="str">
        <f t="shared" si="102"/>
        <v/>
      </c>
      <c r="S136" s="4" t="str">
        <f t="shared" si="103"/>
        <v/>
      </c>
      <c r="T136" s="4" t="str">
        <f t="shared" si="104"/>
        <v/>
      </c>
      <c r="U136" s="4" t="str">
        <f t="shared" si="105"/>
        <v/>
      </c>
      <c r="V136" s="247"/>
      <c r="W136" s="67" t="str">
        <f t="shared" ref="W136:W137" si="110">IF(SUM(I136,O136,U136)&gt;0,(SUM(I136,O136,U136)),"")</f>
        <v/>
      </c>
      <c r="X136" s="118"/>
      <c r="Z136" s="67" t="str">
        <f t="shared" ref="Z136:Z137" si="111">IF(SUM(W136,Y136)&gt;0,(SUM(W136,Y136)),"")</f>
        <v/>
      </c>
      <c r="AA136" s="13">
        <f t="shared" ref="AA136:AA137" si="112">B136</f>
        <v>0</v>
      </c>
      <c r="AB136" s="17">
        <f t="shared" ref="AB136:AB137" si="113">C136</f>
        <v>0</v>
      </c>
      <c r="AC136" s="163" t="str">
        <f t="shared" ref="AC136:AC137" si="114">F136</f>
        <v/>
      </c>
      <c r="AD136" s="119"/>
      <c r="AE136" s="120"/>
      <c r="AF136" s="121"/>
      <c r="AG136" s="122"/>
      <c r="AH136" s="83"/>
      <c r="AI136" s="115"/>
      <c r="AJ136" s="116"/>
      <c r="AK136" s="83"/>
      <c r="AL136" s="85"/>
      <c r="AM136" s="254"/>
      <c r="AN136" s="254"/>
      <c r="AO136" s="255"/>
    </row>
    <row r="137" spans="1:41" s="85" customFormat="1" x14ac:dyDescent="0.25">
      <c r="A137"/>
      <c r="B137" s="321"/>
      <c r="C137" s="17"/>
      <c r="D137" s="273"/>
      <c r="E137" s="117"/>
      <c r="F137" s="4" t="str">
        <f t="shared" si="94"/>
        <v/>
      </c>
      <c r="G137" s="4" t="str">
        <f t="shared" si="95"/>
        <v/>
      </c>
      <c r="H137" s="4" t="str">
        <f t="shared" si="96"/>
        <v/>
      </c>
      <c r="I137" s="4" t="str">
        <f t="shared" si="97"/>
        <v/>
      </c>
      <c r="J137" s="247"/>
      <c r="K137" s="117"/>
      <c r="L137" s="4" t="str">
        <f t="shared" si="98"/>
        <v/>
      </c>
      <c r="M137" s="4" t="str">
        <f t="shared" si="99"/>
        <v/>
      </c>
      <c r="N137" s="4" t="str">
        <f t="shared" si="100"/>
        <v/>
      </c>
      <c r="O137" s="4" t="str">
        <f t="shared" si="101"/>
        <v/>
      </c>
      <c r="P137" s="247"/>
      <c r="Q137" s="117"/>
      <c r="R137" s="4" t="str">
        <f t="shared" si="102"/>
        <v/>
      </c>
      <c r="S137" s="4" t="str">
        <f t="shared" si="103"/>
        <v/>
      </c>
      <c r="T137" s="4" t="str">
        <f t="shared" si="104"/>
        <v/>
      </c>
      <c r="U137" s="4" t="str">
        <f t="shared" si="105"/>
        <v/>
      </c>
      <c r="V137" s="247"/>
      <c r="W137" s="67" t="str">
        <f t="shared" si="110"/>
        <v/>
      </c>
      <c r="X137" s="118"/>
      <c r="Y137"/>
      <c r="Z137" s="67" t="str">
        <f t="shared" si="111"/>
        <v/>
      </c>
      <c r="AA137" s="13">
        <f t="shared" si="112"/>
        <v>0</v>
      </c>
      <c r="AB137" s="17">
        <f t="shared" si="113"/>
        <v>0</v>
      </c>
      <c r="AC137" s="163" t="str">
        <f t="shared" si="114"/>
        <v/>
      </c>
      <c r="AD137" s="119"/>
      <c r="AE137" s="120"/>
      <c r="AF137" s="121"/>
      <c r="AG137" s="122"/>
      <c r="AH137" s="83"/>
      <c r="AI137" s="115"/>
      <c r="AJ137" s="116"/>
      <c r="AK137" s="83" t="str">
        <f t="shared" ref="AK137" si="115">IF(AJ137&lt;&gt;0,((AI137+AJ137)-(AF137+AG137)),"")</f>
        <v/>
      </c>
    </row>
    <row r="138" spans="1:41" x14ac:dyDescent="0.25">
      <c r="B138" s="321"/>
      <c r="C138" s="17"/>
      <c r="D138" s="273"/>
      <c r="E138" s="117"/>
      <c r="F138" s="4" t="str">
        <f t="shared" si="94"/>
        <v/>
      </c>
      <c r="G138" s="4" t="str">
        <f t="shared" si="95"/>
        <v/>
      </c>
      <c r="H138" s="4" t="str">
        <f t="shared" si="96"/>
        <v/>
      </c>
      <c r="I138" s="4" t="str">
        <f t="shared" si="97"/>
        <v/>
      </c>
      <c r="J138" s="247"/>
      <c r="K138" s="117"/>
      <c r="L138" s="4" t="str">
        <f t="shared" si="98"/>
        <v/>
      </c>
      <c r="M138" s="4" t="str">
        <f t="shared" si="99"/>
        <v/>
      </c>
      <c r="N138" s="4" t="str">
        <f t="shared" si="100"/>
        <v/>
      </c>
      <c r="O138" s="4" t="str">
        <f t="shared" si="101"/>
        <v/>
      </c>
      <c r="P138" s="247"/>
      <c r="Q138" s="117"/>
      <c r="R138" s="4" t="str">
        <f t="shared" si="102"/>
        <v/>
      </c>
      <c r="S138" s="4" t="str">
        <f t="shared" si="103"/>
        <v/>
      </c>
      <c r="T138" s="4" t="str">
        <f t="shared" si="104"/>
        <v/>
      </c>
      <c r="U138" s="4" t="str">
        <f t="shared" si="105"/>
        <v/>
      </c>
      <c r="V138" s="247"/>
      <c r="W138" s="67" t="str">
        <f t="shared" si="106"/>
        <v/>
      </c>
      <c r="X138" s="118"/>
      <c r="Z138" s="67" t="str">
        <f t="shared" si="107"/>
        <v/>
      </c>
      <c r="AA138" s="13">
        <f t="shared" si="108"/>
        <v>0</v>
      </c>
      <c r="AB138" s="17">
        <f t="shared" si="92"/>
        <v>0</v>
      </c>
      <c r="AC138" s="163" t="str">
        <f t="shared" si="109"/>
        <v/>
      </c>
      <c r="AD138" s="119"/>
      <c r="AE138" s="120"/>
      <c r="AF138" s="121"/>
      <c r="AG138" s="122"/>
      <c r="AH138" s="83"/>
      <c r="AI138" s="115"/>
      <c r="AJ138" s="116"/>
      <c r="AK138" s="83"/>
      <c r="AL138" s="85"/>
      <c r="AM138" s="254"/>
      <c r="AN138" s="254"/>
      <c r="AO138" s="255"/>
    </row>
    <row r="139" spans="1:41" x14ac:dyDescent="0.25">
      <c r="B139" s="321"/>
      <c r="C139" s="17"/>
      <c r="D139" s="273"/>
      <c r="E139" s="117"/>
      <c r="F139" s="4" t="str">
        <f t="shared" si="94"/>
        <v/>
      </c>
      <c r="G139" s="4" t="str">
        <f t="shared" si="95"/>
        <v/>
      </c>
      <c r="H139" s="4" t="str">
        <f t="shared" si="96"/>
        <v/>
      </c>
      <c r="I139" s="4" t="str">
        <f t="shared" si="97"/>
        <v/>
      </c>
      <c r="J139" s="247"/>
      <c r="K139" s="117"/>
      <c r="L139" s="4" t="str">
        <f t="shared" si="98"/>
        <v/>
      </c>
      <c r="M139" s="4" t="str">
        <f t="shared" si="99"/>
        <v/>
      </c>
      <c r="N139" s="4" t="str">
        <f t="shared" si="100"/>
        <v/>
      </c>
      <c r="O139" s="4" t="str">
        <f t="shared" si="101"/>
        <v/>
      </c>
      <c r="P139" s="247"/>
      <c r="Q139" s="117"/>
      <c r="R139" s="4" t="str">
        <f t="shared" si="102"/>
        <v/>
      </c>
      <c r="S139" s="4" t="str">
        <f t="shared" si="103"/>
        <v/>
      </c>
      <c r="T139" s="4" t="str">
        <f t="shared" si="104"/>
        <v/>
      </c>
      <c r="U139" s="4" t="str">
        <f t="shared" si="105"/>
        <v/>
      </c>
      <c r="V139" s="247"/>
      <c r="W139" s="67" t="str">
        <f t="shared" si="106"/>
        <v/>
      </c>
      <c r="X139" s="118"/>
      <c r="Z139" s="67" t="str">
        <f t="shared" si="107"/>
        <v/>
      </c>
      <c r="AA139" s="13">
        <f t="shared" si="108"/>
        <v>0</v>
      </c>
      <c r="AB139" s="17">
        <f t="shared" si="92"/>
        <v>0</v>
      </c>
      <c r="AC139" s="163" t="str">
        <f t="shared" si="109"/>
        <v/>
      </c>
      <c r="AD139" s="119"/>
      <c r="AE139" s="120"/>
      <c r="AF139" s="121"/>
      <c r="AG139" s="122"/>
      <c r="AH139" s="83"/>
      <c r="AI139" s="115"/>
      <c r="AJ139" s="116"/>
      <c r="AK139" s="83"/>
      <c r="AL139" s="85"/>
      <c r="AM139" s="254"/>
      <c r="AN139" s="254"/>
      <c r="AO139" s="255"/>
    </row>
    <row r="140" spans="1:41" x14ac:dyDescent="0.25">
      <c r="B140" s="321"/>
      <c r="C140" s="17"/>
      <c r="D140" s="273"/>
      <c r="E140" s="117"/>
      <c r="F140" s="4" t="str">
        <f t="shared" si="94"/>
        <v/>
      </c>
      <c r="G140" s="4" t="str">
        <f t="shared" si="95"/>
        <v/>
      </c>
      <c r="H140" s="4" t="str">
        <f t="shared" si="96"/>
        <v/>
      </c>
      <c r="I140" s="4" t="str">
        <f t="shared" si="97"/>
        <v/>
      </c>
      <c r="J140" s="247"/>
      <c r="K140" s="117"/>
      <c r="L140" s="4" t="str">
        <f t="shared" si="98"/>
        <v/>
      </c>
      <c r="M140" s="4" t="str">
        <f t="shared" si="99"/>
        <v/>
      </c>
      <c r="N140" s="4" t="str">
        <f t="shared" si="100"/>
        <v/>
      </c>
      <c r="O140" s="4" t="str">
        <f t="shared" si="101"/>
        <v/>
      </c>
      <c r="P140" s="247"/>
      <c r="Q140" s="117"/>
      <c r="R140" s="4" t="str">
        <f t="shared" si="102"/>
        <v/>
      </c>
      <c r="S140" s="4" t="str">
        <f t="shared" si="103"/>
        <v/>
      </c>
      <c r="T140" s="4" t="str">
        <f t="shared" si="104"/>
        <v/>
      </c>
      <c r="U140" s="4" t="str">
        <f t="shared" si="105"/>
        <v/>
      </c>
      <c r="V140" s="247"/>
      <c r="W140" s="67" t="str">
        <f t="shared" si="106"/>
        <v/>
      </c>
      <c r="X140" s="118"/>
      <c r="Z140" s="67" t="str">
        <f t="shared" si="107"/>
        <v/>
      </c>
      <c r="AA140" s="13">
        <f t="shared" si="108"/>
        <v>0</v>
      </c>
      <c r="AB140" s="17">
        <f t="shared" si="92"/>
        <v>0</v>
      </c>
      <c r="AC140" s="163" t="str">
        <f t="shared" si="109"/>
        <v/>
      </c>
      <c r="AD140" s="119"/>
      <c r="AE140" s="120"/>
      <c r="AF140" s="121"/>
      <c r="AG140" s="122"/>
      <c r="AH140" s="83"/>
      <c r="AI140" s="115"/>
      <c r="AJ140" s="116"/>
      <c r="AK140" s="83"/>
      <c r="AL140" s="85"/>
      <c r="AM140" s="254"/>
      <c r="AN140" s="254"/>
      <c r="AO140" s="255"/>
    </row>
    <row r="141" spans="1:41" x14ac:dyDescent="0.25">
      <c r="B141" s="321"/>
      <c r="C141" s="17"/>
      <c r="D141" s="273"/>
      <c r="E141" s="117"/>
      <c r="F141" s="4" t="str">
        <f t="shared" si="94"/>
        <v/>
      </c>
      <c r="G141" s="4" t="str">
        <f t="shared" si="95"/>
        <v/>
      </c>
      <c r="H141" s="4" t="str">
        <f t="shared" si="96"/>
        <v/>
      </c>
      <c r="I141" s="4" t="str">
        <f t="shared" si="97"/>
        <v/>
      </c>
      <c r="J141" s="247"/>
      <c r="K141" s="117"/>
      <c r="L141" s="4" t="str">
        <f t="shared" si="98"/>
        <v/>
      </c>
      <c r="M141" s="4" t="str">
        <f t="shared" si="99"/>
        <v/>
      </c>
      <c r="N141" s="4" t="str">
        <f t="shared" si="100"/>
        <v/>
      </c>
      <c r="O141" s="4" t="str">
        <f t="shared" si="101"/>
        <v/>
      </c>
      <c r="P141" s="247"/>
      <c r="Q141" s="117"/>
      <c r="R141" s="4" t="str">
        <f t="shared" si="102"/>
        <v/>
      </c>
      <c r="S141" s="4" t="str">
        <f t="shared" si="103"/>
        <v/>
      </c>
      <c r="T141" s="4" t="str">
        <f t="shared" si="104"/>
        <v/>
      </c>
      <c r="U141" s="4" t="str">
        <f t="shared" si="105"/>
        <v/>
      </c>
      <c r="V141" s="247"/>
      <c r="W141" s="67" t="str">
        <f t="shared" si="106"/>
        <v/>
      </c>
      <c r="X141" s="118"/>
      <c r="Z141" s="67" t="str">
        <f t="shared" si="107"/>
        <v/>
      </c>
      <c r="AA141" s="13">
        <f t="shared" si="108"/>
        <v>0</v>
      </c>
      <c r="AB141" s="17">
        <f t="shared" si="92"/>
        <v>0</v>
      </c>
      <c r="AC141" s="163" t="str">
        <f t="shared" si="109"/>
        <v/>
      </c>
      <c r="AD141" s="119"/>
      <c r="AE141" s="120"/>
      <c r="AF141" s="121"/>
      <c r="AG141" s="122"/>
      <c r="AH141" s="83"/>
      <c r="AI141" s="115"/>
      <c r="AJ141" s="116"/>
      <c r="AK141" s="83"/>
      <c r="AL141" s="85"/>
      <c r="AM141" s="254"/>
      <c r="AN141" s="254"/>
      <c r="AO141" s="255"/>
    </row>
    <row r="142" spans="1:41" x14ac:dyDescent="0.25">
      <c r="B142" s="321"/>
      <c r="C142" s="17"/>
      <c r="D142" s="273"/>
      <c r="E142" s="117"/>
      <c r="F142" s="4" t="str">
        <f t="shared" si="94"/>
        <v/>
      </c>
      <c r="G142" s="4" t="str">
        <f t="shared" si="95"/>
        <v/>
      </c>
      <c r="H142" s="4" t="str">
        <f t="shared" si="96"/>
        <v/>
      </c>
      <c r="I142" s="4" t="str">
        <f t="shared" si="97"/>
        <v/>
      </c>
      <c r="J142" s="247"/>
      <c r="K142" s="117"/>
      <c r="L142" s="4" t="str">
        <f t="shared" si="98"/>
        <v/>
      </c>
      <c r="M142" s="4" t="str">
        <f t="shared" si="99"/>
        <v/>
      </c>
      <c r="N142" s="4" t="str">
        <f t="shared" si="100"/>
        <v/>
      </c>
      <c r="O142" s="4" t="str">
        <f t="shared" si="101"/>
        <v/>
      </c>
      <c r="P142" s="247"/>
      <c r="Q142" s="117"/>
      <c r="R142" s="4" t="str">
        <f t="shared" si="102"/>
        <v/>
      </c>
      <c r="S142" s="4" t="str">
        <f t="shared" si="103"/>
        <v/>
      </c>
      <c r="T142" s="4" t="str">
        <f t="shared" si="104"/>
        <v/>
      </c>
      <c r="U142" s="4" t="str">
        <f t="shared" si="105"/>
        <v/>
      </c>
      <c r="V142" s="247"/>
      <c r="W142" s="67" t="str">
        <f t="shared" si="106"/>
        <v/>
      </c>
      <c r="X142" s="118"/>
      <c r="Z142" s="67" t="str">
        <f t="shared" si="107"/>
        <v/>
      </c>
      <c r="AA142" s="13">
        <f t="shared" si="108"/>
        <v>0</v>
      </c>
      <c r="AB142" s="17">
        <f t="shared" si="92"/>
        <v>0</v>
      </c>
      <c r="AC142" s="163" t="str">
        <f t="shared" si="109"/>
        <v/>
      </c>
      <c r="AD142" s="119"/>
      <c r="AE142" s="120"/>
      <c r="AF142" s="121"/>
      <c r="AG142" s="122"/>
      <c r="AH142" s="83"/>
      <c r="AI142" s="115"/>
      <c r="AJ142" s="116"/>
      <c r="AK142" s="83"/>
      <c r="AL142" s="85"/>
      <c r="AM142" s="254"/>
      <c r="AN142" s="254"/>
      <c r="AO142" s="255"/>
    </row>
    <row r="143" spans="1:41" x14ac:dyDescent="0.25">
      <c r="B143" s="321"/>
      <c r="C143" s="17"/>
      <c r="D143" s="273"/>
      <c r="E143" s="117"/>
      <c r="F143" s="4" t="str">
        <f t="shared" si="94"/>
        <v/>
      </c>
      <c r="G143" s="4" t="str">
        <f t="shared" si="95"/>
        <v/>
      </c>
      <c r="H143" s="4" t="str">
        <f t="shared" si="96"/>
        <v/>
      </c>
      <c r="I143" s="4" t="str">
        <f t="shared" si="97"/>
        <v/>
      </c>
      <c r="J143" s="247"/>
      <c r="K143" s="117"/>
      <c r="L143" s="4" t="str">
        <f t="shared" si="98"/>
        <v/>
      </c>
      <c r="M143" s="4" t="str">
        <f t="shared" si="99"/>
        <v/>
      </c>
      <c r="N143" s="4" t="str">
        <f t="shared" si="100"/>
        <v/>
      </c>
      <c r="O143" s="4" t="str">
        <f t="shared" si="101"/>
        <v/>
      </c>
      <c r="P143" s="247"/>
      <c r="Q143" s="117"/>
      <c r="R143" s="4" t="str">
        <f t="shared" si="102"/>
        <v/>
      </c>
      <c r="S143" s="4" t="str">
        <f t="shared" si="103"/>
        <v/>
      </c>
      <c r="T143" s="4" t="str">
        <f t="shared" si="104"/>
        <v/>
      </c>
      <c r="U143" s="4" t="str">
        <f t="shared" si="105"/>
        <v/>
      </c>
      <c r="V143" s="247"/>
      <c r="W143" s="67" t="str">
        <f t="shared" si="106"/>
        <v/>
      </c>
      <c r="X143" s="118"/>
      <c r="Z143" s="67" t="str">
        <f t="shared" si="107"/>
        <v/>
      </c>
      <c r="AA143" s="13">
        <f t="shared" si="108"/>
        <v>0</v>
      </c>
      <c r="AB143" s="17">
        <f t="shared" si="92"/>
        <v>0</v>
      </c>
      <c r="AC143" s="163" t="str">
        <f t="shared" si="109"/>
        <v/>
      </c>
      <c r="AD143" s="119"/>
      <c r="AE143" s="120"/>
      <c r="AF143" s="121"/>
      <c r="AG143" s="122"/>
      <c r="AH143" s="83"/>
      <c r="AI143" s="115"/>
      <c r="AJ143" s="116"/>
      <c r="AK143" s="83"/>
      <c r="AL143" s="85"/>
      <c r="AM143" s="254"/>
      <c r="AN143" s="254"/>
      <c r="AO143" s="255"/>
    </row>
    <row r="144" spans="1:41" x14ac:dyDescent="0.25">
      <c r="B144" s="321"/>
      <c r="C144" s="17"/>
      <c r="D144" s="273"/>
      <c r="E144" s="117"/>
      <c r="F144" s="4" t="str">
        <f t="shared" si="94"/>
        <v/>
      </c>
      <c r="G144" s="4" t="str">
        <f t="shared" si="95"/>
        <v/>
      </c>
      <c r="H144" s="4" t="str">
        <f t="shared" si="96"/>
        <v/>
      </c>
      <c r="I144" s="4" t="str">
        <f t="shared" si="97"/>
        <v/>
      </c>
      <c r="J144" s="247"/>
      <c r="K144" s="117"/>
      <c r="L144" s="4" t="str">
        <f t="shared" si="98"/>
        <v/>
      </c>
      <c r="M144" s="4" t="str">
        <f t="shared" si="99"/>
        <v/>
      </c>
      <c r="N144" s="4" t="str">
        <f t="shared" si="100"/>
        <v/>
      </c>
      <c r="O144" s="4" t="str">
        <f t="shared" si="101"/>
        <v/>
      </c>
      <c r="P144" s="247"/>
      <c r="Q144" s="117"/>
      <c r="R144" s="4" t="str">
        <f t="shared" si="102"/>
        <v/>
      </c>
      <c r="S144" s="4" t="str">
        <f t="shared" si="103"/>
        <v/>
      </c>
      <c r="T144" s="4" t="str">
        <f t="shared" si="104"/>
        <v/>
      </c>
      <c r="U144" s="4" t="str">
        <f t="shared" si="105"/>
        <v/>
      </c>
      <c r="V144" s="247"/>
      <c r="W144" s="67" t="str">
        <f t="shared" si="106"/>
        <v/>
      </c>
      <c r="X144" s="118"/>
      <c r="Z144" s="67" t="str">
        <f t="shared" si="107"/>
        <v/>
      </c>
      <c r="AA144" s="13">
        <f t="shared" si="108"/>
        <v>0</v>
      </c>
      <c r="AB144" s="17">
        <f t="shared" si="92"/>
        <v>0</v>
      </c>
      <c r="AC144" s="163" t="str">
        <f t="shared" si="109"/>
        <v/>
      </c>
      <c r="AD144" s="119"/>
      <c r="AE144" s="120"/>
      <c r="AF144" s="121"/>
      <c r="AG144" s="122"/>
      <c r="AH144" s="83"/>
      <c r="AI144" s="115"/>
      <c r="AJ144" s="116"/>
      <c r="AK144" s="83"/>
      <c r="AL144" s="85"/>
      <c r="AM144" s="254"/>
      <c r="AN144" s="254"/>
      <c r="AO144" s="255"/>
    </row>
    <row r="145" spans="2:41" x14ac:dyDescent="0.25">
      <c r="B145" s="321"/>
      <c r="C145" s="17"/>
      <c r="D145" s="273"/>
      <c r="E145" s="117"/>
      <c r="F145" s="4" t="str">
        <f t="shared" si="94"/>
        <v/>
      </c>
      <c r="G145" s="4" t="str">
        <f t="shared" si="95"/>
        <v/>
      </c>
      <c r="H145" s="4" t="str">
        <f t="shared" si="96"/>
        <v/>
      </c>
      <c r="I145" s="4" t="str">
        <f t="shared" si="97"/>
        <v/>
      </c>
      <c r="J145" s="247"/>
      <c r="K145" s="117"/>
      <c r="L145" s="4" t="str">
        <f t="shared" si="98"/>
        <v/>
      </c>
      <c r="M145" s="4" t="str">
        <f t="shared" si="99"/>
        <v/>
      </c>
      <c r="N145" s="4" t="str">
        <f t="shared" si="100"/>
        <v/>
      </c>
      <c r="O145" s="4" t="str">
        <f t="shared" si="101"/>
        <v/>
      </c>
      <c r="P145" s="247"/>
      <c r="Q145" s="117"/>
      <c r="R145" s="4" t="str">
        <f t="shared" si="102"/>
        <v/>
      </c>
      <c r="S145" s="4" t="str">
        <f t="shared" si="103"/>
        <v/>
      </c>
      <c r="T145" s="4" t="str">
        <f t="shared" si="104"/>
        <v/>
      </c>
      <c r="U145" s="4" t="str">
        <f t="shared" si="105"/>
        <v/>
      </c>
      <c r="V145" s="247"/>
      <c r="W145" s="67" t="str">
        <f t="shared" si="106"/>
        <v/>
      </c>
      <c r="X145" s="118"/>
      <c r="Z145" s="67" t="str">
        <f t="shared" si="107"/>
        <v/>
      </c>
      <c r="AA145" s="13">
        <f t="shared" si="108"/>
        <v>0</v>
      </c>
      <c r="AB145" s="17">
        <f t="shared" si="92"/>
        <v>0</v>
      </c>
      <c r="AC145" s="163" t="str">
        <f t="shared" si="109"/>
        <v/>
      </c>
      <c r="AD145" s="119"/>
      <c r="AE145" s="120"/>
      <c r="AF145" s="121"/>
      <c r="AG145" s="122"/>
      <c r="AH145" s="83"/>
      <c r="AI145" s="115"/>
      <c r="AJ145" s="116"/>
      <c r="AK145" s="83"/>
      <c r="AL145" s="85"/>
      <c r="AM145" s="254"/>
      <c r="AN145" s="254"/>
      <c r="AO145" s="255"/>
    </row>
    <row r="146" spans="2:41" x14ac:dyDescent="0.25">
      <c r="B146" s="321"/>
      <c r="C146" s="17"/>
      <c r="D146" s="273"/>
      <c r="E146" s="117"/>
      <c r="F146" s="4" t="str">
        <f t="shared" si="94"/>
        <v/>
      </c>
      <c r="G146" s="4" t="str">
        <f t="shared" si="95"/>
        <v/>
      </c>
      <c r="H146" s="4" t="str">
        <f t="shared" si="96"/>
        <v/>
      </c>
      <c r="I146" s="4" t="str">
        <f t="shared" si="97"/>
        <v/>
      </c>
      <c r="J146" s="247"/>
      <c r="K146" s="117"/>
      <c r="L146" s="4" t="str">
        <f t="shared" si="98"/>
        <v/>
      </c>
      <c r="M146" s="4" t="str">
        <f t="shared" si="99"/>
        <v/>
      </c>
      <c r="N146" s="4" t="str">
        <f t="shared" si="100"/>
        <v/>
      </c>
      <c r="O146" s="4" t="str">
        <f t="shared" si="101"/>
        <v/>
      </c>
      <c r="P146" s="247"/>
      <c r="Q146" s="117"/>
      <c r="R146" s="4" t="str">
        <f t="shared" si="102"/>
        <v/>
      </c>
      <c r="S146" s="4" t="str">
        <f t="shared" si="103"/>
        <v/>
      </c>
      <c r="T146" s="4" t="str">
        <f t="shared" si="104"/>
        <v/>
      </c>
      <c r="U146" s="4" t="str">
        <f t="shared" si="105"/>
        <v/>
      </c>
      <c r="V146" s="247"/>
      <c r="W146" s="67" t="str">
        <f t="shared" si="106"/>
        <v/>
      </c>
      <c r="X146" s="118"/>
      <c r="Z146" s="67" t="str">
        <f t="shared" si="107"/>
        <v/>
      </c>
      <c r="AA146" s="13">
        <f t="shared" si="108"/>
        <v>0</v>
      </c>
      <c r="AB146" s="17">
        <f t="shared" si="92"/>
        <v>0</v>
      </c>
      <c r="AC146" s="163" t="str">
        <f t="shared" si="109"/>
        <v/>
      </c>
      <c r="AD146" s="119"/>
      <c r="AE146" s="120"/>
      <c r="AF146" s="121"/>
      <c r="AG146" s="122"/>
      <c r="AH146" s="83"/>
      <c r="AI146" s="115"/>
      <c r="AJ146" s="116"/>
      <c r="AK146" s="83"/>
      <c r="AL146" s="85"/>
      <c r="AM146" s="254"/>
      <c r="AN146" s="254"/>
      <c r="AO146" s="255"/>
    </row>
    <row r="147" spans="2:41" x14ac:dyDescent="0.25">
      <c r="B147" s="321"/>
      <c r="C147" s="17"/>
      <c r="D147" s="273"/>
      <c r="E147" s="117"/>
      <c r="F147" s="4" t="str">
        <f t="shared" si="94"/>
        <v/>
      </c>
      <c r="G147" s="4" t="str">
        <f t="shared" si="95"/>
        <v/>
      </c>
      <c r="H147" s="4" t="str">
        <f t="shared" si="96"/>
        <v/>
      </c>
      <c r="I147" s="4" t="str">
        <f t="shared" si="97"/>
        <v/>
      </c>
      <c r="J147" s="247"/>
      <c r="K147" s="117"/>
      <c r="L147" s="4" t="str">
        <f t="shared" si="98"/>
        <v/>
      </c>
      <c r="M147" s="4" t="str">
        <f t="shared" si="99"/>
        <v/>
      </c>
      <c r="N147" s="4" t="str">
        <f t="shared" si="100"/>
        <v/>
      </c>
      <c r="O147" s="4" t="str">
        <f t="shared" si="101"/>
        <v/>
      </c>
      <c r="P147" s="247"/>
      <c r="Q147" s="117"/>
      <c r="R147" s="4" t="str">
        <f t="shared" si="102"/>
        <v/>
      </c>
      <c r="S147" s="4" t="str">
        <f t="shared" si="103"/>
        <v/>
      </c>
      <c r="T147" s="4" t="str">
        <f t="shared" si="104"/>
        <v/>
      </c>
      <c r="U147" s="4" t="str">
        <f t="shared" si="105"/>
        <v/>
      </c>
      <c r="V147" s="247"/>
      <c r="W147" s="67" t="str">
        <f t="shared" si="106"/>
        <v/>
      </c>
      <c r="X147" s="118"/>
      <c r="Z147" s="67" t="str">
        <f t="shared" si="107"/>
        <v/>
      </c>
      <c r="AA147" s="13">
        <f t="shared" si="108"/>
        <v>0</v>
      </c>
      <c r="AB147" s="17">
        <f t="shared" si="92"/>
        <v>0</v>
      </c>
      <c r="AC147" s="163" t="str">
        <f t="shared" si="109"/>
        <v/>
      </c>
      <c r="AD147" s="119"/>
      <c r="AE147" s="120"/>
      <c r="AF147" s="121"/>
      <c r="AG147" s="122"/>
      <c r="AH147" s="83"/>
      <c r="AI147" s="115"/>
      <c r="AJ147" s="116"/>
      <c r="AK147" s="83"/>
      <c r="AL147" s="85"/>
      <c r="AM147" s="254"/>
      <c r="AN147" s="254"/>
      <c r="AO147" s="255"/>
    </row>
    <row r="148" spans="2:41" x14ac:dyDescent="0.25">
      <c r="B148" s="321"/>
      <c r="C148" s="17"/>
      <c r="D148" s="273"/>
      <c r="E148" s="117"/>
      <c r="F148" s="4" t="str">
        <f t="shared" si="94"/>
        <v/>
      </c>
      <c r="G148" s="4" t="str">
        <f t="shared" si="95"/>
        <v/>
      </c>
      <c r="H148" s="4" t="str">
        <f t="shared" si="96"/>
        <v/>
      </c>
      <c r="I148" s="4" t="str">
        <f t="shared" si="97"/>
        <v/>
      </c>
      <c r="J148" s="247"/>
      <c r="K148" s="117"/>
      <c r="L148" s="4" t="str">
        <f t="shared" si="98"/>
        <v/>
      </c>
      <c r="M148" s="4" t="str">
        <f t="shared" si="99"/>
        <v/>
      </c>
      <c r="N148" s="4" t="str">
        <f t="shared" si="100"/>
        <v/>
      </c>
      <c r="O148" s="4" t="str">
        <f t="shared" si="101"/>
        <v/>
      </c>
      <c r="P148" s="247"/>
      <c r="Q148" s="117"/>
      <c r="R148" s="4" t="str">
        <f t="shared" si="102"/>
        <v/>
      </c>
      <c r="S148" s="4" t="str">
        <f t="shared" si="103"/>
        <v/>
      </c>
      <c r="T148" s="4" t="str">
        <f t="shared" si="104"/>
        <v/>
      </c>
      <c r="U148" s="4" t="str">
        <f t="shared" si="105"/>
        <v/>
      </c>
      <c r="V148" s="247"/>
      <c r="W148" s="67" t="str">
        <f t="shared" si="106"/>
        <v/>
      </c>
      <c r="X148" s="118"/>
      <c r="Z148" s="67" t="str">
        <f t="shared" si="107"/>
        <v/>
      </c>
      <c r="AA148" s="13">
        <f t="shared" si="108"/>
        <v>0</v>
      </c>
      <c r="AB148" s="17">
        <f t="shared" si="92"/>
        <v>0</v>
      </c>
      <c r="AC148" s="163" t="str">
        <f t="shared" si="109"/>
        <v/>
      </c>
      <c r="AD148" s="119"/>
      <c r="AE148" s="120"/>
      <c r="AF148" s="121"/>
      <c r="AG148" s="122"/>
      <c r="AH148" s="83"/>
      <c r="AI148" s="115"/>
      <c r="AJ148" s="116"/>
      <c r="AK148" s="83"/>
      <c r="AL148" s="85"/>
      <c r="AM148" s="254"/>
      <c r="AN148" s="254"/>
      <c r="AO148" s="255"/>
    </row>
    <row r="149" spans="2:41" x14ac:dyDescent="0.25">
      <c r="B149" s="321"/>
      <c r="C149" s="17"/>
      <c r="D149" s="273"/>
      <c r="E149" s="117"/>
      <c r="F149" s="4" t="str">
        <f t="shared" si="94"/>
        <v/>
      </c>
      <c r="G149" s="4" t="str">
        <f t="shared" si="95"/>
        <v/>
      </c>
      <c r="H149" s="4" t="str">
        <f t="shared" si="96"/>
        <v/>
      </c>
      <c r="I149" s="4" t="str">
        <f t="shared" si="97"/>
        <v/>
      </c>
      <c r="J149" s="247"/>
      <c r="K149" s="117"/>
      <c r="L149" s="4" t="str">
        <f t="shared" si="98"/>
        <v/>
      </c>
      <c r="M149" s="4" t="str">
        <f t="shared" si="99"/>
        <v/>
      </c>
      <c r="N149" s="4" t="str">
        <f t="shared" si="100"/>
        <v/>
      </c>
      <c r="O149" s="4" t="str">
        <f t="shared" si="101"/>
        <v/>
      </c>
      <c r="P149" s="247"/>
      <c r="Q149" s="117"/>
      <c r="R149" s="4" t="str">
        <f t="shared" si="102"/>
        <v/>
      </c>
      <c r="S149" s="4" t="str">
        <f t="shared" si="103"/>
        <v/>
      </c>
      <c r="T149" s="4" t="str">
        <f t="shared" si="104"/>
        <v/>
      </c>
      <c r="U149" s="4" t="str">
        <f t="shared" si="105"/>
        <v/>
      </c>
      <c r="V149" s="247"/>
      <c r="W149" s="67" t="str">
        <f t="shared" si="106"/>
        <v/>
      </c>
      <c r="X149" s="118"/>
      <c r="Z149" s="67" t="str">
        <f t="shared" si="107"/>
        <v/>
      </c>
      <c r="AA149" s="13">
        <f t="shared" si="108"/>
        <v>0</v>
      </c>
      <c r="AB149" s="17">
        <f t="shared" si="92"/>
        <v>0</v>
      </c>
      <c r="AC149" s="163" t="str">
        <f t="shared" si="109"/>
        <v/>
      </c>
      <c r="AD149" s="119"/>
      <c r="AE149" s="120"/>
      <c r="AF149" s="121"/>
      <c r="AG149" s="122"/>
      <c r="AH149" s="83"/>
      <c r="AI149" s="115"/>
      <c r="AJ149" s="116"/>
      <c r="AK149" s="83"/>
      <c r="AL149" s="85"/>
      <c r="AM149" s="254"/>
      <c r="AN149" s="254"/>
      <c r="AO149" s="255"/>
    </row>
    <row r="150" spans="2:41" x14ac:dyDescent="0.25">
      <c r="B150" s="321"/>
      <c r="C150" s="17"/>
      <c r="D150" s="273"/>
      <c r="E150" s="117"/>
      <c r="F150" s="4" t="str">
        <f t="shared" si="94"/>
        <v/>
      </c>
      <c r="G150" s="4" t="str">
        <f t="shared" si="95"/>
        <v/>
      </c>
      <c r="H150" s="4" t="str">
        <f t="shared" si="96"/>
        <v/>
      </c>
      <c r="I150" s="4" t="str">
        <f t="shared" si="97"/>
        <v/>
      </c>
      <c r="J150" s="247"/>
      <c r="K150" s="117"/>
      <c r="L150" s="4" t="str">
        <f t="shared" si="98"/>
        <v/>
      </c>
      <c r="M150" s="4" t="str">
        <f t="shared" si="99"/>
        <v/>
      </c>
      <c r="N150" s="4" t="str">
        <f t="shared" si="100"/>
        <v/>
      </c>
      <c r="O150" s="4" t="str">
        <f t="shared" si="101"/>
        <v/>
      </c>
      <c r="P150" s="247"/>
      <c r="Q150" s="117"/>
      <c r="R150" s="4" t="str">
        <f t="shared" si="102"/>
        <v/>
      </c>
      <c r="S150" s="4" t="str">
        <f t="shared" si="103"/>
        <v/>
      </c>
      <c r="T150" s="4" t="str">
        <f t="shared" si="104"/>
        <v/>
      </c>
      <c r="U150" s="4" t="str">
        <f t="shared" si="105"/>
        <v/>
      </c>
      <c r="V150" s="247"/>
      <c r="W150" s="67" t="str">
        <f t="shared" si="106"/>
        <v/>
      </c>
      <c r="X150" s="118"/>
      <c r="Z150" s="67" t="str">
        <f t="shared" si="107"/>
        <v/>
      </c>
      <c r="AA150" s="13">
        <f t="shared" si="108"/>
        <v>0</v>
      </c>
      <c r="AB150" s="17">
        <f t="shared" si="92"/>
        <v>0</v>
      </c>
      <c r="AC150" s="163" t="str">
        <f t="shared" si="109"/>
        <v/>
      </c>
      <c r="AD150" s="119"/>
      <c r="AE150" s="120"/>
      <c r="AF150" s="121"/>
      <c r="AG150" s="122"/>
      <c r="AH150" s="83"/>
      <c r="AI150" s="115"/>
      <c r="AJ150" s="116"/>
      <c r="AK150" s="83"/>
      <c r="AL150" s="85"/>
      <c r="AM150" s="254"/>
      <c r="AN150" s="254"/>
      <c r="AO150" s="255"/>
    </row>
    <row r="151" spans="2:41" x14ac:dyDescent="0.25">
      <c r="B151" s="321"/>
      <c r="C151" s="17"/>
      <c r="D151" s="273"/>
      <c r="E151" s="117"/>
      <c r="F151" s="4" t="str">
        <f t="shared" si="94"/>
        <v/>
      </c>
      <c r="G151" s="4" t="str">
        <f t="shared" si="95"/>
        <v/>
      </c>
      <c r="H151" s="4" t="str">
        <f t="shared" si="96"/>
        <v/>
      </c>
      <c r="I151" s="4" t="str">
        <f t="shared" si="97"/>
        <v/>
      </c>
      <c r="J151" s="247"/>
      <c r="K151" s="117"/>
      <c r="L151" s="4" t="str">
        <f t="shared" si="98"/>
        <v/>
      </c>
      <c r="M151" s="4" t="str">
        <f t="shared" si="99"/>
        <v/>
      </c>
      <c r="N151" s="4" t="str">
        <f t="shared" si="100"/>
        <v/>
      </c>
      <c r="O151" s="4" t="str">
        <f t="shared" si="101"/>
        <v/>
      </c>
      <c r="P151" s="247"/>
      <c r="Q151" s="117"/>
      <c r="R151" s="4" t="str">
        <f t="shared" si="102"/>
        <v/>
      </c>
      <c r="S151" s="4" t="str">
        <f t="shared" si="103"/>
        <v/>
      </c>
      <c r="T151" s="4" t="str">
        <f t="shared" si="104"/>
        <v/>
      </c>
      <c r="U151" s="4" t="str">
        <f t="shared" si="105"/>
        <v/>
      </c>
      <c r="V151" s="247"/>
      <c r="W151" s="67" t="str">
        <f t="shared" si="106"/>
        <v/>
      </c>
      <c r="X151" s="118"/>
      <c r="Z151" s="67" t="str">
        <f t="shared" si="107"/>
        <v/>
      </c>
      <c r="AA151" s="13">
        <f t="shared" si="108"/>
        <v>0</v>
      </c>
      <c r="AB151" s="17">
        <f t="shared" si="92"/>
        <v>0</v>
      </c>
      <c r="AC151" s="163" t="str">
        <f t="shared" si="109"/>
        <v/>
      </c>
      <c r="AD151" s="119"/>
      <c r="AE151" s="120"/>
      <c r="AF151" s="121"/>
      <c r="AG151" s="122"/>
      <c r="AH151" s="83"/>
      <c r="AI151" s="115"/>
      <c r="AJ151" s="116"/>
      <c r="AK151" s="83"/>
      <c r="AL151" s="85"/>
      <c r="AM151" s="254"/>
      <c r="AN151" s="254"/>
      <c r="AO151" s="255"/>
    </row>
    <row r="152" spans="2:41" x14ac:dyDescent="0.25">
      <c r="B152" s="321"/>
      <c r="C152" s="17"/>
      <c r="D152" s="273"/>
      <c r="E152" s="117"/>
      <c r="F152" s="4" t="str">
        <f t="shared" si="94"/>
        <v/>
      </c>
      <c r="G152" s="4" t="str">
        <f t="shared" si="95"/>
        <v/>
      </c>
      <c r="H152" s="4" t="str">
        <f t="shared" si="96"/>
        <v/>
      </c>
      <c r="I152" s="4" t="str">
        <f t="shared" si="97"/>
        <v/>
      </c>
      <c r="J152" s="247"/>
      <c r="K152" s="117"/>
      <c r="L152" s="4" t="str">
        <f t="shared" si="98"/>
        <v/>
      </c>
      <c r="M152" s="4" t="str">
        <f t="shared" si="99"/>
        <v/>
      </c>
      <c r="N152" s="4" t="str">
        <f t="shared" si="100"/>
        <v/>
      </c>
      <c r="O152" s="4" t="str">
        <f t="shared" si="101"/>
        <v/>
      </c>
      <c r="P152" s="247"/>
      <c r="Q152" s="117"/>
      <c r="R152" s="4" t="str">
        <f t="shared" si="102"/>
        <v/>
      </c>
      <c r="S152" s="4" t="str">
        <f t="shared" si="103"/>
        <v/>
      </c>
      <c r="T152" s="4" t="str">
        <f t="shared" si="104"/>
        <v/>
      </c>
      <c r="U152" s="4" t="str">
        <f t="shared" si="105"/>
        <v/>
      </c>
      <c r="V152" s="247"/>
      <c r="W152" s="67" t="str">
        <f t="shared" si="106"/>
        <v/>
      </c>
      <c r="X152" s="118"/>
      <c r="Z152" s="67" t="str">
        <f t="shared" si="107"/>
        <v/>
      </c>
      <c r="AA152" s="13">
        <f t="shared" si="108"/>
        <v>0</v>
      </c>
      <c r="AB152" s="17">
        <f t="shared" si="92"/>
        <v>0</v>
      </c>
      <c r="AC152" s="163" t="str">
        <f t="shared" si="109"/>
        <v/>
      </c>
      <c r="AD152" s="119"/>
      <c r="AE152" s="120"/>
      <c r="AF152" s="121"/>
      <c r="AG152" s="122"/>
      <c r="AH152" s="83"/>
      <c r="AI152" s="115"/>
      <c r="AJ152" s="116"/>
      <c r="AK152" s="83"/>
      <c r="AL152" s="85"/>
      <c r="AM152" s="254"/>
      <c r="AN152" s="254"/>
      <c r="AO152" s="255"/>
    </row>
    <row r="153" spans="2:41" x14ac:dyDescent="0.25">
      <c r="B153" s="321"/>
      <c r="C153" s="17"/>
      <c r="D153" s="273"/>
      <c r="E153" s="117"/>
      <c r="F153" s="4" t="str">
        <f t="shared" si="94"/>
        <v/>
      </c>
      <c r="G153" s="4" t="str">
        <f t="shared" si="95"/>
        <v/>
      </c>
      <c r="H153" s="4" t="str">
        <f t="shared" si="96"/>
        <v/>
      </c>
      <c r="I153" s="4" t="str">
        <f t="shared" si="97"/>
        <v/>
      </c>
      <c r="J153" s="247"/>
      <c r="K153" s="117"/>
      <c r="L153" s="4" t="str">
        <f t="shared" si="98"/>
        <v/>
      </c>
      <c r="M153" s="4" t="str">
        <f t="shared" si="99"/>
        <v/>
      </c>
      <c r="N153" s="4" t="str">
        <f t="shared" si="100"/>
        <v/>
      </c>
      <c r="O153" s="4" t="str">
        <f t="shared" si="101"/>
        <v/>
      </c>
      <c r="P153" s="247"/>
      <c r="Q153" s="117"/>
      <c r="R153" s="4" t="str">
        <f t="shared" si="102"/>
        <v/>
      </c>
      <c r="S153" s="4" t="str">
        <f t="shared" si="103"/>
        <v/>
      </c>
      <c r="T153" s="4" t="str">
        <f t="shared" si="104"/>
        <v/>
      </c>
      <c r="U153" s="4" t="str">
        <f t="shared" si="105"/>
        <v/>
      </c>
      <c r="V153" s="247"/>
      <c r="W153" s="67" t="str">
        <f t="shared" si="106"/>
        <v/>
      </c>
      <c r="X153" s="118"/>
      <c r="Z153" s="67" t="str">
        <f t="shared" si="107"/>
        <v/>
      </c>
      <c r="AA153" s="13">
        <f t="shared" si="108"/>
        <v>0</v>
      </c>
      <c r="AB153" s="17">
        <f t="shared" si="92"/>
        <v>0</v>
      </c>
      <c r="AC153" s="163" t="str">
        <f t="shared" si="109"/>
        <v/>
      </c>
      <c r="AD153" s="119"/>
      <c r="AE153" s="120"/>
      <c r="AF153" s="121"/>
      <c r="AG153" s="122"/>
      <c r="AH153" s="83"/>
      <c r="AI153" s="115"/>
      <c r="AJ153" s="116"/>
      <c r="AK153" s="83"/>
      <c r="AL153" s="85"/>
      <c r="AM153" s="254"/>
      <c r="AN153" s="254"/>
      <c r="AO153" s="255"/>
    </row>
    <row r="154" spans="2:41" x14ac:dyDescent="0.25">
      <c r="B154" s="321"/>
      <c r="C154" s="17"/>
      <c r="D154" s="273"/>
      <c r="E154" s="117"/>
      <c r="F154" s="4" t="str">
        <f t="shared" si="94"/>
        <v/>
      </c>
      <c r="G154" s="4" t="str">
        <f t="shared" si="95"/>
        <v/>
      </c>
      <c r="H154" s="4" t="str">
        <f t="shared" si="96"/>
        <v/>
      </c>
      <c r="I154" s="4" t="str">
        <f t="shared" si="97"/>
        <v/>
      </c>
      <c r="J154" s="247"/>
      <c r="K154" s="117"/>
      <c r="L154" s="4" t="str">
        <f t="shared" si="98"/>
        <v/>
      </c>
      <c r="M154" s="4" t="str">
        <f t="shared" si="99"/>
        <v/>
      </c>
      <c r="N154" s="4" t="str">
        <f t="shared" si="100"/>
        <v/>
      </c>
      <c r="O154" s="4" t="str">
        <f t="shared" si="101"/>
        <v/>
      </c>
      <c r="P154" s="247"/>
      <c r="Q154" s="117"/>
      <c r="R154" s="4" t="str">
        <f t="shared" si="102"/>
        <v/>
      </c>
      <c r="S154" s="4" t="str">
        <f t="shared" si="103"/>
        <v/>
      </c>
      <c r="T154" s="4" t="str">
        <f t="shared" si="104"/>
        <v/>
      </c>
      <c r="U154" s="4" t="str">
        <f t="shared" si="105"/>
        <v/>
      </c>
      <c r="V154" s="247"/>
      <c r="W154" s="67" t="str">
        <f t="shared" si="106"/>
        <v/>
      </c>
      <c r="X154" s="118"/>
      <c r="Z154" s="67" t="str">
        <f t="shared" si="107"/>
        <v/>
      </c>
      <c r="AA154" s="13">
        <f t="shared" si="108"/>
        <v>0</v>
      </c>
      <c r="AB154" s="17">
        <f t="shared" si="92"/>
        <v>0</v>
      </c>
      <c r="AC154" s="163" t="str">
        <f t="shared" si="109"/>
        <v/>
      </c>
      <c r="AD154" s="119"/>
      <c r="AE154" s="120"/>
      <c r="AF154" s="121"/>
      <c r="AG154" s="122"/>
      <c r="AH154" s="83"/>
      <c r="AI154" s="115"/>
      <c r="AJ154" s="116"/>
      <c r="AK154" s="83"/>
      <c r="AL154" s="85"/>
      <c r="AM154" s="254"/>
      <c r="AN154" s="254"/>
      <c r="AO154" s="255"/>
    </row>
    <row r="155" spans="2:41" x14ac:dyDescent="0.25">
      <c r="B155" s="321"/>
      <c r="C155" s="17"/>
      <c r="D155" s="273"/>
      <c r="E155" s="117"/>
      <c r="F155" s="4" t="str">
        <f t="shared" si="94"/>
        <v/>
      </c>
      <c r="G155" s="4" t="str">
        <f t="shared" si="95"/>
        <v/>
      </c>
      <c r="H155" s="4" t="str">
        <f t="shared" si="96"/>
        <v/>
      </c>
      <c r="I155" s="4" t="str">
        <f t="shared" si="97"/>
        <v/>
      </c>
      <c r="J155" s="247"/>
      <c r="K155" s="117"/>
      <c r="L155" s="4" t="str">
        <f t="shared" si="98"/>
        <v/>
      </c>
      <c r="M155" s="4" t="str">
        <f t="shared" si="99"/>
        <v/>
      </c>
      <c r="N155" s="4" t="str">
        <f t="shared" si="100"/>
        <v/>
      </c>
      <c r="O155" s="4" t="str">
        <f t="shared" si="101"/>
        <v/>
      </c>
      <c r="P155" s="247"/>
      <c r="Q155" s="117"/>
      <c r="R155" s="4" t="str">
        <f t="shared" si="102"/>
        <v/>
      </c>
      <c r="S155" s="4" t="str">
        <f t="shared" si="103"/>
        <v/>
      </c>
      <c r="T155" s="4" t="str">
        <f t="shared" si="104"/>
        <v/>
      </c>
      <c r="U155" s="4" t="str">
        <f t="shared" si="105"/>
        <v/>
      </c>
      <c r="V155" s="247"/>
      <c r="W155" s="67" t="str">
        <f t="shared" si="106"/>
        <v/>
      </c>
      <c r="X155" s="118"/>
      <c r="Z155" s="67" t="str">
        <f t="shared" si="107"/>
        <v/>
      </c>
      <c r="AA155" s="13">
        <f t="shared" si="108"/>
        <v>0</v>
      </c>
      <c r="AB155" s="17">
        <f t="shared" si="92"/>
        <v>0</v>
      </c>
      <c r="AC155" s="163" t="str">
        <f t="shared" si="109"/>
        <v/>
      </c>
      <c r="AD155" s="119"/>
      <c r="AE155" s="120"/>
      <c r="AF155" s="121"/>
      <c r="AG155" s="122"/>
      <c r="AH155" s="83"/>
      <c r="AI155" s="115"/>
      <c r="AJ155" s="116"/>
      <c r="AK155" s="83"/>
      <c r="AL155" s="85"/>
      <c r="AM155" s="254"/>
      <c r="AN155" s="254"/>
      <c r="AO155" s="255"/>
    </row>
    <row r="156" spans="2:41" x14ac:dyDescent="0.25">
      <c r="B156" s="321"/>
      <c r="C156" s="17"/>
      <c r="D156" s="273"/>
      <c r="E156" s="117"/>
      <c r="F156" s="4" t="str">
        <f t="shared" si="94"/>
        <v/>
      </c>
      <c r="G156" s="4" t="str">
        <f t="shared" si="95"/>
        <v/>
      </c>
      <c r="H156" s="4" t="str">
        <f t="shared" si="96"/>
        <v/>
      </c>
      <c r="I156" s="4" t="str">
        <f t="shared" si="97"/>
        <v/>
      </c>
      <c r="J156" s="247"/>
      <c r="K156" s="117"/>
      <c r="L156" s="4" t="str">
        <f t="shared" si="98"/>
        <v/>
      </c>
      <c r="M156" s="4" t="str">
        <f t="shared" si="99"/>
        <v/>
      </c>
      <c r="N156" s="4" t="str">
        <f t="shared" si="100"/>
        <v/>
      </c>
      <c r="O156" s="4" t="str">
        <f t="shared" si="101"/>
        <v/>
      </c>
      <c r="P156" s="247"/>
      <c r="Q156" s="117"/>
      <c r="R156" s="4" t="str">
        <f t="shared" si="102"/>
        <v/>
      </c>
      <c r="S156" s="4" t="str">
        <f t="shared" si="103"/>
        <v/>
      </c>
      <c r="T156" s="4" t="str">
        <f t="shared" si="104"/>
        <v/>
      </c>
      <c r="U156" s="4" t="str">
        <f t="shared" si="105"/>
        <v/>
      </c>
      <c r="V156" s="247"/>
      <c r="W156" s="67" t="str">
        <f t="shared" si="106"/>
        <v/>
      </c>
      <c r="X156" s="118"/>
      <c r="Z156" s="67" t="str">
        <f t="shared" si="107"/>
        <v/>
      </c>
      <c r="AA156" s="13">
        <f t="shared" si="108"/>
        <v>0</v>
      </c>
      <c r="AB156" s="17">
        <f t="shared" si="92"/>
        <v>0</v>
      </c>
      <c r="AC156" s="163" t="str">
        <f t="shared" si="109"/>
        <v/>
      </c>
      <c r="AD156" s="119"/>
      <c r="AE156" s="120"/>
      <c r="AF156" s="121"/>
      <c r="AG156" s="122"/>
      <c r="AH156" s="83"/>
      <c r="AI156" s="115"/>
      <c r="AJ156" s="116"/>
      <c r="AK156" s="83"/>
      <c r="AL156" s="85"/>
      <c r="AM156" s="254"/>
      <c r="AN156" s="254"/>
      <c r="AO156" s="255"/>
    </row>
    <row r="157" spans="2:41" x14ac:dyDescent="0.25">
      <c r="B157" s="321"/>
      <c r="C157" s="17"/>
      <c r="D157" s="273"/>
      <c r="E157" s="117"/>
      <c r="F157" s="4" t="str">
        <f t="shared" si="94"/>
        <v/>
      </c>
      <c r="G157" s="4" t="str">
        <f t="shared" si="95"/>
        <v/>
      </c>
      <c r="H157" s="4" t="str">
        <f t="shared" si="96"/>
        <v/>
      </c>
      <c r="I157" s="4" t="str">
        <f t="shared" si="97"/>
        <v/>
      </c>
      <c r="J157" s="247"/>
      <c r="K157" s="117"/>
      <c r="L157" s="4" t="str">
        <f t="shared" si="98"/>
        <v/>
      </c>
      <c r="M157" s="4" t="str">
        <f t="shared" si="99"/>
        <v/>
      </c>
      <c r="N157" s="4" t="str">
        <f t="shared" si="100"/>
        <v/>
      </c>
      <c r="O157" s="4" t="str">
        <f t="shared" si="101"/>
        <v/>
      </c>
      <c r="P157" s="247"/>
      <c r="Q157" s="117"/>
      <c r="R157" s="4" t="str">
        <f t="shared" si="102"/>
        <v/>
      </c>
      <c r="S157" s="4" t="str">
        <f t="shared" si="103"/>
        <v/>
      </c>
      <c r="T157" s="4" t="str">
        <f t="shared" si="104"/>
        <v/>
      </c>
      <c r="U157" s="4" t="str">
        <f t="shared" si="105"/>
        <v/>
      </c>
      <c r="V157" s="247"/>
      <c r="W157" s="67" t="str">
        <f t="shared" si="106"/>
        <v/>
      </c>
      <c r="X157" s="118"/>
      <c r="Z157" s="67" t="str">
        <f t="shared" si="107"/>
        <v/>
      </c>
      <c r="AA157" s="13">
        <f t="shared" si="108"/>
        <v>0</v>
      </c>
      <c r="AB157" s="17">
        <f t="shared" si="92"/>
        <v>0</v>
      </c>
      <c r="AC157" s="163" t="str">
        <f t="shared" si="109"/>
        <v/>
      </c>
      <c r="AD157" s="119"/>
      <c r="AE157" s="120"/>
      <c r="AF157" s="121"/>
      <c r="AG157" s="122"/>
      <c r="AH157" s="83"/>
      <c r="AI157" s="115"/>
      <c r="AJ157" s="116"/>
      <c r="AK157" s="83"/>
      <c r="AL157" s="85"/>
      <c r="AM157" s="254"/>
      <c r="AN157" s="254"/>
      <c r="AO157" s="255"/>
    </row>
    <row r="158" spans="2:41" x14ac:dyDescent="0.25">
      <c r="B158" s="321"/>
      <c r="C158" s="17"/>
      <c r="D158" s="273"/>
      <c r="E158" s="117"/>
      <c r="F158" s="4" t="str">
        <f t="shared" si="94"/>
        <v/>
      </c>
      <c r="G158" s="4" t="str">
        <f t="shared" si="95"/>
        <v/>
      </c>
      <c r="H158" s="4" t="str">
        <f t="shared" si="96"/>
        <v/>
      </c>
      <c r="I158" s="4" t="str">
        <f t="shared" si="97"/>
        <v/>
      </c>
      <c r="J158" s="247"/>
      <c r="K158" s="117"/>
      <c r="L158" s="4" t="str">
        <f t="shared" si="98"/>
        <v/>
      </c>
      <c r="M158" s="4" t="str">
        <f t="shared" si="99"/>
        <v/>
      </c>
      <c r="N158" s="4" t="str">
        <f t="shared" si="100"/>
        <v/>
      </c>
      <c r="O158" s="4" t="str">
        <f t="shared" si="101"/>
        <v/>
      </c>
      <c r="P158" s="247"/>
      <c r="Q158" s="117"/>
      <c r="R158" s="4" t="str">
        <f t="shared" si="102"/>
        <v/>
      </c>
      <c r="S158" s="4" t="str">
        <f t="shared" si="103"/>
        <v/>
      </c>
      <c r="T158" s="4" t="str">
        <f t="shared" si="104"/>
        <v/>
      </c>
      <c r="U158" s="4" t="str">
        <f t="shared" si="105"/>
        <v/>
      </c>
      <c r="V158" s="247"/>
      <c r="W158" s="67" t="str">
        <f t="shared" si="106"/>
        <v/>
      </c>
      <c r="X158" s="118"/>
      <c r="Z158" s="67" t="str">
        <f t="shared" si="107"/>
        <v/>
      </c>
      <c r="AA158" s="13">
        <f t="shared" si="108"/>
        <v>0</v>
      </c>
      <c r="AB158" s="17">
        <f t="shared" si="92"/>
        <v>0</v>
      </c>
      <c r="AC158" s="163" t="str">
        <f t="shared" si="109"/>
        <v/>
      </c>
      <c r="AD158" s="119"/>
      <c r="AE158" s="120"/>
      <c r="AF158" s="121"/>
      <c r="AG158" s="122"/>
      <c r="AH158" s="83"/>
      <c r="AI158" s="115"/>
      <c r="AJ158" s="116"/>
      <c r="AK158" s="83"/>
      <c r="AL158" s="85"/>
      <c r="AM158" s="254"/>
      <c r="AN158" s="254"/>
      <c r="AO158" s="255"/>
    </row>
    <row r="159" spans="2:41" x14ac:dyDescent="0.25">
      <c r="B159" s="321"/>
      <c r="C159" s="17"/>
      <c r="D159" s="273"/>
      <c r="E159" s="117"/>
      <c r="F159" s="4" t="str">
        <f t="shared" si="77"/>
        <v/>
      </c>
      <c r="G159" s="4" t="str">
        <f t="shared" si="78"/>
        <v/>
      </c>
      <c r="H159" s="4" t="str">
        <f t="shared" si="79"/>
        <v/>
      </c>
      <c r="I159" s="4" t="str">
        <f t="shared" si="80"/>
        <v/>
      </c>
      <c r="J159" s="247"/>
      <c r="K159" s="117"/>
      <c r="L159" s="4" t="str">
        <f t="shared" si="81"/>
        <v/>
      </c>
      <c r="M159" s="4" t="str">
        <f t="shared" si="82"/>
        <v/>
      </c>
      <c r="N159" s="4" t="str">
        <f t="shared" si="83"/>
        <v/>
      </c>
      <c r="O159" s="4" t="str">
        <f t="shared" si="84"/>
        <v/>
      </c>
      <c r="P159" s="247"/>
      <c r="Q159" s="117"/>
      <c r="R159" s="4" t="str">
        <f t="shared" si="85"/>
        <v/>
      </c>
      <c r="S159" s="4" t="str">
        <f t="shared" si="86"/>
        <v/>
      </c>
      <c r="T159" s="4" t="str">
        <f t="shared" si="87"/>
        <v/>
      </c>
      <c r="U159" s="4" t="str">
        <f t="shared" si="88"/>
        <v/>
      </c>
      <c r="V159" s="247"/>
      <c r="W159" s="67" t="str">
        <f t="shared" si="89"/>
        <v/>
      </c>
      <c r="X159" s="118"/>
      <c r="Z159" s="67" t="str">
        <f t="shared" si="90"/>
        <v/>
      </c>
      <c r="AA159" s="13">
        <f t="shared" si="91"/>
        <v>0</v>
      </c>
      <c r="AB159" s="17">
        <f t="shared" si="92"/>
        <v>0</v>
      </c>
      <c r="AC159" s="163" t="str">
        <f t="shared" si="93"/>
        <v/>
      </c>
      <c r="AD159" s="119"/>
      <c r="AE159" s="120"/>
      <c r="AF159" s="121"/>
      <c r="AG159" s="122"/>
      <c r="AH159" s="83"/>
      <c r="AI159" s="115"/>
      <c r="AJ159" s="116"/>
      <c r="AK159" s="83"/>
      <c r="AL159" s="85"/>
      <c r="AM159" s="254"/>
      <c r="AN159" s="254"/>
      <c r="AO159" s="255"/>
    </row>
    <row r="160" spans="2:41" x14ac:dyDescent="0.25">
      <c r="B160" s="321"/>
      <c r="C160" s="17"/>
      <c r="D160" s="273"/>
      <c r="E160" s="117"/>
      <c r="F160" s="4" t="str">
        <f t="shared" si="77"/>
        <v/>
      </c>
      <c r="G160" s="4" t="str">
        <f t="shared" si="78"/>
        <v/>
      </c>
      <c r="H160" s="4" t="str">
        <f t="shared" si="79"/>
        <v/>
      </c>
      <c r="I160" s="4" t="str">
        <f t="shared" si="80"/>
        <v/>
      </c>
      <c r="J160" s="247"/>
      <c r="K160" s="117"/>
      <c r="L160" s="4" t="str">
        <f t="shared" si="81"/>
        <v/>
      </c>
      <c r="M160" s="4" t="str">
        <f t="shared" si="82"/>
        <v/>
      </c>
      <c r="N160" s="4" t="str">
        <f t="shared" si="83"/>
        <v/>
      </c>
      <c r="O160" s="4" t="str">
        <f t="shared" si="84"/>
        <v/>
      </c>
      <c r="P160" s="247"/>
      <c r="Q160" s="117"/>
      <c r="R160" s="4" t="str">
        <f t="shared" si="85"/>
        <v/>
      </c>
      <c r="S160" s="4" t="str">
        <f t="shared" si="86"/>
        <v/>
      </c>
      <c r="T160" s="4" t="str">
        <f t="shared" si="87"/>
        <v/>
      </c>
      <c r="U160" s="4" t="str">
        <f t="shared" si="88"/>
        <v/>
      </c>
      <c r="V160" s="247"/>
      <c r="W160" s="67" t="str">
        <f t="shared" si="89"/>
        <v/>
      </c>
      <c r="X160" s="118"/>
      <c r="Z160" s="67" t="str">
        <f t="shared" si="90"/>
        <v/>
      </c>
      <c r="AA160" s="13">
        <f t="shared" si="91"/>
        <v>0</v>
      </c>
      <c r="AB160" s="17">
        <f t="shared" si="92"/>
        <v>0</v>
      </c>
      <c r="AC160" s="163" t="str">
        <f t="shared" si="93"/>
        <v/>
      </c>
      <c r="AD160" s="119"/>
      <c r="AE160" s="120"/>
      <c r="AF160" s="121"/>
      <c r="AG160" s="122"/>
      <c r="AH160" s="83"/>
      <c r="AI160" s="115"/>
      <c r="AJ160" s="116"/>
      <c r="AK160" s="83"/>
      <c r="AL160" s="85"/>
      <c r="AM160" s="254"/>
      <c r="AN160" s="254"/>
      <c r="AO160" s="255"/>
    </row>
    <row r="161" spans="2:41" x14ac:dyDescent="0.25">
      <c r="B161" s="321"/>
      <c r="C161" s="17"/>
      <c r="D161" s="273"/>
      <c r="E161" s="117"/>
      <c r="F161" s="4" t="str">
        <f t="shared" si="77"/>
        <v/>
      </c>
      <c r="G161" s="4" t="str">
        <f t="shared" si="78"/>
        <v/>
      </c>
      <c r="H161" s="4" t="str">
        <f t="shared" si="79"/>
        <v/>
      </c>
      <c r="I161" s="4" t="str">
        <f t="shared" si="80"/>
        <v/>
      </c>
      <c r="J161" s="247"/>
      <c r="K161" s="117"/>
      <c r="L161" s="4" t="str">
        <f t="shared" si="81"/>
        <v/>
      </c>
      <c r="M161" s="4" t="str">
        <f t="shared" si="82"/>
        <v/>
      </c>
      <c r="N161" s="4" t="str">
        <f t="shared" si="83"/>
        <v/>
      </c>
      <c r="O161" s="4" t="str">
        <f t="shared" si="84"/>
        <v/>
      </c>
      <c r="P161" s="247"/>
      <c r="Q161" s="117"/>
      <c r="R161" s="4" t="str">
        <f t="shared" si="85"/>
        <v/>
      </c>
      <c r="S161" s="4" t="str">
        <f t="shared" si="86"/>
        <v/>
      </c>
      <c r="T161" s="4" t="str">
        <f t="shared" si="87"/>
        <v/>
      </c>
      <c r="U161" s="4" t="str">
        <f t="shared" si="88"/>
        <v/>
      </c>
      <c r="V161" s="247"/>
      <c r="W161" s="67" t="str">
        <f t="shared" si="89"/>
        <v/>
      </c>
      <c r="X161" s="118"/>
      <c r="Z161" s="67" t="str">
        <f t="shared" si="90"/>
        <v/>
      </c>
      <c r="AA161" s="13">
        <f t="shared" si="91"/>
        <v>0</v>
      </c>
      <c r="AB161" s="17">
        <f t="shared" si="92"/>
        <v>0</v>
      </c>
      <c r="AC161" s="163" t="str">
        <f t="shared" si="93"/>
        <v/>
      </c>
      <c r="AD161" s="119"/>
      <c r="AE161" s="120"/>
      <c r="AF161" s="121"/>
      <c r="AG161" s="122"/>
      <c r="AH161" s="83"/>
      <c r="AI161" s="115"/>
      <c r="AJ161" s="116"/>
      <c r="AK161" s="83"/>
      <c r="AL161" s="85"/>
      <c r="AM161" s="254"/>
      <c r="AN161" s="254"/>
      <c r="AO161" s="255"/>
    </row>
    <row r="162" spans="2:41" x14ac:dyDescent="0.25">
      <c r="B162" s="321"/>
      <c r="C162" s="17"/>
      <c r="D162" s="273"/>
      <c r="E162" s="117"/>
      <c r="F162" s="4" t="str">
        <f t="shared" si="77"/>
        <v/>
      </c>
      <c r="G162" s="4" t="str">
        <f t="shared" si="78"/>
        <v/>
      </c>
      <c r="H162" s="4" t="str">
        <f t="shared" si="79"/>
        <v/>
      </c>
      <c r="I162" s="4" t="str">
        <f t="shared" si="80"/>
        <v/>
      </c>
      <c r="J162" s="247"/>
      <c r="K162" s="117"/>
      <c r="L162" s="4" t="str">
        <f t="shared" si="81"/>
        <v/>
      </c>
      <c r="M162" s="4" t="str">
        <f t="shared" si="82"/>
        <v/>
      </c>
      <c r="N162" s="4" t="str">
        <f t="shared" si="83"/>
        <v/>
      </c>
      <c r="O162" s="4" t="str">
        <f t="shared" si="84"/>
        <v/>
      </c>
      <c r="P162" s="247"/>
      <c r="Q162" s="117"/>
      <c r="R162" s="4" t="str">
        <f t="shared" si="85"/>
        <v/>
      </c>
      <c r="S162" s="4" t="str">
        <f t="shared" si="86"/>
        <v/>
      </c>
      <c r="T162" s="4" t="str">
        <f t="shared" si="87"/>
        <v/>
      </c>
      <c r="U162" s="4" t="str">
        <f t="shared" si="88"/>
        <v/>
      </c>
      <c r="V162" s="247"/>
      <c r="W162" s="67" t="str">
        <f t="shared" si="89"/>
        <v/>
      </c>
      <c r="X162" s="118"/>
      <c r="Z162" s="67" t="str">
        <f t="shared" si="90"/>
        <v/>
      </c>
      <c r="AA162" s="13">
        <f t="shared" si="91"/>
        <v>0</v>
      </c>
      <c r="AB162" s="17">
        <f t="shared" si="92"/>
        <v>0</v>
      </c>
      <c r="AC162" s="163" t="str">
        <f t="shared" si="93"/>
        <v/>
      </c>
      <c r="AD162" s="119"/>
      <c r="AE162" s="120"/>
      <c r="AF162" s="121"/>
      <c r="AG162" s="122"/>
      <c r="AH162" s="83"/>
      <c r="AI162" s="115"/>
      <c r="AJ162" s="116"/>
      <c r="AK162" s="83"/>
      <c r="AL162" s="85"/>
      <c r="AM162" s="254"/>
      <c r="AN162" s="254"/>
      <c r="AO162" s="255"/>
    </row>
    <row r="163" spans="2:41" x14ac:dyDescent="0.25">
      <c r="B163" s="321"/>
      <c r="C163" s="17"/>
      <c r="D163" s="273"/>
      <c r="E163" s="117"/>
      <c r="F163" s="4" t="str">
        <f t="shared" si="77"/>
        <v/>
      </c>
      <c r="G163" s="4" t="str">
        <f t="shared" si="78"/>
        <v/>
      </c>
      <c r="H163" s="4" t="str">
        <f t="shared" si="79"/>
        <v/>
      </c>
      <c r="I163" s="4" t="str">
        <f t="shared" si="80"/>
        <v/>
      </c>
      <c r="J163" s="247"/>
      <c r="K163" s="117"/>
      <c r="L163" s="4" t="str">
        <f t="shared" si="81"/>
        <v/>
      </c>
      <c r="M163" s="4" t="str">
        <f t="shared" si="82"/>
        <v/>
      </c>
      <c r="N163" s="4" t="str">
        <f t="shared" si="83"/>
        <v/>
      </c>
      <c r="O163" s="4" t="str">
        <f t="shared" si="84"/>
        <v/>
      </c>
      <c r="P163" s="247"/>
      <c r="Q163" s="117"/>
      <c r="R163" s="4" t="str">
        <f t="shared" si="85"/>
        <v/>
      </c>
      <c r="S163" s="4" t="str">
        <f t="shared" si="86"/>
        <v/>
      </c>
      <c r="T163" s="4" t="str">
        <f t="shared" si="87"/>
        <v/>
      </c>
      <c r="U163" s="4" t="str">
        <f t="shared" si="88"/>
        <v/>
      </c>
      <c r="V163" s="247"/>
      <c r="W163" s="67" t="str">
        <f t="shared" si="89"/>
        <v/>
      </c>
      <c r="X163" s="118"/>
      <c r="Z163" s="67" t="str">
        <f t="shared" si="90"/>
        <v/>
      </c>
      <c r="AA163" s="13">
        <f t="shared" si="91"/>
        <v>0</v>
      </c>
      <c r="AB163" s="17">
        <f t="shared" si="92"/>
        <v>0</v>
      </c>
      <c r="AC163" s="163" t="str">
        <f t="shared" si="93"/>
        <v/>
      </c>
      <c r="AD163" s="119"/>
      <c r="AE163" s="120"/>
      <c r="AF163" s="121"/>
      <c r="AG163" s="122"/>
      <c r="AH163" s="83"/>
      <c r="AI163" s="115"/>
      <c r="AJ163" s="116"/>
      <c r="AK163" s="83"/>
      <c r="AL163" s="85"/>
      <c r="AM163" s="254"/>
      <c r="AN163" s="254"/>
      <c r="AO163" s="255"/>
    </row>
    <row r="164" spans="2:41" x14ac:dyDescent="0.25">
      <c r="B164" s="321"/>
      <c r="C164" s="17"/>
      <c r="D164" s="273"/>
      <c r="E164" s="117"/>
      <c r="F164" s="4" t="str">
        <f t="shared" si="77"/>
        <v/>
      </c>
      <c r="G164" s="4" t="str">
        <f t="shared" si="78"/>
        <v/>
      </c>
      <c r="H164" s="4" t="str">
        <f t="shared" si="79"/>
        <v/>
      </c>
      <c r="I164" s="4" t="str">
        <f t="shared" si="80"/>
        <v/>
      </c>
      <c r="J164" s="247"/>
      <c r="K164" s="117"/>
      <c r="L164" s="4" t="str">
        <f t="shared" si="81"/>
        <v/>
      </c>
      <c r="M164" s="4" t="str">
        <f t="shared" si="82"/>
        <v/>
      </c>
      <c r="N164" s="4" t="str">
        <f t="shared" si="83"/>
        <v/>
      </c>
      <c r="O164" s="4" t="str">
        <f t="shared" si="84"/>
        <v/>
      </c>
      <c r="P164" s="247"/>
      <c r="Q164" s="117"/>
      <c r="R164" s="4" t="str">
        <f t="shared" si="85"/>
        <v/>
      </c>
      <c r="S164" s="4" t="str">
        <f t="shared" si="86"/>
        <v/>
      </c>
      <c r="T164" s="4" t="str">
        <f t="shared" si="87"/>
        <v/>
      </c>
      <c r="U164" s="4" t="str">
        <f t="shared" si="88"/>
        <v/>
      </c>
      <c r="V164" s="247"/>
      <c r="W164" s="67" t="str">
        <f t="shared" si="89"/>
        <v/>
      </c>
      <c r="X164" s="118"/>
      <c r="Z164" s="67" t="str">
        <f t="shared" si="90"/>
        <v/>
      </c>
      <c r="AA164" s="13">
        <f t="shared" si="91"/>
        <v>0</v>
      </c>
      <c r="AB164" s="17">
        <f t="shared" si="92"/>
        <v>0</v>
      </c>
      <c r="AC164" s="163" t="str">
        <f t="shared" si="93"/>
        <v/>
      </c>
      <c r="AD164" s="119"/>
      <c r="AE164" s="120"/>
      <c r="AF164" s="121"/>
      <c r="AG164" s="122"/>
      <c r="AH164" s="83"/>
      <c r="AI164" s="115"/>
      <c r="AJ164" s="116"/>
      <c r="AK164" s="83"/>
      <c r="AL164" s="85"/>
      <c r="AM164" s="254"/>
      <c r="AN164" s="254"/>
      <c r="AO164" s="255"/>
    </row>
    <row r="165" spans="2:41" x14ac:dyDescent="0.25">
      <c r="B165" s="321"/>
      <c r="C165" s="17"/>
      <c r="D165" s="273"/>
      <c r="E165" s="117"/>
      <c r="F165" s="4" t="str">
        <f>IFERROR(IF(VLOOKUP($E165,Inward,2,FALSE)&gt;0,VLOOKUP($E165,Inward,2,FALSE),""),"")</f>
        <v/>
      </c>
      <c r="G165" s="4" t="str">
        <f>IFERROR(IF(VLOOKUP($E165,Inward,7,FALSE)&gt;0,VLOOKUP($E165,Inward,7,FALSE),""),"")</f>
        <v/>
      </c>
      <c r="H165" s="4" t="str">
        <f>IFERROR(IF(VLOOKUP($E165,Inward,8,FALSE)&gt;0,VLOOKUP($E165,Inward,8,FALSE),""),"")</f>
        <v/>
      </c>
      <c r="I165" s="4" t="str">
        <f>IFERROR(IF(VLOOKUP($E165,Inward,11,FALSE)&gt;0,VLOOKUP($E165,Inward,11,FALSE),""),"")</f>
        <v/>
      </c>
      <c r="J165" s="247"/>
      <c r="K165" s="117"/>
      <c r="L165" s="4" t="str">
        <f t="shared" si="81"/>
        <v/>
      </c>
      <c r="M165" s="4" t="str">
        <f t="shared" si="82"/>
        <v/>
      </c>
      <c r="N165" s="4" t="str">
        <f t="shared" si="83"/>
        <v/>
      </c>
      <c r="O165" s="4" t="str">
        <f t="shared" si="84"/>
        <v/>
      </c>
      <c r="P165" s="247"/>
      <c r="Q165" s="117"/>
      <c r="R165" s="4" t="str">
        <f t="shared" si="85"/>
        <v/>
      </c>
      <c r="S165" s="4" t="str">
        <f t="shared" si="86"/>
        <v/>
      </c>
      <c r="T165" s="4" t="str">
        <f t="shared" si="87"/>
        <v/>
      </c>
      <c r="U165" s="4" t="str">
        <f t="shared" si="88"/>
        <v/>
      </c>
      <c r="V165" s="247"/>
      <c r="W165" s="67" t="str">
        <f t="shared" si="89"/>
        <v/>
      </c>
      <c r="X165" s="118"/>
      <c r="Z165" s="67" t="str">
        <f t="shared" si="90"/>
        <v/>
      </c>
      <c r="AA165" s="13">
        <f t="shared" si="91"/>
        <v>0</v>
      </c>
      <c r="AB165" s="17">
        <f t="shared" si="92"/>
        <v>0</v>
      </c>
      <c r="AC165" s="163" t="str">
        <f t="shared" si="93"/>
        <v/>
      </c>
      <c r="AD165" s="119"/>
      <c r="AE165" s="120"/>
      <c r="AF165" s="121"/>
      <c r="AG165" s="122"/>
      <c r="AH165" s="83"/>
      <c r="AI165" s="115"/>
      <c r="AJ165" s="116"/>
      <c r="AK165" s="83"/>
      <c r="AL165" s="85"/>
      <c r="AM165" s="254"/>
      <c r="AN165" s="254"/>
      <c r="AO165" s="255"/>
    </row>
    <row r="166" spans="2:41" x14ac:dyDescent="0.25">
      <c r="B166" s="321"/>
      <c r="C166" s="17"/>
      <c r="D166" s="273"/>
      <c r="E166" s="117"/>
      <c r="F166" s="4" t="str">
        <f>IFERROR(IF(VLOOKUP($E166,Inward,2,FALSE)&gt;0,VLOOKUP($E166,Inward,2,FALSE),""),"")</f>
        <v/>
      </c>
      <c r="G166" s="4" t="str">
        <f>IFERROR(IF(VLOOKUP($E166,Inward,7,FALSE)&gt;0,VLOOKUP($E166,Inward,7,FALSE),""),"")</f>
        <v/>
      </c>
      <c r="H166" s="4" t="str">
        <f>IFERROR(IF(VLOOKUP($E166,Inward,8,FALSE)&gt;0,VLOOKUP($E166,Inward,8,FALSE),""),"")</f>
        <v/>
      </c>
      <c r="I166" s="4" t="str">
        <f>IFERROR(IF(VLOOKUP($E166,Inward,11,FALSE)&gt;0,VLOOKUP($E166,Inward,11,FALSE),""),"")</f>
        <v/>
      </c>
      <c r="J166" s="247"/>
      <c r="K166" s="117"/>
      <c r="L166" s="4" t="str">
        <f t="shared" si="81"/>
        <v/>
      </c>
      <c r="M166" s="4" t="str">
        <f t="shared" si="82"/>
        <v/>
      </c>
      <c r="N166" s="4" t="str">
        <f t="shared" si="83"/>
        <v/>
      </c>
      <c r="O166" s="4" t="str">
        <f t="shared" si="84"/>
        <v/>
      </c>
      <c r="P166" s="247"/>
      <c r="Q166" s="117"/>
      <c r="R166" s="4" t="str">
        <f t="shared" si="85"/>
        <v/>
      </c>
      <c r="S166" s="4" t="str">
        <f t="shared" si="86"/>
        <v/>
      </c>
      <c r="T166" s="4" t="str">
        <f t="shared" si="87"/>
        <v/>
      </c>
      <c r="U166" s="4" t="str">
        <f t="shared" si="88"/>
        <v/>
      </c>
      <c r="V166" s="247"/>
      <c r="W166" s="67" t="str">
        <f t="shared" si="89"/>
        <v/>
      </c>
      <c r="X166" s="118"/>
      <c r="Z166" s="67" t="str">
        <f t="shared" si="90"/>
        <v/>
      </c>
      <c r="AA166" s="13">
        <f t="shared" si="91"/>
        <v>0</v>
      </c>
      <c r="AB166" s="17">
        <f t="shared" si="92"/>
        <v>0</v>
      </c>
      <c r="AC166" s="163" t="str">
        <f t="shared" si="93"/>
        <v/>
      </c>
      <c r="AD166" s="119"/>
      <c r="AE166" s="120"/>
      <c r="AF166" s="121"/>
      <c r="AG166" s="122"/>
      <c r="AH166" s="83"/>
      <c r="AI166" s="115"/>
      <c r="AJ166" s="116"/>
      <c r="AK166" s="83"/>
      <c r="AL166" s="85"/>
      <c r="AM166" s="254"/>
      <c r="AN166" s="254"/>
      <c r="AO166" s="255"/>
    </row>
    <row r="167" spans="2:41" x14ac:dyDescent="0.25">
      <c r="B167" s="321"/>
      <c r="C167" s="17"/>
      <c r="D167" s="273"/>
      <c r="E167" s="117"/>
      <c r="F167" s="4" t="str">
        <f>IFERROR(IF(VLOOKUP($E167,Inward,2,FALSE)&gt;0,VLOOKUP($E167,Inward,2,FALSE),""),"")</f>
        <v/>
      </c>
      <c r="G167" s="4" t="str">
        <f>IFERROR(IF(VLOOKUP($E167,Inward,7,FALSE)&gt;0,VLOOKUP($E167,Inward,7,FALSE),""),"")</f>
        <v/>
      </c>
      <c r="H167" s="4" t="str">
        <f>IFERROR(IF(VLOOKUP($E167,Inward,8,FALSE)&gt;0,VLOOKUP($E167,Inward,8,FALSE),""),"")</f>
        <v/>
      </c>
      <c r="I167" s="4" t="str">
        <f>IFERROR(IF(VLOOKUP($E167,Inward,11,FALSE)&gt;0,VLOOKUP($E167,Inward,11,FALSE),""),"")</f>
        <v/>
      </c>
      <c r="J167" s="247"/>
      <c r="K167" s="117"/>
      <c r="L167" s="4" t="str">
        <f t="shared" si="81"/>
        <v/>
      </c>
      <c r="M167" s="4" t="str">
        <f t="shared" si="82"/>
        <v/>
      </c>
      <c r="N167" s="4" t="str">
        <f t="shared" si="83"/>
        <v/>
      </c>
      <c r="O167" s="4" t="str">
        <f t="shared" si="84"/>
        <v/>
      </c>
      <c r="P167" s="247"/>
      <c r="Q167" s="117"/>
      <c r="R167" s="4" t="str">
        <f t="shared" si="85"/>
        <v/>
      </c>
      <c r="S167" s="4" t="str">
        <f t="shared" si="86"/>
        <v/>
      </c>
      <c r="T167" s="4" t="str">
        <f t="shared" si="87"/>
        <v/>
      </c>
      <c r="U167" s="4" t="str">
        <f t="shared" si="88"/>
        <v/>
      </c>
      <c r="V167" s="247"/>
      <c r="W167" s="67" t="str">
        <f t="shared" si="89"/>
        <v/>
      </c>
      <c r="X167" s="118"/>
      <c r="Z167" s="67" t="str">
        <f t="shared" si="90"/>
        <v/>
      </c>
      <c r="AA167" s="13">
        <f t="shared" si="91"/>
        <v>0</v>
      </c>
      <c r="AB167" s="17">
        <f t="shared" si="92"/>
        <v>0</v>
      </c>
      <c r="AC167" s="163" t="str">
        <f t="shared" si="93"/>
        <v/>
      </c>
      <c r="AD167" s="119"/>
      <c r="AE167" s="120"/>
      <c r="AF167" s="121"/>
      <c r="AG167" s="122"/>
      <c r="AH167" s="83"/>
      <c r="AI167" s="115"/>
      <c r="AJ167" s="116"/>
      <c r="AK167" s="83"/>
      <c r="AL167" s="85"/>
      <c r="AM167" s="254"/>
      <c r="AN167" s="254"/>
      <c r="AO167" s="255"/>
    </row>
    <row r="168" spans="2:41" x14ac:dyDescent="0.25">
      <c r="B168" s="321"/>
      <c r="C168" s="17"/>
      <c r="D168" s="273"/>
      <c r="E168" s="117"/>
      <c r="F168" s="4" t="str">
        <f>IFERROR(IF(VLOOKUP($E168,Inward,2,FALSE)&gt;0,VLOOKUP($E168,Inward,2,FALSE),""),"")</f>
        <v/>
      </c>
      <c r="G168" s="4" t="str">
        <f>IFERROR(IF(VLOOKUP($E168,Inward,7,FALSE)&gt;0,VLOOKUP($E168,Inward,7,FALSE),""),"")</f>
        <v/>
      </c>
      <c r="H168" s="4" t="str">
        <f>IFERROR(IF(VLOOKUP($E168,Inward,8,FALSE)&gt;0,VLOOKUP($E168,Inward,8,FALSE),""),"")</f>
        <v/>
      </c>
      <c r="I168" s="4" t="str">
        <f>IFERROR(IF(VLOOKUP($E168,Inward,11,FALSE)&gt;0,VLOOKUP($E168,Inward,11,FALSE),""),"")</f>
        <v/>
      </c>
      <c r="J168" s="247"/>
      <c r="K168" s="117"/>
      <c r="L168" s="4" t="str">
        <f t="shared" si="81"/>
        <v/>
      </c>
      <c r="M168" s="4" t="str">
        <f t="shared" si="82"/>
        <v/>
      </c>
      <c r="N168" s="4" t="str">
        <f t="shared" si="83"/>
        <v/>
      </c>
      <c r="O168" s="4" t="str">
        <f t="shared" si="84"/>
        <v/>
      </c>
      <c r="P168" s="247"/>
      <c r="Q168" s="117"/>
      <c r="R168" s="4" t="str">
        <f t="shared" si="85"/>
        <v/>
      </c>
      <c r="S168" s="4" t="str">
        <f t="shared" si="86"/>
        <v/>
      </c>
      <c r="T168" s="4" t="str">
        <f t="shared" si="87"/>
        <v/>
      </c>
      <c r="U168" s="4" t="str">
        <f t="shared" si="88"/>
        <v/>
      </c>
      <c r="V168" s="247"/>
      <c r="W168" s="67" t="str">
        <f t="shared" si="89"/>
        <v/>
      </c>
      <c r="X168" s="118"/>
      <c r="Z168" s="67" t="str">
        <f t="shared" si="90"/>
        <v/>
      </c>
      <c r="AA168" s="13">
        <f t="shared" si="91"/>
        <v>0</v>
      </c>
      <c r="AB168" s="17">
        <f t="shared" si="92"/>
        <v>0</v>
      </c>
      <c r="AC168" s="163" t="str">
        <f t="shared" si="93"/>
        <v/>
      </c>
      <c r="AD168" s="119"/>
      <c r="AE168" s="120"/>
      <c r="AF168" s="121"/>
      <c r="AG168" s="122"/>
      <c r="AH168" s="83"/>
      <c r="AI168" s="115"/>
      <c r="AJ168" s="116"/>
      <c r="AK168" s="83"/>
      <c r="AL168" s="85"/>
      <c r="AM168" s="254"/>
      <c r="AN168" s="254"/>
      <c r="AO168" s="255"/>
    </row>
    <row r="169" spans="2:41" x14ac:dyDescent="0.25">
      <c r="B169" s="321"/>
      <c r="C169" s="17"/>
      <c r="D169" s="273"/>
      <c r="E169" s="117"/>
      <c r="F169" s="4" t="str">
        <f t="shared" si="77"/>
        <v/>
      </c>
      <c r="G169" s="4" t="str">
        <f t="shared" si="78"/>
        <v/>
      </c>
      <c r="H169" s="4" t="str">
        <f t="shared" si="79"/>
        <v/>
      </c>
      <c r="I169" s="4" t="str">
        <f t="shared" si="80"/>
        <v/>
      </c>
      <c r="J169" s="247"/>
      <c r="K169" s="117"/>
      <c r="L169" s="4" t="str">
        <f t="shared" si="81"/>
        <v/>
      </c>
      <c r="M169" s="4" t="str">
        <f t="shared" si="82"/>
        <v/>
      </c>
      <c r="N169" s="4" t="str">
        <f t="shared" si="83"/>
        <v/>
      </c>
      <c r="O169" s="4" t="str">
        <f t="shared" si="84"/>
        <v/>
      </c>
      <c r="P169" s="247"/>
      <c r="Q169" s="117"/>
      <c r="R169" s="4" t="str">
        <f t="shared" si="85"/>
        <v/>
      </c>
      <c r="S169" s="4" t="str">
        <f t="shared" si="86"/>
        <v/>
      </c>
      <c r="T169" s="4" t="str">
        <f t="shared" si="87"/>
        <v/>
      </c>
      <c r="U169" s="4" t="str">
        <f t="shared" si="88"/>
        <v/>
      </c>
      <c r="V169" s="247"/>
      <c r="W169" s="67" t="str">
        <f t="shared" si="89"/>
        <v/>
      </c>
      <c r="X169" s="118"/>
      <c r="Z169" s="67" t="str">
        <f t="shared" si="90"/>
        <v/>
      </c>
      <c r="AA169" s="13">
        <f t="shared" si="91"/>
        <v>0</v>
      </c>
      <c r="AB169" s="17">
        <f t="shared" si="92"/>
        <v>0</v>
      </c>
      <c r="AC169" s="163" t="str">
        <f t="shared" si="93"/>
        <v/>
      </c>
      <c r="AD169" s="119"/>
      <c r="AE169" s="120"/>
      <c r="AF169" s="121"/>
      <c r="AG169" s="122"/>
      <c r="AH169" s="83"/>
      <c r="AI169" s="115"/>
      <c r="AJ169" s="116"/>
      <c r="AK169" s="83"/>
      <c r="AL169" s="85"/>
      <c r="AM169" s="254"/>
      <c r="AN169" s="254"/>
      <c r="AO169" s="255"/>
    </row>
    <row r="170" spans="2:41" x14ac:dyDescent="0.25">
      <c r="B170" s="321"/>
      <c r="C170" s="17"/>
      <c r="D170" s="273"/>
      <c r="E170" s="117"/>
      <c r="F170" s="4" t="str">
        <f t="shared" si="77"/>
        <v/>
      </c>
      <c r="G170" s="4" t="str">
        <f t="shared" si="78"/>
        <v/>
      </c>
      <c r="H170" s="4" t="str">
        <f t="shared" si="79"/>
        <v/>
      </c>
      <c r="I170" s="4" t="str">
        <f t="shared" si="80"/>
        <v/>
      </c>
      <c r="J170" s="247"/>
      <c r="K170" s="117"/>
      <c r="L170" s="4" t="str">
        <f t="shared" si="81"/>
        <v/>
      </c>
      <c r="M170" s="4" t="str">
        <f t="shared" si="82"/>
        <v/>
      </c>
      <c r="N170" s="4" t="str">
        <f t="shared" si="83"/>
        <v/>
      </c>
      <c r="O170" s="4" t="str">
        <f t="shared" si="84"/>
        <v/>
      </c>
      <c r="P170" s="247"/>
      <c r="Q170" s="117"/>
      <c r="R170" s="4" t="str">
        <f t="shared" si="85"/>
        <v/>
      </c>
      <c r="S170" s="4" t="str">
        <f t="shared" si="86"/>
        <v/>
      </c>
      <c r="T170" s="4" t="str">
        <f t="shared" si="87"/>
        <v/>
      </c>
      <c r="U170" s="4" t="str">
        <f t="shared" si="88"/>
        <v/>
      </c>
      <c r="V170" s="247"/>
      <c r="W170" s="67" t="str">
        <f t="shared" si="89"/>
        <v/>
      </c>
      <c r="X170" s="118"/>
      <c r="Z170" s="67" t="str">
        <f t="shared" si="90"/>
        <v/>
      </c>
      <c r="AA170" s="13">
        <f t="shared" si="91"/>
        <v>0</v>
      </c>
      <c r="AB170" s="17">
        <f t="shared" si="92"/>
        <v>0</v>
      </c>
      <c r="AC170" s="163" t="str">
        <f t="shared" si="93"/>
        <v/>
      </c>
      <c r="AD170" s="119"/>
      <c r="AE170" s="120"/>
      <c r="AF170" s="121"/>
      <c r="AG170" s="122"/>
      <c r="AH170" s="83"/>
      <c r="AI170" s="115"/>
      <c r="AJ170" s="116"/>
      <c r="AK170" s="83"/>
      <c r="AL170" s="85"/>
      <c r="AM170" s="254"/>
      <c r="AN170" s="254"/>
      <c r="AO170" s="255"/>
    </row>
    <row r="171" spans="2:41" x14ac:dyDescent="0.25">
      <c r="B171" s="321"/>
      <c r="C171" s="17"/>
      <c r="D171" s="273"/>
      <c r="E171" s="117"/>
      <c r="F171" s="4" t="str">
        <f t="shared" si="77"/>
        <v/>
      </c>
      <c r="G171" s="4" t="str">
        <f t="shared" si="78"/>
        <v/>
      </c>
      <c r="H171" s="4" t="str">
        <f t="shared" si="79"/>
        <v/>
      </c>
      <c r="I171" s="4" t="str">
        <f t="shared" si="80"/>
        <v/>
      </c>
      <c r="J171" s="247"/>
      <c r="K171" s="117"/>
      <c r="L171" s="4" t="str">
        <f t="shared" si="81"/>
        <v/>
      </c>
      <c r="M171" s="4" t="str">
        <f t="shared" si="82"/>
        <v/>
      </c>
      <c r="N171" s="4" t="str">
        <f t="shared" si="83"/>
        <v/>
      </c>
      <c r="O171" s="4" t="str">
        <f t="shared" si="84"/>
        <v/>
      </c>
      <c r="P171" s="247"/>
      <c r="Q171" s="117"/>
      <c r="R171" s="4" t="str">
        <f t="shared" si="85"/>
        <v/>
      </c>
      <c r="S171" s="4" t="str">
        <f t="shared" si="86"/>
        <v/>
      </c>
      <c r="T171" s="4" t="str">
        <f t="shared" si="87"/>
        <v/>
      </c>
      <c r="U171" s="4" t="str">
        <f t="shared" si="88"/>
        <v/>
      </c>
      <c r="V171" s="247"/>
      <c r="W171" s="67" t="str">
        <f t="shared" si="89"/>
        <v/>
      </c>
      <c r="X171" s="118"/>
      <c r="Z171" s="67" t="str">
        <f t="shared" si="90"/>
        <v/>
      </c>
      <c r="AA171" s="13">
        <f t="shared" si="91"/>
        <v>0</v>
      </c>
      <c r="AB171" s="17">
        <f t="shared" si="92"/>
        <v>0</v>
      </c>
      <c r="AC171" s="163" t="str">
        <f t="shared" si="93"/>
        <v/>
      </c>
      <c r="AD171" s="119"/>
      <c r="AE171" s="120"/>
      <c r="AF171" s="121"/>
      <c r="AG171" s="122"/>
      <c r="AH171" s="83"/>
      <c r="AI171" s="115"/>
      <c r="AJ171" s="116"/>
      <c r="AK171" s="83"/>
      <c r="AL171" s="85"/>
      <c r="AM171" s="254"/>
      <c r="AN171" s="254"/>
      <c r="AO171" s="255"/>
    </row>
    <row r="172" spans="2:41" x14ac:dyDescent="0.25">
      <c r="B172" s="321"/>
      <c r="C172" s="17"/>
      <c r="D172" s="273"/>
      <c r="E172" s="117"/>
      <c r="F172" s="4" t="str">
        <f t="shared" si="77"/>
        <v/>
      </c>
      <c r="G172" s="4" t="str">
        <f t="shared" si="78"/>
        <v/>
      </c>
      <c r="H172" s="4" t="str">
        <f t="shared" si="79"/>
        <v/>
      </c>
      <c r="I172" s="4" t="str">
        <f t="shared" si="80"/>
        <v/>
      </c>
      <c r="J172" s="247"/>
      <c r="K172" s="117"/>
      <c r="L172" s="4" t="str">
        <f t="shared" si="81"/>
        <v/>
      </c>
      <c r="M172" s="4" t="str">
        <f t="shared" si="82"/>
        <v/>
      </c>
      <c r="N172" s="4" t="str">
        <f t="shared" si="83"/>
        <v/>
      </c>
      <c r="O172" s="4" t="str">
        <f t="shared" si="84"/>
        <v/>
      </c>
      <c r="P172" s="247"/>
      <c r="Q172" s="117"/>
      <c r="R172" s="4" t="str">
        <f t="shared" si="85"/>
        <v/>
      </c>
      <c r="S172" s="4" t="str">
        <f t="shared" si="86"/>
        <v/>
      </c>
      <c r="T172" s="4" t="str">
        <f t="shared" si="87"/>
        <v/>
      </c>
      <c r="U172" s="4" t="str">
        <f t="shared" si="88"/>
        <v/>
      </c>
      <c r="V172" s="247"/>
      <c r="W172" s="67" t="str">
        <f t="shared" si="89"/>
        <v/>
      </c>
      <c r="X172" s="118"/>
      <c r="Z172" s="67" t="str">
        <f t="shared" si="90"/>
        <v/>
      </c>
      <c r="AA172" s="13">
        <f t="shared" si="91"/>
        <v>0</v>
      </c>
      <c r="AB172" s="17">
        <f t="shared" si="92"/>
        <v>0</v>
      </c>
      <c r="AC172" s="163" t="str">
        <f t="shared" si="93"/>
        <v/>
      </c>
      <c r="AD172" s="119"/>
      <c r="AE172" s="120"/>
      <c r="AF172" s="121"/>
      <c r="AG172" s="122"/>
      <c r="AH172" s="83"/>
      <c r="AI172" s="115"/>
      <c r="AJ172" s="116"/>
      <c r="AK172" s="83"/>
      <c r="AL172" s="85"/>
      <c r="AM172" s="254"/>
      <c r="AN172" s="254"/>
      <c r="AO172" s="255"/>
    </row>
    <row r="173" spans="2:41" x14ac:dyDescent="0.25">
      <c r="B173" s="321"/>
      <c r="C173" s="17"/>
      <c r="D173" s="273"/>
      <c r="E173" s="117"/>
      <c r="F173" s="4" t="str">
        <f t="shared" si="77"/>
        <v/>
      </c>
      <c r="G173" s="4" t="str">
        <f t="shared" si="78"/>
        <v/>
      </c>
      <c r="H173" s="4" t="str">
        <f t="shared" si="79"/>
        <v/>
      </c>
      <c r="I173" s="4" t="str">
        <f t="shared" si="80"/>
        <v/>
      </c>
      <c r="J173" s="247"/>
      <c r="K173" s="117"/>
      <c r="L173" s="4" t="str">
        <f t="shared" si="81"/>
        <v/>
      </c>
      <c r="M173" s="4" t="str">
        <f t="shared" si="82"/>
        <v/>
      </c>
      <c r="N173" s="4" t="str">
        <f t="shared" si="83"/>
        <v/>
      </c>
      <c r="O173" s="4" t="str">
        <f t="shared" si="84"/>
        <v/>
      </c>
      <c r="P173" s="247"/>
      <c r="Q173" s="117"/>
      <c r="R173" s="4" t="str">
        <f t="shared" si="85"/>
        <v/>
      </c>
      <c r="S173" s="4" t="str">
        <f t="shared" si="86"/>
        <v/>
      </c>
      <c r="T173" s="4" t="str">
        <f t="shared" si="87"/>
        <v/>
      </c>
      <c r="U173" s="4" t="str">
        <f t="shared" si="88"/>
        <v/>
      </c>
      <c r="V173" s="247"/>
      <c r="W173" s="67" t="str">
        <f t="shared" si="89"/>
        <v/>
      </c>
      <c r="X173" s="118"/>
      <c r="Z173" s="67" t="str">
        <f t="shared" si="90"/>
        <v/>
      </c>
      <c r="AA173" s="13">
        <f t="shared" si="91"/>
        <v>0</v>
      </c>
      <c r="AB173" s="17">
        <f t="shared" si="92"/>
        <v>0</v>
      </c>
      <c r="AC173" s="163" t="str">
        <f t="shared" si="93"/>
        <v/>
      </c>
      <c r="AD173" s="119"/>
      <c r="AE173" s="120"/>
      <c r="AF173" s="121"/>
      <c r="AG173" s="122"/>
      <c r="AH173" s="83"/>
      <c r="AI173" s="115"/>
      <c r="AJ173" s="116"/>
      <c r="AK173" s="83"/>
      <c r="AL173" s="85"/>
      <c r="AM173" s="254"/>
      <c r="AN173" s="254"/>
      <c r="AO173" s="255"/>
    </row>
    <row r="174" spans="2:41" x14ac:dyDescent="0.25">
      <c r="B174" s="321"/>
      <c r="C174" s="17"/>
      <c r="D174" s="273"/>
      <c r="E174" s="117"/>
      <c r="F174" s="4" t="str">
        <f t="shared" si="77"/>
        <v/>
      </c>
      <c r="G174" s="4" t="str">
        <f t="shared" si="78"/>
        <v/>
      </c>
      <c r="H174" s="4" t="str">
        <f t="shared" si="79"/>
        <v/>
      </c>
      <c r="I174" s="4" t="str">
        <f t="shared" si="80"/>
        <v/>
      </c>
      <c r="J174" s="247"/>
      <c r="K174" s="117"/>
      <c r="L174" s="4" t="str">
        <f t="shared" si="81"/>
        <v/>
      </c>
      <c r="M174" s="4" t="str">
        <f t="shared" si="82"/>
        <v/>
      </c>
      <c r="N174" s="4" t="str">
        <f t="shared" si="83"/>
        <v/>
      </c>
      <c r="O174" s="4" t="str">
        <f t="shared" si="84"/>
        <v/>
      </c>
      <c r="P174" s="247"/>
      <c r="Q174" s="117"/>
      <c r="R174" s="4" t="str">
        <f t="shared" si="85"/>
        <v/>
      </c>
      <c r="S174" s="4" t="str">
        <f t="shared" si="86"/>
        <v/>
      </c>
      <c r="T174" s="4" t="str">
        <f t="shared" si="87"/>
        <v/>
      </c>
      <c r="U174" s="4" t="str">
        <f t="shared" si="88"/>
        <v/>
      </c>
      <c r="V174" s="247"/>
      <c r="W174" s="67" t="str">
        <f t="shared" si="89"/>
        <v/>
      </c>
      <c r="X174" s="118"/>
      <c r="Z174" s="67" t="str">
        <f t="shared" si="90"/>
        <v/>
      </c>
      <c r="AA174" s="13">
        <f t="shared" si="91"/>
        <v>0</v>
      </c>
      <c r="AB174" s="17">
        <f t="shared" si="92"/>
        <v>0</v>
      </c>
      <c r="AC174" s="163" t="str">
        <f t="shared" si="93"/>
        <v/>
      </c>
      <c r="AD174" s="119"/>
      <c r="AE174" s="120"/>
      <c r="AF174" s="121"/>
      <c r="AG174" s="122"/>
      <c r="AH174" s="83"/>
      <c r="AI174" s="115"/>
      <c r="AJ174" s="116"/>
      <c r="AK174" s="83"/>
      <c r="AL174" s="85"/>
      <c r="AM174" s="254"/>
      <c r="AN174" s="254"/>
      <c r="AO174" s="255"/>
    </row>
    <row r="175" spans="2:41" x14ac:dyDescent="0.25">
      <c r="B175" s="321"/>
      <c r="C175" s="17"/>
      <c r="D175" s="273"/>
      <c r="E175" s="117"/>
      <c r="F175" s="4" t="str">
        <f t="shared" si="77"/>
        <v/>
      </c>
      <c r="G175" s="4" t="str">
        <f t="shared" si="78"/>
        <v/>
      </c>
      <c r="H175" s="4" t="str">
        <f t="shared" si="79"/>
        <v/>
      </c>
      <c r="I175" s="4" t="str">
        <f t="shared" si="80"/>
        <v/>
      </c>
      <c r="J175" s="247"/>
      <c r="K175" s="117"/>
      <c r="L175" s="4" t="str">
        <f t="shared" si="81"/>
        <v/>
      </c>
      <c r="M175" s="4" t="str">
        <f t="shared" si="82"/>
        <v/>
      </c>
      <c r="N175" s="4" t="str">
        <f t="shared" si="83"/>
        <v/>
      </c>
      <c r="O175" s="4" t="str">
        <f t="shared" si="84"/>
        <v/>
      </c>
      <c r="P175" s="247"/>
      <c r="Q175" s="117"/>
      <c r="R175" s="4" t="str">
        <f t="shared" si="85"/>
        <v/>
      </c>
      <c r="S175" s="4" t="str">
        <f t="shared" si="86"/>
        <v/>
      </c>
      <c r="T175" s="4" t="str">
        <f t="shared" si="87"/>
        <v/>
      </c>
      <c r="U175" s="4" t="str">
        <f t="shared" si="88"/>
        <v/>
      </c>
      <c r="V175" s="247"/>
      <c r="W175" s="67" t="str">
        <f t="shared" si="89"/>
        <v/>
      </c>
      <c r="X175" s="118"/>
      <c r="Z175" s="67" t="str">
        <f t="shared" si="90"/>
        <v/>
      </c>
      <c r="AA175" s="13">
        <f t="shared" si="91"/>
        <v>0</v>
      </c>
      <c r="AB175" s="17">
        <f t="shared" si="92"/>
        <v>0</v>
      </c>
      <c r="AC175" s="163" t="str">
        <f t="shared" si="93"/>
        <v/>
      </c>
      <c r="AD175" s="119"/>
      <c r="AE175" s="120"/>
      <c r="AF175" s="121"/>
      <c r="AG175" s="122"/>
      <c r="AH175" s="83"/>
      <c r="AI175" s="115"/>
      <c r="AJ175" s="116"/>
      <c r="AK175" s="83"/>
      <c r="AL175" s="85"/>
      <c r="AM175" s="254"/>
      <c r="AN175" s="254"/>
      <c r="AO175" s="255"/>
    </row>
    <row r="176" spans="2:41" x14ac:dyDescent="0.25">
      <c r="B176" s="321"/>
      <c r="C176" s="17"/>
      <c r="D176" s="273"/>
      <c r="E176" s="117"/>
      <c r="F176" s="4" t="str">
        <f t="shared" si="77"/>
        <v/>
      </c>
      <c r="G176" s="4" t="str">
        <f t="shared" si="78"/>
        <v/>
      </c>
      <c r="H176" s="4" t="str">
        <f t="shared" si="79"/>
        <v/>
      </c>
      <c r="I176" s="4" t="str">
        <f t="shared" si="80"/>
        <v/>
      </c>
      <c r="J176" s="247"/>
      <c r="K176" s="117"/>
      <c r="L176" s="4" t="str">
        <f t="shared" si="81"/>
        <v/>
      </c>
      <c r="M176" s="4" t="str">
        <f t="shared" si="82"/>
        <v/>
      </c>
      <c r="N176" s="4" t="str">
        <f t="shared" si="83"/>
        <v/>
      </c>
      <c r="O176" s="4" t="str">
        <f t="shared" si="84"/>
        <v/>
      </c>
      <c r="P176" s="247"/>
      <c r="Q176" s="117"/>
      <c r="R176" s="4" t="str">
        <f t="shared" si="85"/>
        <v/>
      </c>
      <c r="S176" s="4" t="str">
        <f t="shared" si="86"/>
        <v/>
      </c>
      <c r="T176" s="4" t="str">
        <f t="shared" si="87"/>
        <v/>
      </c>
      <c r="U176" s="4" t="str">
        <f t="shared" si="88"/>
        <v/>
      </c>
      <c r="V176" s="247"/>
      <c r="W176" s="67" t="str">
        <f t="shared" si="89"/>
        <v/>
      </c>
      <c r="X176" s="118"/>
      <c r="Z176" s="67" t="str">
        <f t="shared" si="90"/>
        <v/>
      </c>
      <c r="AA176" s="13">
        <f t="shared" si="91"/>
        <v>0</v>
      </c>
      <c r="AB176" s="17">
        <f t="shared" si="92"/>
        <v>0</v>
      </c>
      <c r="AC176" s="163" t="str">
        <f t="shared" si="93"/>
        <v/>
      </c>
      <c r="AD176" s="119"/>
      <c r="AE176" s="120"/>
      <c r="AF176" s="121"/>
      <c r="AG176" s="122"/>
      <c r="AH176" s="83"/>
      <c r="AI176" s="115"/>
      <c r="AJ176" s="116"/>
      <c r="AK176" s="83"/>
      <c r="AL176" s="85"/>
      <c r="AM176" s="254"/>
      <c r="AN176" s="254"/>
      <c r="AO176" s="255"/>
    </row>
    <row r="177" spans="2:41" x14ac:dyDescent="0.25">
      <c r="B177" s="321"/>
      <c r="C177" s="17"/>
      <c r="D177" s="273"/>
      <c r="E177" s="117"/>
      <c r="F177" s="4" t="str">
        <f t="shared" si="77"/>
        <v/>
      </c>
      <c r="G177" s="4" t="str">
        <f t="shared" si="78"/>
        <v/>
      </c>
      <c r="H177" s="4" t="str">
        <f t="shared" si="79"/>
        <v/>
      </c>
      <c r="I177" s="4" t="str">
        <f t="shared" si="80"/>
        <v/>
      </c>
      <c r="J177" s="247"/>
      <c r="K177" s="117"/>
      <c r="L177" s="4" t="str">
        <f t="shared" si="81"/>
        <v/>
      </c>
      <c r="M177" s="4" t="str">
        <f t="shared" si="82"/>
        <v/>
      </c>
      <c r="N177" s="4" t="str">
        <f t="shared" si="83"/>
        <v/>
      </c>
      <c r="O177" s="4" t="str">
        <f t="shared" si="84"/>
        <v/>
      </c>
      <c r="P177" s="247"/>
      <c r="Q177" s="117"/>
      <c r="R177" s="4" t="str">
        <f t="shared" si="85"/>
        <v/>
      </c>
      <c r="S177" s="4" t="str">
        <f t="shared" si="86"/>
        <v/>
      </c>
      <c r="T177" s="4" t="str">
        <f t="shared" si="87"/>
        <v/>
      </c>
      <c r="U177" s="4" t="str">
        <f t="shared" si="88"/>
        <v/>
      </c>
      <c r="V177" s="247"/>
      <c r="W177" s="67" t="str">
        <f t="shared" si="89"/>
        <v/>
      </c>
      <c r="X177" s="118"/>
      <c r="Z177" s="67" t="str">
        <f t="shared" si="90"/>
        <v/>
      </c>
      <c r="AA177" s="13">
        <f t="shared" si="91"/>
        <v>0</v>
      </c>
      <c r="AB177" s="17">
        <f t="shared" si="92"/>
        <v>0</v>
      </c>
      <c r="AC177" s="163" t="str">
        <f t="shared" si="93"/>
        <v/>
      </c>
      <c r="AD177" s="119"/>
      <c r="AE177" s="120"/>
      <c r="AF177" s="121"/>
      <c r="AG177" s="122"/>
      <c r="AH177" s="83"/>
      <c r="AI177" s="115"/>
      <c r="AJ177" s="116"/>
      <c r="AK177" s="83"/>
      <c r="AL177" s="85"/>
      <c r="AM177" s="254"/>
      <c r="AN177" s="254"/>
      <c r="AO177" s="255"/>
    </row>
    <row r="178" spans="2:41" x14ac:dyDescent="0.25">
      <c r="B178" s="321"/>
      <c r="C178" s="17"/>
      <c r="D178" s="273"/>
      <c r="E178" s="117"/>
      <c r="F178" s="4" t="str">
        <f t="shared" si="77"/>
        <v/>
      </c>
      <c r="G178" s="4" t="str">
        <f t="shared" si="78"/>
        <v/>
      </c>
      <c r="H178" s="4" t="str">
        <f t="shared" si="79"/>
        <v/>
      </c>
      <c r="I178" s="4" t="str">
        <f t="shared" si="80"/>
        <v/>
      </c>
      <c r="J178" s="247"/>
      <c r="K178" s="117"/>
      <c r="L178" s="4" t="str">
        <f t="shared" si="81"/>
        <v/>
      </c>
      <c r="M178" s="4" t="str">
        <f t="shared" si="82"/>
        <v/>
      </c>
      <c r="N178" s="4" t="str">
        <f t="shared" si="83"/>
        <v/>
      </c>
      <c r="O178" s="4" t="str">
        <f t="shared" si="84"/>
        <v/>
      </c>
      <c r="P178" s="247"/>
      <c r="Q178" s="117"/>
      <c r="R178" s="4" t="str">
        <f t="shared" si="85"/>
        <v/>
      </c>
      <c r="S178" s="4" t="str">
        <f t="shared" si="86"/>
        <v/>
      </c>
      <c r="T178" s="4" t="str">
        <f t="shared" si="87"/>
        <v/>
      </c>
      <c r="U178" s="4" t="str">
        <f t="shared" si="88"/>
        <v/>
      </c>
      <c r="V178" s="247"/>
      <c r="W178" s="67" t="str">
        <f t="shared" si="89"/>
        <v/>
      </c>
      <c r="X178" s="118"/>
      <c r="Z178" s="67" t="str">
        <f t="shared" si="90"/>
        <v/>
      </c>
      <c r="AA178" s="13">
        <f t="shared" si="91"/>
        <v>0</v>
      </c>
      <c r="AB178" s="17">
        <f t="shared" si="92"/>
        <v>0</v>
      </c>
      <c r="AC178" s="163" t="str">
        <f t="shared" si="93"/>
        <v/>
      </c>
      <c r="AD178" s="119"/>
      <c r="AE178" s="120"/>
      <c r="AF178" s="121"/>
      <c r="AG178" s="122"/>
      <c r="AH178" s="83"/>
      <c r="AI178" s="115"/>
      <c r="AJ178" s="116"/>
      <c r="AK178" s="83"/>
      <c r="AL178" s="85"/>
      <c r="AM178" s="254"/>
      <c r="AN178" s="254"/>
      <c r="AO178" s="255"/>
    </row>
    <row r="179" spans="2:41" x14ac:dyDescent="0.25">
      <c r="B179" s="321"/>
      <c r="C179" s="17"/>
      <c r="D179" s="273"/>
      <c r="E179" s="117"/>
      <c r="F179" s="4" t="str">
        <f t="shared" si="77"/>
        <v/>
      </c>
      <c r="G179" s="4" t="str">
        <f t="shared" si="78"/>
        <v/>
      </c>
      <c r="H179" s="4" t="str">
        <f t="shared" si="79"/>
        <v/>
      </c>
      <c r="I179" s="4" t="str">
        <f t="shared" si="80"/>
        <v/>
      </c>
      <c r="J179" s="247"/>
      <c r="K179" s="117"/>
      <c r="L179" s="4" t="str">
        <f t="shared" si="81"/>
        <v/>
      </c>
      <c r="M179" s="4" t="str">
        <f t="shared" si="82"/>
        <v/>
      </c>
      <c r="N179" s="4" t="str">
        <f t="shared" si="83"/>
        <v/>
      </c>
      <c r="O179" s="4" t="str">
        <f t="shared" si="84"/>
        <v/>
      </c>
      <c r="P179" s="247"/>
      <c r="Q179" s="117"/>
      <c r="R179" s="4" t="str">
        <f t="shared" si="85"/>
        <v/>
      </c>
      <c r="S179" s="4" t="str">
        <f t="shared" si="86"/>
        <v/>
      </c>
      <c r="T179" s="4" t="str">
        <f t="shared" si="87"/>
        <v/>
      </c>
      <c r="U179" s="4" t="str">
        <f t="shared" si="88"/>
        <v/>
      </c>
      <c r="V179" s="247"/>
      <c r="W179" s="67" t="str">
        <f t="shared" si="89"/>
        <v/>
      </c>
      <c r="X179" s="118"/>
      <c r="Z179" s="67" t="str">
        <f t="shared" si="90"/>
        <v/>
      </c>
      <c r="AA179" s="13">
        <f t="shared" si="91"/>
        <v>0</v>
      </c>
      <c r="AB179" s="17">
        <f t="shared" si="92"/>
        <v>0</v>
      </c>
      <c r="AC179" s="163" t="str">
        <f t="shared" si="93"/>
        <v/>
      </c>
      <c r="AD179" s="119"/>
      <c r="AE179" s="120"/>
      <c r="AF179" s="121"/>
      <c r="AG179" s="122"/>
      <c r="AH179" s="83"/>
      <c r="AI179" s="115"/>
      <c r="AJ179" s="116"/>
      <c r="AK179" s="83"/>
      <c r="AL179" s="85"/>
      <c r="AM179" s="254"/>
      <c r="AN179" s="254"/>
      <c r="AO179" s="255"/>
    </row>
    <row r="180" spans="2:41" x14ac:dyDescent="0.25">
      <c r="B180" s="321"/>
      <c r="C180" s="17"/>
      <c r="D180" s="273"/>
      <c r="E180" s="117"/>
      <c r="F180" s="4" t="str">
        <f t="shared" si="77"/>
        <v/>
      </c>
      <c r="G180" s="4" t="str">
        <f t="shared" si="78"/>
        <v/>
      </c>
      <c r="H180" s="4" t="str">
        <f t="shared" si="79"/>
        <v/>
      </c>
      <c r="I180" s="4" t="str">
        <f t="shared" si="80"/>
        <v/>
      </c>
      <c r="J180" s="247"/>
      <c r="K180" s="117"/>
      <c r="L180" s="4" t="str">
        <f t="shared" si="81"/>
        <v/>
      </c>
      <c r="M180" s="4" t="str">
        <f t="shared" si="82"/>
        <v/>
      </c>
      <c r="N180" s="4" t="str">
        <f t="shared" si="83"/>
        <v/>
      </c>
      <c r="O180" s="4" t="str">
        <f t="shared" si="84"/>
        <v/>
      </c>
      <c r="P180" s="247"/>
      <c r="Q180" s="117"/>
      <c r="R180" s="4" t="str">
        <f t="shared" si="85"/>
        <v/>
      </c>
      <c r="S180" s="4" t="str">
        <f t="shared" si="86"/>
        <v/>
      </c>
      <c r="T180" s="4" t="str">
        <f t="shared" si="87"/>
        <v/>
      </c>
      <c r="U180" s="4" t="str">
        <f t="shared" si="88"/>
        <v/>
      </c>
      <c r="V180" s="247"/>
      <c r="W180" s="67" t="str">
        <f t="shared" si="89"/>
        <v/>
      </c>
      <c r="X180" s="118"/>
      <c r="Z180" s="67" t="str">
        <f t="shared" si="90"/>
        <v/>
      </c>
      <c r="AA180" s="13">
        <f t="shared" si="91"/>
        <v>0</v>
      </c>
      <c r="AB180" s="17">
        <f t="shared" si="92"/>
        <v>0</v>
      </c>
      <c r="AC180" s="163" t="str">
        <f t="shared" si="93"/>
        <v/>
      </c>
      <c r="AD180" s="119"/>
      <c r="AE180" s="120"/>
      <c r="AF180" s="121"/>
      <c r="AG180" s="122"/>
      <c r="AH180" s="83"/>
      <c r="AI180" s="115"/>
      <c r="AJ180" s="116"/>
      <c r="AK180" s="83"/>
      <c r="AL180" s="85"/>
      <c r="AM180" s="254"/>
      <c r="AN180" s="254"/>
      <c r="AO180" s="255"/>
    </row>
    <row r="181" spans="2:41" x14ac:dyDescent="0.25">
      <c r="B181" s="321"/>
      <c r="C181" s="17"/>
      <c r="D181" s="273"/>
      <c r="E181" s="117"/>
      <c r="F181" s="4" t="str">
        <f t="shared" si="77"/>
        <v/>
      </c>
      <c r="G181" s="4" t="str">
        <f t="shared" si="78"/>
        <v/>
      </c>
      <c r="H181" s="4" t="str">
        <f t="shared" si="79"/>
        <v/>
      </c>
      <c r="I181" s="4" t="str">
        <f t="shared" si="80"/>
        <v/>
      </c>
      <c r="J181" s="247"/>
      <c r="K181" s="117"/>
      <c r="L181" s="4" t="str">
        <f t="shared" si="81"/>
        <v/>
      </c>
      <c r="M181" s="4" t="str">
        <f t="shared" si="82"/>
        <v/>
      </c>
      <c r="N181" s="4" t="str">
        <f t="shared" si="83"/>
        <v/>
      </c>
      <c r="O181" s="4" t="str">
        <f t="shared" si="84"/>
        <v/>
      </c>
      <c r="P181" s="247"/>
      <c r="Q181" s="117"/>
      <c r="R181" s="4" t="str">
        <f t="shared" si="85"/>
        <v/>
      </c>
      <c r="S181" s="4" t="str">
        <f t="shared" si="86"/>
        <v/>
      </c>
      <c r="T181" s="4" t="str">
        <f t="shared" si="87"/>
        <v/>
      </c>
      <c r="U181" s="4" t="str">
        <f t="shared" si="88"/>
        <v/>
      </c>
      <c r="V181" s="247"/>
      <c r="W181" s="67" t="str">
        <f t="shared" si="89"/>
        <v/>
      </c>
      <c r="X181" s="118"/>
      <c r="Z181" s="67" t="str">
        <f t="shared" si="90"/>
        <v/>
      </c>
      <c r="AA181" s="13">
        <f t="shared" si="91"/>
        <v>0</v>
      </c>
      <c r="AB181" s="17">
        <f t="shared" si="92"/>
        <v>0</v>
      </c>
      <c r="AC181" s="163" t="str">
        <f t="shared" si="93"/>
        <v/>
      </c>
      <c r="AD181" s="119"/>
      <c r="AE181" s="120"/>
      <c r="AF181" s="121"/>
      <c r="AG181" s="122"/>
      <c r="AH181" s="83"/>
      <c r="AI181" s="115"/>
      <c r="AJ181" s="116"/>
      <c r="AK181" s="83"/>
      <c r="AL181" s="85"/>
      <c r="AM181" s="254"/>
      <c r="AN181" s="254"/>
      <c r="AO181" s="255"/>
    </row>
    <row r="182" spans="2:41" x14ac:dyDescent="0.25">
      <c r="B182" s="321"/>
      <c r="C182" s="17"/>
      <c r="D182" s="273"/>
      <c r="E182" s="117"/>
      <c r="F182" s="4" t="str">
        <f t="shared" si="77"/>
        <v/>
      </c>
      <c r="G182" s="4" t="str">
        <f t="shared" si="78"/>
        <v/>
      </c>
      <c r="H182" s="4" t="str">
        <f t="shared" si="79"/>
        <v/>
      </c>
      <c r="I182" s="4" t="str">
        <f t="shared" si="80"/>
        <v/>
      </c>
      <c r="J182" s="247"/>
      <c r="K182" s="117"/>
      <c r="L182" s="4" t="str">
        <f t="shared" si="81"/>
        <v/>
      </c>
      <c r="M182" s="4" t="str">
        <f t="shared" si="82"/>
        <v/>
      </c>
      <c r="N182" s="4" t="str">
        <f t="shared" si="83"/>
        <v/>
      </c>
      <c r="O182" s="4" t="str">
        <f t="shared" si="84"/>
        <v/>
      </c>
      <c r="P182" s="247"/>
      <c r="Q182" s="117"/>
      <c r="R182" s="4" t="str">
        <f t="shared" si="85"/>
        <v/>
      </c>
      <c r="S182" s="4" t="str">
        <f t="shared" si="86"/>
        <v/>
      </c>
      <c r="T182" s="4" t="str">
        <f t="shared" si="87"/>
        <v/>
      </c>
      <c r="U182" s="4" t="str">
        <f t="shared" si="88"/>
        <v/>
      </c>
      <c r="V182" s="247"/>
      <c r="W182" s="67" t="str">
        <f t="shared" si="89"/>
        <v/>
      </c>
      <c r="X182" s="118"/>
      <c r="Z182" s="67" t="str">
        <f t="shared" si="90"/>
        <v/>
      </c>
      <c r="AA182" s="13">
        <f t="shared" si="91"/>
        <v>0</v>
      </c>
      <c r="AB182" s="17">
        <f t="shared" si="92"/>
        <v>0</v>
      </c>
      <c r="AC182" s="163" t="str">
        <f t="shared" si="93"/>
        <v/>
      </c>
      <c r="AD182" s="119"/>
      <c r="AE182" s="120"/>
      <c r="AF182" s="121"/>
      <c r="AG182" s="122"/>
      <c r="AH182" s="83"/>
      <c r="AI182" s="115"/>
      <c r="AJ182" s="116"/>
      <c r="AK182" s="83"/>
      <c r="AL182" s="85"/>
      <c r="AM182" s="254"/>
      <c r="AN182" s="254"/>
      <c r="AO182" s="255"/>
    </row>
    <row r="183" spans="2:41" x14ac:dyDescent="0.25">
      <c r="B183" s="321"/>
      <c r="C183" s="17"/>
      <c r="D183" s="273"/>
      <c r="E183" s="117"/>
      <c r="F183" s="4" t="str">
        <f t="shared" si="77"/>
        <v/>
      </c>
      <c r="G183" s="4" t="str">
        <f t="shared" si="78"/>
        <v/>
      </c>
      <c r="H183" s="4" t="str">
        <f t="shared" si="79"/>
        <v/>
      </c>
      <c r="I183" s="4" t="str">
        <f t="shared" si="80"/>
        <v/>
      </c>
      <c r="J183" s="247"/>
      <c r="K183" s="117"/>
      <c r="L183" s="4" t="str">
        <f t="shared" si="81"/>
        <v/>
      </c>
      <c r="M183" s="4" t="str">
        <f t="shared" si="82"/>
        <v/>
      </c>
      <c r="N183" s="4" t="str">
        <f t="shared" si="83"/>
        <v/>
      </c>
      <c r="O183" s="4" t="str">
        <f t="shared" si="84"/>
        <v/>
      </c>
      <c r="P183" s="247"/>
      <c r="Q183" s="117"/>
      <c r="R183" s="4" t="str">
        <f t="shared" si="85"/>
        <v/>
      </c>
      <c r="S183" s="4" t="str">
        <f t="shared" si="86"/>
        <v/>
      </c>
      <c r="T183" s="4" t="str">
        <f t="shared" si="87"/>
        <v/>
      </c>
      <c r="U183" s="4" t="str">
        <f t="shared" si="88"/>
        <v/>
      </c>
      <c r="V183" s="247"/>
      <c r="W183" s="67" t="str">
        <f t="shared" si="89"/>
        <v/>
      </c>
      <c r="X183" s="118"/>
      <c r="Z183" s="67" t="str">
        <f t="shared" si="90"/>
        <v/>
      </c>
      <c r="AA183" s="13">
        <f t="shared" si="91"/>
        <v>0</v>
      </c>
      <c r="AB183" s="17">
        <f t="shared" si="92"/>
        <v>0</v>
      </c>
      <c r="AC183" s="163" t="str">
        <f t="shared" si="93"/>
        <v/>
      </c>
      <c r="AD183" s="119"/>
      <c r="AE183" s="120"/>
      <c r="AF183" s="121"/>
      <c r="AG183" s="122"/>
      <c r="AH183" s="83"/>
      <c r="AI183" s="115"/>
      <c r="AJ183" s="116"/>
      <c r="AK183" s="83"/>
      <c r="AL183" s="85"/>
      <c r="AM183" s="254"/>
      <c r="AN183" s="254"/>
      <c r="AO183" s="255"/>
    </row>
    <row r="184" spans="2:41" x14ac:dyDescent="0.25">
      <c r="B184" s="321"/>
      <c r="C184" s="17"/>
      <c r="D184" s="273"/>
      <c r="E184" s="117"/>
      <c r="F184" s="4" t="str">
        <f t="shared" si="77"/>
        <v/>
      </c>
      <c r="G184" s="4" t="str">
        <f t="shared" si="78"/>
        <v/>
      </c>
      <c r="H184" s="4" t="str">
        <f t="shared" si="79"/>
        <v/>
      </c>
      <c r="I184" s="4" t="str">
        <f t="shared" si="80"/>
        <v/>
      </c>
      <c r="J184" s="247"/>
      <c r="K184" s="117"/>
      <c r="L184" s="4" t="str">
        <f t="shared" si="81"/>
        <v/>
      </c>
      <c r="M184" s="4" t="str">
        <f t="shared" si="82"/>
        <v/>
      </c>
      <c r="N184" s="4" t="str">
        <f t="shared" si="83"/>
        <v/>
      </c>
      <c r="O184" s="4" t="str">
        <f t="shared" si="84"/>
        <v/>
      </c>
      <c r="P184" s="247"/>
      <c r="Q184" s="117"/>
      <c r="R184" s="4" t="str">
        <f t="shared" si="85"/>
        <v/>
      </c>
      <c r="S184" s="4" t="str">
        <f t="shared" si="86"/>
        <v/>
      </c>
      <c r="T184" s="4" t="str">
        <f t="shared" si="87"/>
        <v/>
      </c>
      <c r="U184" s="4" t="str">
        <f t="shared" si="88"/>
        <v/>
      </c>
      <c r="V184" s="247"/>
      <c r="W184" s="67" t="str">
        <f t="shared" si="89"/>
        <v/>
      </c>
      <c r="X184" s="118"/>
      <c r="Z184" s="67" t="str">
        <f t="shared" si="90"/>
        <v/>
      </c>
      <c r="AA184" s="13">
        <f t="shared" si="91"/>
        <v>0</v>
      </c>
      <c r="AB184" s="17">
        <f t="shared" si="92"/>
        <v>0</v>
      </c>
      <c r="AC184" s="163" t="str">
        <f t="shared" si="93"/>
        <v/>
      </c>
      <c r="AD184" s="119"/>
      <c r="AE184" s="120"/>
      <c r="AF184" s="121"/>
      <c r="AG184" s="122"/>
      <c r="AH184" s="83"/>
      <c r="AI184" s="115"/>
      <c r="AJ184" s="116"/>
      <c r="AK184" s="83"/>
      <c r="AL184" s="85"/>
      <c r="AM184" s="254"/>
      <c r="AN184" s="254"/>
      <c r="AO184" s="255"/>
    </row>
    <row r="185" spans="2:41" x14ac:dyDescent="0.25">
      <c r="B185" s="321"/>
      <c r="C185" s="17"/>
      <c r="D185" s="273"/>
      <c r="E185" s="117"/>
      <c r="F185" s="4" t="str">
        <f t="shared" si="77"/>
        <v/>
      </c>
      <c r="G185" s="4" t="str">
        <f t="shared" si="78"/>
        <v/>
      </c>
      <c r="H185" s="4" t="str">
        <f t="shared" si="79"/>
        <v/>
      </c>
      <c r="I185" s="4" t="str">
        <f t="shared" si="80"/>
        <v/>
      </c>
      <c r="J185" s="247"/>
      <c r="K185" s="117"/>
      <c r="L185" s="4" t="str">
        <f t="shared" si="81"/>
        <v/>
      </c>
      <c r="M185" s="4" t="str">
        <f t="shared" si="82"/>
        <v/>
      </c>
      <c r="N185" s="4" t="str">
        <f t="shared" si="83"/>
        <v/>
      </c>
      <c r="O185" s="4" t="str">
        <f t="shared" si="84"/>
        <v/>
      </c>
      <c r="P185" s="247"/>
      <c r="Q185" s="117"/>
      <c r="R185" s="4" t="str">
        <f t="shared" si="85"/>
        <v/>
      </c>
      <c r="S185" s="4" t="str">
        <f t="shared" si="86"/>
        <v/>
      </c>
      <c r="T185" s="4" t="str">
        <f t="shared" si="87"/>
        <v/>
      </c>
      <c r="U185" s="4" t="str">
        <f t="shared" si="88"/>
        <v/>
      </c>
      <c r="V185" s="247"/>
      <c r="W185" s="67" t="str">
        <f t="shared" si="89"/>
        <v/>
      </c>
      <c r="X185" s="118"/>
      <c r="Z185" s="67" t="str">
        <f t="shared" si="90"/>
        <v/>
      </c>
      <c r="AA185" s="13">
        <f t="shared" si="91"/>
        <v>0</v>
      </c>
      <c r="AB185" s="17">
        <f t="shared" si="92"/>
        <v>0</v>
      </c>
      <c r="AC185" s="163" t="str">
        <f t="shared" si="93"/>
        <v/>
      </c>
      <c r="AD185" s="119"/>
      <c r="AE185" s="120"/>
      <c r="AF185" s="121"/>
      <c r="AG185" s="122"/>
      <c r="AH185" s="83"/>
      <c r="AI185" s="115"/>
      <c r="AJ185" s="116"/>
      <c r="AK185" s="83"/>
      <c r="AL185" s="85"/>
      <c r="AM185" s="254"/>
      <c r="AN185" s="254"/>
      <c r="AO185" s="255"/>
    </row>
    <row r="186" spans="2:41" x14ac:dyDescent="0.25">
      <c r="B186" s="321"/>
      <c r="C186" s="17"/>
      <c r="D186" s="273"/>
      <c r="E186" s="117"/>
      <c r="F186" s="4" t="str">
        <f t="shared" si="77"/>
        <v/>
      </c>
      <c r="G186" s="4" t="str">
        <f t="shared" si="78"/>
        <v/>
      </c>
      <c r="H186" s="4" t="str">
        <f t="shared" si="79"/>
        <v/>
      </c>
      <c r="I186" s="4" t="str">
        <f t="shared" si="80"/>
        <v/>
      </c>
      <c r="J186" s="247"/>
      <c r="K186" s="117"/>
      <c r="L186" s="4" t="str">
        <f t="shared" si="81"/>
        <v/>
      </c>
      <c r="M186" s="4" t="str">
        <f t="shared" si="82"/>
        <v/>
      </c>
      <c r="N186" s="4" t="str">
        <f t="shared" si="83"/>
        <v/>
      </c>
      <c r="O186" s="4" t="str">
        <f t="shared" si="84"/>
        <v/>
      </c>
      <c r="P186" s="247"/>
      <c r="Q186" s="117"/>
      <c r="R186" s="4" t="str">
        <f t="shared" si="85"/>
        <v/>
      </c>
      <c r="S186" s="4" t="str">
        <f t="shared" si="86"/>
        <v/>
      </c>
      <c r="T186" s="4" t="str">
        <f t="shared" si="87"/>
        <v/>
      </c>
      <c r="U186" s="4" t="str">
        <f t="shared" si="88"/>
        <v/>
      </c>
      <c r="V186" s="247"/>
      <c r="W186" s="67" t="str">
        <f t="shared" si="89"/>
        <v/>
      </c>
      <c r="X186" s="118"/>
      <c r="Z186" s="67" t="str">
        <f t="shared" si="90"/>
        <v/>
      </c>
      <c r="AA186" s="13">
        <f t="shared" si="91"/>
        <v>0</v>
      </c>
      <c r="AB186" s="17">
        <f t="shared" si="92"/>
        <v>0</v>
      </c>
      <c r="AC186" s="163" t="str">
        <f t="shared" si="93"/>
        <v/>
      </c>
      <c r="AD186" s="119"/>
      <c r="AE186" s="120"/>
      <c r="AF186" s="121"/>
      <c r="AG186" s="122"/>
      <c r="AH186" s="83"/>
      <c r="AI186" s="115"/>
      <c r="AJ186" s="116"/>
      <c r="AK186" s="83"/>
      <c r="AL186" s="85"/>
      <c r="AM186" s="254"/>
      <c r="AN186" s="254"/>
      <c r="AO186" s="255"/>
    </row>
    <row r="187" spans="2:41" x14ac:dyDescent="0.25">
      <c r="B187" s="321"/>
      <c r="C187" s="17"/>
      <c r="D187" s="23"/>
      <c r="E187" s="117"/>
      <c r="F187" s="4" t="str">
        <f t="shared" si="77"/>
        <v/>
      </c>
      <c r="G187" s="4" t="str">
        <f t="shared" si="78"/>
        <v/>
      </c>
      <c r="H187" s="4" t="str">
        <f t="shared" si="79"/>
        <v/>
      </c>
      <c r="I187" s="4" t="str">
        <f t="shared" si="80"/>
        <v/>
      </c>
      <c r="J187" s="247"/>
      <c r="K187" s="117"/>
      <c r="L187" s="4" t="str">
        <f t="shared" si="81"/>
        <v/>
      </c>
      <c r="M187" s="4" t="str">
        <f t="shared" si="82"/>
        <v/>
      </c>
      <c r="N187" s="4" t="str">
        <f t="shared" si="83"/>
        <v/>
      </c>
      <c r="O187" s="4" t="str">
        <f t="shared" si="84"/>
        <v/>
      </c>
      <c r="P187" s="247"/>
      <c r="Q187" s="117"/>
      <c r="R187" s="4" t="str">
        <f t="shared" si="85"/>
        <v/>
      </c>
      <c r="S187" s="4" t="str">
        <f t="shared" si="86"/>
        <v/>
      </c>
      <c r="T187" s="4" t="str">
        <f t="shared" si="87"/>
        <v/>
      </c>
      <c r="U187" s="4" t="str">
        <f t="shared" si="88"/>
        <v/>
      </c>
      <c r="V187" s="247"/>
      <c r="W187" s="67" t="str">
        <f t="shared" si="89"/>
        <v/>
      </c>
      <c r="X187" s="118"/>
      <c r="Z187" s="67" t="str">
        <f t="shared" si="90"/>
        <v/>
      </c>
      <c r="AA187" s="13">
        <f t="shared" si="91"/>
        <v>0</v>
      </c>
      <c r="AB187" s="17">
        <f t="shared" si="92"/>
        <v>0</v>
      </c>
      <c r="AC187" s="163" t="str">
        <f t="shared" si="93"/>
        <v/>
      </c>
      <c r="AD187" s="119"/>
      <c r="AE187" s="120"/>
      <c r="AF187" s="121"/>
      <c r="AG187" s="122"/>
      <c r="AH187" s="83"/>
      <c r="AI187" s="115"/>
      <c r="AJ187" s="116"/>
      <c r="AK187" s="83"/>
      <c r="AL187" s="85"/>
      <c r="AM187" s="254"/>
      <c r="AN187" s="254"/>
      <c r="AO187" s="255"/>
    </row>
    <row r="188" spans="2:41" x14ac:dyDescent="0.25">
      <c r="B188" s="321"/>
      <c r="C188" s="17"/>
      <c r="D188" s="273"/>
      <c r="E188" s="117"/>
      <c r="F188" s="4" t="str">
        <f t="shared" ref="F188:F251" si="116">IFERROR(IF(VLOOKUP($E188,Inward,2,FALSE)&gt;0,VLOOKUP($E188,Inward,2,FALSE),""),"")</f>
        <v/>
      </c>
      <c r="G188" s="4" t="str">
        <f t="shared" ref="G188:G251" si="117">IFERROR(IF(VLOOKUP($E188,Inward,7,FALSE)&gt;0,VLOOKUP($E188,Inward,7,FALSE),""),"")</f>
        <v/>
      </c>
      <c r="H188" s="4" t="str">
        <f t="shared" ref="H188:H251" si="118">IFERROR(IF(VLOOKUP($E188,Inward,8,FALSE)&gt;0,VLOOKUP($E188,Inward,8,FALSE),""),"")</f>
        <v/>
      </c>
      <c r="I188" s="4" t="str">
        <f t="shared" ref="I188:I251" si="119">IFERROR(IF(VLOOKUP($E188,Inward,11,FALSE)&gt;0,VLOOKUP($E188,Inward,11,FALSE),""),"")</f>
        <v/>
      </c>
      <c r="J188" s="247"/>
      <c r="K188" s="117"/>
      <c r="L188" s="4" t="str">
        <f t="shared" ref="L188:L251" si="120">IFERROR(IF(VLOOKUP($K188,Inward,2,FALSE)&gt;0,VLOOKUP($K188,Inward,2,FALSE),""),"")</f>
        <v/>
      </c>
      <c r="M188" s="4" t="str">
        <f t="shared" ref="M188:M251" si="121">IFERROR(IF(VLOOKUP($K188,Inward,7,FALSE)&gt;0,VLOOKUP($K188,Inward,7,FALSE),""),"")</f>
        <v/>
      </c>
      <c r="N188" s="4" t="str">
        <f t="shared" ref="N188:N251" si="122">IFERROR(IF(VLOOKUP($K188,Inward,8,FALSE)&gt;0,VLOOKUP($K188,Inward,8,FALSE),""),"")</f>
        <v/>
      </c>
      <c r="O188" s="4" t="str">
        <f t="shared" ref="O188:O251" si="123">IFERROR(IF(VLOOKUP($K188,Inward,11,FALSE)&gt;0,VLOOKUP($K188,Inward,11,FALSE),""),"")</f>
        <v/>
      </c>
      <c r="P188" s="247"/>
      <c r="Q188" s="117"/>
      <c r="R188" s="4" t="str">
        <f t="shared" ref="R188:R251" si="124">IFERROR(IF(VLOOKUP($Q188,Inward,2,FALSE)&gt;0,VLOOKUP($Q188,Inward,2,FALSE),""),"")</f>
        <v/>
      </c>
      <c r="S188" s="4" t="str">
        <f t="shared" ref="S188:S251" si="125">IFERROR(IF(VLOOKUP($Q188,Inward,7,FALSE)&gt;0,VLOOKUP($Q188,Inward,7,FALSE),""),"")</f>
        <v/>
      </c>
      <c r="T188" s="4" t="str">
        <f t="shared" ref="T188:T251" si="126">IFERROR(IF(VLOOKUP($Q188,Inward,8,FALSE)&gt;0,VLOOKUP($Q188,Inward,8,FALSE),""),"")</f>
        <v/>
      </c>
      <c r="U188" s="4" t="str">
        <f t="shared" ref="U188:U251" si="127">IFERROR(IF(VLOOKUP($Q188,Inward,11,FALSE)&gt;0,VLOOKUP($Q188,Inward,11,FALSE),""),"")</f>
        <v/>
      </c>
      <c r="V188" s="247"/>
      <c r="W188" s="67" t="str">
        <f t="shared" ref="W188:W251" si="128">IF(SUM(I188,O188,U188)&gt;0,(SUM(I188,O188,U188)),"")</f>
        <v/>
      </c>
      <c r="X188" s="118"/>
      <c r="Z188" s="67" t="str">
        <f t="shared" ref="Z188:Z251" si="129">IF(SUM(W188,Y188)&gt;0,(SUM(W188,Y188)),"")</f>
        <v/>
      </c>
      <c r="AA188" s="13">
        <f t="shared" ref="AA188:AA251" si="130">B188</f>
        <v>0</v>
      </c>
      <c r="AB188" s="17">
        <f t="shared" ref="AB188:AB251" si="131">C188</f>
        <v>0</v>
      </c>
      <c r="AC188" s="163" t="str">
        <f t="shared" ref="AC188:AC251" si="132">F188</f>
        <v/>
      </c>
      <c r="AD188" s="119"/>
      <c r="AE188" s="120"/>
      <c r="AF188" s="121"/>
      <c r="AG188" s="122"/>
      <c r="AH188" s="83"/>
      <c r="AI188" s="115"/>
      <c r="AJ188" s="116"/>
      <c r="AK188" s="83"/>
      <c r="AL188" s="85"/>
      <c r="AM188" s="254"/>
      <c r="AN188" s="254"/>
      <c r="AO188" s="255"/>
    </row>
    <row r="189" spans="2:41" x14ac:dyDescent="0.25">
      <c r="B189" s="321"/>
      <c r="C189" s="17"/>
      <c r="D189" s="273"/>
      <c r="E189" s="117"/>
      <c r="F189" s="4" t="str">
        <f t="shared" si="116"/>
        <v/>
      </c>
      <c r="G189" s="4" t="str">
        <f t="shared" si="117"/>
        <v/>
      </c>
      <c r="H189" s="4" t="str">
        <f t="shared" si="118"/>
        <v/>
      </c>
      <c r="I189" s="4" t="str">
        <f t="shared" si="119"/>
        <v/>
      </c>
      <c r="J189" s="247"/>
      <c r="K189" s="117"/>
      <c r="L189" s="4" t="str">
        <f t="shared" si="120"/>
        <v/>
      </c>
      <c r="M189" s="4" t="str">
        <f t="shared" si="121"/>
        <v/>
      </c>
      <c r="N189" s="4" t="str">
        <f t="shared" si="122"/>
        <v/>
      </c>
      <c r="O189" s="4" t="str">
        <f t="shared" si="123"/>
        <v/>
      </c>
      <c r="P189" s="247"/>
      <c r="Q189" s="117"/>
      <c r="R189" s="4" t="str">
        <f t="shared" si="124"/>
        <v/>
      </c>
      <c r="S189" s="4" t="str">
        <f t="shared" si="125"/>
        <v/>
      </c>
      <c r="T189" s="4" t="str">
        <f t="shared" si="126"/>
        <v/>
      </c>
      <c r="U189" s="4" t="str">
        <f t="shared" si="127"/>
        <v/>
      </c>
      <c r="V189" s="247"/>
      <c r="W189" s="67" t="str">
        <f t="shared" si="128"/>
        <v/>
      </c>
      <c r="X189" s="118"/>
      <c r="Z189" s="67" t="str">
        <f t="shared" si="129"/>
        <v/>
      </c>
      <c r="AA189" s="13">
        <f t="shared" si="130"/>
        <v>0</v>
      </c>
      <c r="AB189" s="17">
        <f t="shared" si="131"/>
        <v>0</v>
      </c>
      <c r="AC189" s="163" t="str">
        <f t="shared" si="132"/>
        <v/>
      </c>
      <c r="AD189" s="119"/>
      <c r="AE189" s="120"/>
      <c r="AF189" s="121"/>
      <c r="AG189" s="122"/>
      <c r="AH189" s="83"/>
      <c r="AI189" s="115"/>
      <c r="AJ189" s="116"/>
      <c r="AK189" s="83"/>
      <c r="AL189" s="85"/>
      <c r="AM189" s="254"/>
      <c r="AN189" s="254"/>
      <c r="AO189" s="255"/>
    </row>
    <row r="190" spans="2:41" x14ac:dyDescent="0.25">
      <c r="B190" s="321"/>
      <c r="C190" s="17"/>
      <c r="D190" s="273"/>
      <c r="E190" s="117"/>
      <c r="F190" s="4" t="str">
        <f t="shared" si="116"/>
        <v/>
      </c>
      <c r="G190" s="4" t="str">
        <f t="shared" si="117"/>
        <v/>
      </c>
      <c r="H190" s="4" t="str">
        <f t="shared" si="118"/>
        <v/>
      </c>
      <c r="I190" s="4" t="str">
        <f t="shared" si="119"/>
        <v/>
      </c>
      <c r="J190" s="247"/>
      <c r="K190" s="117"/>
      <c r="L190" s="4" t="str">
        <f t="shared" si="120"/>
        <v/>
      </c>
      <c r="M190" s="4" t="str">
        <f t="shared" si="121"/>
        <v/>
      </c>
      <c r="N190" s="4" t="str">
        <f t="shared" si="122"/>
        <v/>
      </c>
      <c r="O190" s="4" t="str">
        <f t="shared" si="123"/>
        <v/>
      </c>
      <c r="P190" s="247"/>
      <c r="Q190" s="117"/>
      <c r="R190" s="4" t="str">
        <f t="shared" si="124"/>
        <v/>
      </c>
      <c r="S190" s="4" t="str">
        <f t="shared" si="125"/>
        <v/>
      </c>
      <c r="T190" s="4" t="str">
        <f t="shared" si="126"/>
        <v/>
      </c>
      <c r="U190" s="4" t="str">
        <f t="shared" si="127"/>
        <v/>
      </c>
      <c r="V190" s="247"/>
      <c r="W190" s="67" t="str">
        <f t="shared" si="128"/>
        <v/>
      </c>
      <c r="X190" s="118"/>
      <c r="Z190" s="67" t="str">
        <f t="shared" si="129"/>
        <v/>
      </c>
      <c r="AA190" s="13">
        <f t="shared" si="130"/>
        <v>0</v>
      </c>
      <c r="AB190" s="17">
        <f t="shared" si="131"/>
        <v>0</v>
      </c>
      <c r="AC190" s="163" t="str">
        <f t="shared" si="132"/>
        <v/>
      </c>
      <c r="AD190" s="119"/>
      <c r="AE190" s="120"/>
      <c r="AF190" s="121"/>
      <c r="AG190" s="122"/>
      <c r="AH190" s="83"/>
      <c r="AI190" s="115"/>
      <c r="AJ190" s="116"/>
      <c r="AK190" s="83"/>
      <c r="AL190" s="85"/>
      <c r="AM190" s="254"/>
      <c r="AN190" s="254"/>
      <c r="AO190" s="255"/>
    </row>
    <row r="191" spans="2:41" x14ac:dyDescent="0.25">
      <c r="B191" s="321"/>
      <c r="C191" s="17"/>
      <c r="D191" s="273"/>
      <c r="E191" s="117"/>
      <c r="F191" s="4" t="str">
        <f t="shared" si="116"/>
        <v/>
      </c>
      <c r="G191" s="4" t="str">
        <f t="shared" si="117"/>
        <v/>
      </c>
      <c r="H191" s="4" t="str">
        <f t="shared" si="118"/>
        <v/>
      </c>
      <c r="I191" s="4" t="str">
        <f t="shared" si="119"/>
        <v/>
      </c>
      <c r="J191" s="247"/>
      <c r="K191" s="117"/>
      <c r="L191" s="4" t="str">
        <f t="shared" si="120"/>
        <v/>
      </c>
      <c r="M191" s="4" t="str">
        <f t="shared" si="121"/>
        <v/>
      </c>
      <c r="N191" s="4" t="str">
        <f t="shared" si="122"/>
        <v/>
      </c>
      <c r="O191" s="4" t="str">
        <f t="shared" si="123"/>
        <v/>
      </c>
      <c r="P191" s="247"/>
      <c r="Q191" s="117"/>
      <c r="R191" s="4" t="str">
        <f t="shared" si="124"/>
        <v/>
      </c>
      <c r="S191" s="4" t="str">
        <f t="shared" si="125"/>
        <v/>
      </c>
      <c r="T191" s="4" t="str">
        <f t="shared" si="126"/>
        <v/>
      </c>
      <c r="U191" s="4" t="str">
        <f t="shared" si="127"/>
        <v/>
      </c>
      <c r="V191" s="247"/>
      <c r="W191" s="67" t="str">
        <f t="shared" si="128"/>
        <v/>
      </c>
      <c r="X191" s="118"/>
      <c r="Y191" s="4"/>
      <c r="Z191" s="67" t="str">
        <f t="shared" si="129"/>
        <v/>
      </c>
      <c r="AA191" s="13">
        <f t="shared" si="130"/>
        <v>0</v>
      </c>
      <c r="AB191" s="17">
        <f t="shared" si="131"/>
        <v>0</v>
      </c>
      <c r="AC191" s="163" t="str">
        <f t="shared" si="132"/>
        <v/>
      </c>
      <c r="AD191" s="119"/>
      <c r="AE191" s="120"/>
      <c r="AF191" s="121"/>
      <c r="AG191" s="122"/>
      <c r="AH191" s="83"/>
      <c r="AI191" s="115"/>
      <c r="AJ191" s="116"/>
      <c r="AK191" s="83"/>
      <c r="AL191" s="85"/>
      <c r="AM191" s="254"/>
      <c r="AN191" s="254"/>
      <c r="AO191" s="255"/>
    </row>
    <row r="192" spans="2:41" x14ac:dyDescent="0.25">
      <c r="B192" s="321"/>
      <c r="C192" s="17"/>
      <c r="D192" s="273"/>
      <c r="E192" s="117"/>
      <c r="F192" s="4" t="str">
        <f t="shared" si="116"/>
        <v/>
      </c>
      <c r="G192" s="4" t="str">
        <f t="shared" si="117"/>
        <v/>
      </c>
      <c r="H192" s="4" t="str">
        <f t="shared" si="118"/>
        <v/>
      </c>
      <c r="I192" s="4" t="str">
        <f t="shared" si="119"/>
        <v/>
      </c>
      <c r="J192" s="247"/>
      <c r="K192" s="117"/>
      <c r="L192" s="4" t="str">
        <f t="shared" si="120"/>
        <v/>
      </c>
      <c r="M192" s="4" t="str">
        <f t="shared" si="121"/>
        <v/>
      </c>
      <c r="N192" s="4" t="str">
        <f t="shared" si="122"/>
        <v/>
      </c>
      <c r="O192" s="4" t="str">
        <f t="shared" si="123"/>
        <v/>
      </c>
      <c r="P192" s="247"/>
      <c r="Q192" s="117"/>
      <c r="R192" s="4" t="str">
        <f t="shared" si="124"/>
        <v/>
      </c>
      <c r="S192" s="4" t="str">
        <f t="shared" si="125"/>
        <v/>
      </c>
      <c r="T192" s="4" t="str">
        <f t="shared" si="126"/>
        <v/>
      </c>
      <c r="U192" s="4" t="str">
        <f t="shared" si="127"/>
        <v/>
      </c>
      <c r="V192" s="247"/>
      <c r="W192" s="67" t="str">
        <f t="shared" si="128"/>
        <v/>
      </c>
      <c r="X192" s="118"/>
      <c r="Y192" s="4"/>
      <c r="Z192" s="67" t="str">
        <f t="shared" si="129"/>
        <v/>
      </c>
      <c r="AA192" s="13">
        <f t="shared" si="130"/>
        <v>0</v>
      </c>
      <c r="AB192" s="17">
        <f t="shared" si="131"/>
        <v>0</v>
      </c>
      <c r="AC192" s="163" t="str">
        <f t="shared" si="132"/>
        <v/>
      </c>
      <c r="AD192" s="119"/>
      <c r="AE192" s="120"/>
      <c r="AF192" s="121"/>
      <c r="AG192" s="122"/>
      <c r="AH192" s="83"/>
      <c r="AI192" s="115"/>
      <c r="AJ192" s="116"/>
      <c r="AK192" s="83"/>
      <c r="AL192" s="85"/>
      <c r="AM192" s="254"/>
      <c r="AN192" s="254"/>
      <c r="AO192" s="255"/>
    </row>
    <row r="193" spans="2:41" x14ac:dyDescent="0.25">
      <c r="B193" s="321"/>
      <c r="C193" s="17"/>
      <c r="D193" s="273"/>
      <c r="E193" s="117"/>
      <c r="F193" s="4" t="str">
        <f t="shared" si="116"/>
        <v/>
      </c>
      <c r="G193" s="4" t="str">
        <f t="shared" si="117"/>
        <v/>
      </c>
      <c r="H193" s="4" t="str">
        <f t="shared" si="118"/>
        <v/>
      </c>
      <c r="I193" s="4" t="str">
        <f t="shared" si="119"/>
        <v/>
      </c>
      <c r="J193" s="247"/>
      <c r="K193" s="117"/>
      <c r="L193" s="4" t="str">
        <f t="shared" si="120"/>
        <v/>
      </c>
      <c r="M193" s="4" t="str">
        <f t="shared" si="121"/>
        <v/>
      </c>
      <c r="N193" s="4" t="str">
        <f t="shared" si="122"/>
        <v/>
      </c>
      <c r="O193" s="4" t="str">
        <f t="shared" si="123"/>
        <v/>
      </c>
      <c r="P193" s="247"/>
      <c r="Q193" s="117"/>
      <c r="R193" s="4" t="str">
        <f t="shared" si="124"/>
        <v/>
      </c>
      <c r="S193" s="4" t="str">
        <f t="shared" si="125"/>
        <v/>
      </c>
      <c r="T193" s="4" t="str">
        <f t="shared" si="126"/>
        <v/>
      </c>
      <c r="U193" s="4" t="str">
        <f t="shared" si="127"/>
        <v/>
      </c>
      <c r="V193" s="247"/>
      <c r="W193" s="67" t="str">
        <f t="shared" si="128"/>
        <v/>
      </c>
      <c r="X193" s="118"/>
      <c r="Y193" s="4"/>
      <c r="Z193" s="67" t="str">
        <f t="shared" si="129"/>
        <v/>
      </c>
      <c r="AA193" s="13">
        <f t="shared" si="130"/>
        <v>0</v>
      </c>
      <c r="AB193" s="17">
        <f t="shared" si="131"/>
        <v>0</v>
      </c>
      <c r="AC193" s="163" t="str">
        <f t="shared" si="132"/>
        <v/>
      </c>
      <c r="AD193" s="119"/>
      <c r="AE193" s="120"/>
      <c r="AF193" s="121"/>
      <c r="AG193" s="122"/>
      <c r="AH193" s="83"/>
      <c r="AI193" s="115"/>
      <c r="AJ193" s="116"/>
      <c r="AK193" s="83"/>
      <c r="AL193" s="85"/>
      <c r="AM193" s="254"/>
      <c r="AN193" s="254"/>
      <c r="AO193" s="255"/>
    </row>
    <row r="194" spans="2:41" x14ac:dyDescent="0.25">
      <c r="B194" s="321"/>
      <c r="C194" s="17"/>
      <c r="D194" s="273"/>
      <c r="E194" s="117"/>
      <c r="F194" s="4" t="str">
        <f t="shared" si="116"/>
        <v/>
      </c>
      <c r="G194" s="4" t="str">
        <f t="shared" si="117"/>
        <v/>
      </c>
      <c r="H194" s="4" t="str">
        <f t="shared" si="118"/>
        <v/>
      </c>
      <c r="I194" s="4" t="str">
        <f t="shared" si="119"/>
        <v/>
      </c>
      <c r="J194" s="247"/>
      <c r="K194" s="117"/>
      <c r="L194" s="4" t="str">
        <f t="shared" si="120"/>
        <v/>
      </c>
      <c r="M194" s="4" t="str">
        <f t="shared" si="121"/>
        <v/>
      </c>
      <c r="N194" s="4" t="str">
        <f t="shared" si="122"/>
        <v/>
      </c>
      <c r="O194" s="4" t="str">
        <f t="shared" si="123"/>
        <v/>
      </c>
      <c r="P194" s="247"/>
      <c r="Q194" s="117"/>
      <c r="R194" s="4" t="str">
        <f t="shared" si="124"/>
        <v/>
      </c>
      <c r="S194" s="4" t="str">
        <f t="shared" si="125"/>
        <v/>
      </c>
      <c r="T194" s="4" t="str">
        <f t="shared" si="126"/>
        <v/>
      </c>
      <c r="U194" s="4" t="str">
        <f t="shared" si="127"/>
        <v/>
      </c>
      <c r="V194" s="247"/>
      <c r="W194" s="67" t="str">
        <f t="shared" si="128"/>
        <v/>
      </c>
      <c r="X194" s="118"/>
      <c r="Y194" s="4"/>
      <c r="Z194" s="67" t="str">
        <f t="shared" si="129"/>
        <v/>
      </c>
      <c r="AA194" s="13">
        <f t="shared" si="130"/>
        <v>0</v>
      </c>
      <c r="AB194" s="17">
        <f t="shared" si="131"/>
        <v>0</v>
      </c>
      <c r="AC194" s="163" t="str">
        <f t="shared" si="132"/>
        <v/>
      </c>
      <c r="AD194" s="119"/>
      <c r="AE194" s="120"/>
      <c r="AF194" s="121"/>
      <c r="AG194" s="122"/>
      <c r="AH194" s="83"/>
      <c r="AI194" s="115"/>
      <c r="AJ194" s="116"/>
      <c r="AK194" s="83"/>
      <c r="AL194" s="85"/>
      <c r="AM194" s="254"/>
      <c r="AN194" s="254"/>
      <c r="AO194" s="255"/>
    </row>
    <row r="195" spans="2:41" x14ac:dyDescent="0.25">
      <c r="B195" s="321"/>
      <c r="C195" s="17"/>
      <c r="D195" s="273"/>
      <c r="E195" s="117"/>
      <c r="F195" s="4" t="str">
        <f t="shared" si="116"/>
        <v/>
      </c>
      <c r="G195" s="4" t="str">
        <f t="shared" si="117"/>
        <v/>
      </c>
      <c r="H195" s="4" t="str">
        <f t="shared" si="118"/>
        <v/>
      </c>
      <c r="I195" s="4" t="str">
        <f t="shared" si="119"/>
        <v/>
      </c>
      <c r="J195" s="247"/>
      <c r="K195" s="117"/>
      <c r="L195" s="4" t="str">
        <f t="shared" si="120"/>
        <v/>
      </c>
      <c r="M195" s="4" t="str">
        <f t="shared" si="121"/>
        <v/>
      </c>
      <c r="N195" s="4" t="str">
        <f t="shared" si="122"/>
        <v/>
      </c>
      <c r="O195" s="4" t="str">
        <f t="shared" si="123"/>
        <v/>
      </c>
      <c r="P195" s="247"/>
      <c r="Q195" s="117"/>
      <c r="R195" s="4" t="str">
        <f t="shared" si="124"/>
        <v/>
      </c>
      <c r="S195" s="4" t="str">
        <f t="shared" si="125"/>
        <v/>
      </c>
      <c r="T195" s="4" t="str">
        <f t="shared" si="126"/>
        <v/>
      </c>
      <c r="U195" s="4" t="str">
        <f t="shared" si="127"/>
        <v/>
      </c>
      <c r="V195" s="247"/>
      <c r="W195" s="67" t="str">
        <f t="shared" si="128"/>
        <v/>
      </c>
      <c r="X195" s="118"/>
      <c r="Z195" s="67" t="str">
        <f t="shared" si="129"/>
        <v/>
      </c>
      <c r="AA195" s="13">
        <f t="shared" si="130"/>
        <v>0</v>
      </c>
      <c r="AB195" s="17">
        <f t="shared" si="131"/>
        <v>0</v>
      </c>
      <c r="AC195" s="163" t="str">
        <f t="shared" si="132"/>
        <v/>
      </c>
      <c r="AD195" s="119"/>
      <c r="AE195" s="120"/>
      <c r="AF195" s="121"/>
      <c r="AG195" s="122"/>
      <c r="AH195" s="83"/>
      <c r="AI195" s="115"/>
      <c r="AJ195" s="116"/>
      <c r="AK195" s="83"/>
      <c r="AL195" s="85"/>
      <c r="AM195" s="254"/>
      <c r="AN195" s="254"/>
      <c r="AO195" s="255"/>
    </row>
    <row r="196" spans="2:41" x14ac:dyDescent="0.25">
      <c r="B196" s="321"/>
      <c r="C196" s="17"/>
      <c r="D196" s="273"/>
      <c r="E196" s="117"/>
      <c r="F196" s="4" t="str">
        <f t="shared" si="116"/>
        <v/>
      </c>
      <c r="G196" s="4" t="str">
        <f t="shared" si="117"/>
        <v/>
      </c>
      <c r="H196" s="4" t="str">
        <f t="shared" si="118"/>
        <v/>
      </c>
      <c r="I196" s="4" t="str">
        <f t="shared" si="119"/>
        <v/>
      </c>
      <c r="J196" s="247"/>
      <c r="K196" s="117"/>
      <c r="L196" s="4" t="str">
        <f t="shared" si="120"/>
        <v/>
      </c>
      <c r="M196" s="4" t="str">
        <f t="shared" si="121"/>
        <v/>
      </c>
      <c r="N196" s="4" t="str">
        <f t="shared" si="122"/>
        <v/>
      </c>
      <c r="O196" s="4" t="str">
        <f t="shared" si="123"/>
        <v/>
      </c>
      <c r="P196" s="247"/>
      <c r="Q196" s="117"/>
      <c r="R196" s="4" t="str">
        <f t="shared" si="124"/>
        <v/>
      </c>
      <c r="S196" s="4" t="str">
        <f t="shared" si="125"/>
        <v/>
      </c>
      <c r="T196" s="4" t="str">
        <f t="shared" si="126"/>
        <v/>
      </c>
      <c r="U196" s="4" t="str">
        <f t="shared" si="127"/>
        <v/>
      </c>
      <c r="V196" s="247"/>
      <c r="W196" s="67" t="str">
        <f t="shared" si="128"/>
        <v/>
      </c>
      <c r="X196" s="118"/>
      <c r="Z196" s="67" t="str">
        <f t="shared" si="129"/>
        <v/>
      </c>
      <c r="AA196" s="13">
        <f t="shared" si="130"/>
        <v>0</v>
      </c>
      <c r="AB196" s="17">
        <f t="shared" si="131"/>
        <v>0</v>
      </c>
      <c r="AC196" s="163" t="str">
        <f t="shared" si="132"/>
        <v/>
      </c>
      <c r="AD196" s="119"/>
      <c r="AE196" s="120"/>
      <c r="AF196" s="121"/>
      <c r="AG196" s="122"/>
      <c r="AH196" s="83"/>
      <c r="AI196" s="115"/>
      <c r="AJ196" s="116"/>
      <c r="AK196" s="83"/>
      <c r="AL196" s="85"/>
      <c r="AM196" s="254"/>
      <c r="AN196" s="254"/>
      <c r="AO196" s="255"/>
    </row>
    <row r="197" spans="2:41" x14ac:dyDescent="0.25">
      <c r="B197" s="321"/>
      <c r="C197" s="17"/>
      <c r="D197" s="273"/>
      <c r="E197" s="117"/>
      <c r="F197" s="4" t="str">
        <f t="shared" si="116"/>
        <v/>
      </c>
      <c r="G197" s="4" t="str">
        <f t="shared" si="117"/>
        <v/>
      </c>
      <c r="H197" s="4" t="str">
        <f t="shared" si="118"/>
        <v/>
      </c>
      <c r="I197" s="4" t="str">
        <f t="shared" si="119"/>
        <v/>
      </c>
      <c r="J197" s="247"/>
      <c r="K197" s="117"/>
      <c r="L197" s="4" t="str">
        <f t="shared" si="120"/>
        <v/>
      </c>
      <c r="M197" s="4" t="str">
        <f t="shared" si="121"/>
        <v/>
      </c>
      <c r="N197" s="4" t="str">
        <f t="shared" si="122"/>
        <v/>
      </c>
      <c r="O197" s="4" t="str">
        <f t="shared" si="123"/>
        <v/>
      </c>
      <c r="P197" s="247"/>
      <c r="Q197" s="117"/>
      <c r="R197" s="4" t="str">
        <f t="shared" si="124"/>
        <v/>
      </c>
      <c r="S197" s="4" t="str">
        <f t="shared" si="125"/>
        <v/>
      </c>
      <c r="T197" s="4" t="str">
        <f t="shared" si="126"/>
        <v/>
      </c>
      <c r="U197" s="4" t="str">
        <f t="shared" si="127"/>
        <v/>
      </c>
      <c r="V197" s="247"/>
      <c r="W197" s="67" t="str">
        <f t="shared" si="128"/>
        <v/>
      </c>
      <c r="X197" s="118"/>
      <c r="Z197" s="67" t="str">
        <f t="shared" si="129"/>
        <v/>
      </c>
      <c r="AA197" s="13">
        <f t="shared" si="130"/>
        <v>0</v>
      </c>
      <c r="AB197" s="17">
        <f t="shared" si="131"/>
        <v>0</v>
      </c>
      <c r="AC197" s="163" t="str">
        <f t="shared" si="132"/>
        <v/>
      </c>
      <c r="AD197" s="119"/>
      <c r="AE197" s="120"/>
      <c r="AF197" s="121"/>
      <c r="AG197" s="122"/>
      <c r="AH197" s="83"/>
      <c r="AI197" s="115"/>
      <c r="AJ197" s="116"/>
      <c r="AK197" s="83"/>
      <c r="AL197" s="85"/>
      <c r="AM197" s="254"/>
      <c r="AN197" s="254"/>
      <c r="AO197" s="255"/>
    </row>
    <row r="198" spans="2:41" x14ac:dyDescent="0.25">
      <c r="B198" s="321"/>
      <c r="C198" s="17"/>
      <c r="D198" s="273"/>
      <c r="E198" s="117"/>
      <c r="F198" s="4" t="str">
        <f t="shared" si="116"/>
        <v/>
      </c>
      <c r="G198" s="4" t="str">
        <f t="shared" si="117"/>
        <v/>
      </c>
      <c r="H198" s="4" t="str">
        <f t="shared" si="118"/>
        <v/>
      </c>
      <c r="I198" s="4" t="str">
        <f t="shared" si="119"/>
        <v/>
      </c>
      <c r="J198" s="247"/>
      <c r="K198" s="117"/>
      <c r="L198" s="4" t="str">
        <f t="shared" si="120"/>
        <v/>
      </c>
      <c r="M198" s="4" t="str">
        <f t="shared" si="121"/>
        <v/>
      </c>
      <c r="N198" s="4" t="str">
        <f t="shared" si="122"/>
        <v/>
      </c>
      <c r="O198" s="4" t="str">
        <f t="shared" si="123"/>
        <v/>
      </c>
      <c r="P198" s="247"/>
      <c r="Q198" s="117"/>
      <c r="R198" s="4" t="str">
        <f t="shared" si="124"/>
        <v/>
      </c>
      <c r="S198" s="4" t="str">
        <f t="shared" si="125"/>
        <v/>
      </c>
      <c r="T198" s="4" t="str">
        <f t="shared" si="126"/>
        <v/>
      </c>
      <c r="U198" s="4" t="str">
        <f t="shared" si="127"/>
        <v/>
      </c>
      <c r="V198" s="247"/>
      <c r="W198" s="67" t="str">
        <f t="shared" si="128"/>
        <v/>
      </c>
      <c r="X198" s="118"/>
      <c r="Z198" s="67" t="str">
        <f t="shared" si="129"/>
        <v/>
      </c>
      <c r="AA198" s="13">
        <f t="shared" si="130"/>
        <v>0</v>
      </c>
      <c r="AB198" s="17">
        <f t="shared" si="131"/>
        <v>0</v>
      </c>
      <c r="AC198" s="163" t="str">
        <f t="shared" si="132"/>
        <v/>
      </c>
      <c r="AD198" s="119"/>
      <c r="AE198" s="120"/>
      <c r="AF198" s="121"/>
      <c r="AG198" s="122"/>
      <c r="AH198" s="83"/>
      <c r="AI198" s="115"/>
      <c r="AJ198" s="116"/>
      <c r="AK198" s="83"/>
      <c r="AL198" s="85"/>
      <c r="AM198" s="254"/>
      <c r="AN198" s="254"/>
      <c r="AO198" s="255"/>
    </row>
    <row r="199" spans="2:41" x14ac:dyDescent="0.25">
      <c r="B199" s="321"/>
      <c r="C199" s="17"/>
      <c r="D199" s="273"/>
      <c r="E199" s="117"/>
      <c r="F199" s="4" t="str">
        <f t="shared" si="116"/>
        <v/>
      </c>
      <c r="G199" s="4" t="str">
        <f t="shared" si="117"/>
        <v/>
      </c>
      <c r="H199" s="4" t="str">
        <f t="shared" si="118"/>
        <v/>
      </c>
      <c r="I199" s="4" t="str">
        <f t="shared" si="119"/>
        <v/>
      </c>
      <c r="J199" s="247"/>
      <c r="K199" s="117"/>
      <c r="L199" s="4" t="str">
        <f t="shared" si="120"/>
        <v/>
      </c>
      <c r="M199" s="4" t="str">
        <f t="shared" si="121"/>
        <v/>
      </c>
      <c r="N199" s="4" t="str">
        <f t="shared" si="122"/>
        <v/>
      </c>
      <c r="O199" s="4" t="str">
        <f t="shared" si="123"/>
        <v/>
      </c>
      <c r="P199" s="247"/>
      <c r="Q199" s="117"/>
      <c r="R199" s="4" t="str">
        <f t="shared" si="124"/>
        <v/>
      </c>
      <c r="S199" s="4" t="str">
        <f t="shared" si="125"/>
        <v/>
      </c>
      <c r="T199" s="4" t="str">
        <f t="shared" si="126"/>
        <v/>
      </c>
      <c r="U199" s="4" t="str">
        <f t="shared" si="127"/>
        <v/>
      </c>
      <c r="V199" s="247"/>
      <c r="W199" s="67" t="str">
        <f t="shared" si="128"/>
        <v/>
      </c>
      <c r="X199" s="118"/>
      <c r="Z199" s="67" t="str">
        <f t="shared" si="129"/>
        <v/>
      </c>
      <c r="AA199" s="13">
        <f t="shared" si="130"/>
        <v>0</v>
      </c>
      <c r="AB199" s="17">
        <f t="shared" si="131"/>
        <v>0</v>
      </c>
      <c r="AC199" s="163" t="str">
        <f t="shared" si="132"/>
        <v/>
      </c>
      <c r="AD199" s="119"/>
      <c r="AE199" s="120"/>
      <c r="AF199" s="121"/>
      <c r="AG199" s="122"/>
      <c r="AH199" s="83"/>
      <c r="AI199" s="115"/>
      <c r="AJ199" s="116"/>
      <c r="AK199" s="83"/>
      <c r="AL199" s="85"/>
      <c r="AM199" s="254"/>
      <c r="AN199" s="254"/>
      <c r="AO199" s="255"/>
    </row>
    <row r="200" spans="2:41" x14ac:dyDescent="0.25">
      <c r="B200" s="321"/>
      <c r="C200" s="17"/>
      <c r="D200" s="273"/>
      <c r="E200" s="117"/>
      <c r="F200" s="4" t="str">
        <f t="shared" si="116"/>
        <v/>
      </c>
      <c r="G200" s="4" t="str">
        <f t="shared" si="117"/>
        <v/>
      </c>
      <c r="H200" s="4" t="str">
        <f t="shared" si="118"/>
        <v/>
      </c>
      <c r="I200" s="4" t="str">
        <f t="shared" si="119"/>
        <v/>
      </c>
      <c r="J200" s="247"/>
      <c r="K200" s="117"/>
      <c r="L200" s="4" t="str">
        <f t="shared" si="120"/>
        <v/>
      </c>
      <c r="M200" s="4" t="str">
        <f t="shared" si="121"/>
        <v/>
      </c>
      <c r="N200" s="4" t="str">
        <f t="shared" si="122"/>
        <v/>
      </c>
      <c r="O200" s="4" t="str">
        <f t="shared" si="123"/>
        <v/>
      </c>
      <c r="P200" s="247"/>
      <c r="Q200" s="117"/>
      <c r="R200" s="4" t="str">
        <f t="shared" si="124"/>
        <v/>
      </c>
      <c r="S200" s="4" t="str">
        <f t="shared" si="125"/>
        <v/>
      </c>
      <c r="T200" s="4" t="str">
        <f t="shared" si="126"/>
        <v/>
      </c>
      <c r="U200" s="4" t="str">
        <f t="shared" si="127"/>
        <v/>
      </c>
      <c r="V200" s="247"/>
      <c r="W200" s="67" t="str">
        <f t="shared" si="128"/>
        <v/>
      </c>
      <c r="X200" s="118"/>
      <c r="Z200" s="67" t="str">
        <f t="shared" si="129"/>
        <v/>
      </c>
      <c r="AA200" s="13">
        <f t="shared" si="130"/>
        <v>0</v>
      </c>
      <c r="AB200" s="17">
        <f t="shared" si="131"/>
        <v>0</v>
      </c>
      <c r="AC200" s="163" t="str">
        <f t="shared" si="132"/>
        <v/>
      </c>
      <c r="AD200" s="119"/>
      <c r="AE200" s="120"/>
      <c r="AF200" s="121"/>
      <c r="AG200" s="122"/>
      <c r="AH200" s="83"/>
      <c r="AI200" s="115"/>
      <c r="AJ200" s="116"/>
      <c r="AK200" s="83"/>
      <c r="AL200" s="85"/>
      <c r="AM200" s="254"/>
      <c r="AN200" s="254"/>
      <c r="AO200" s="255"/>
    </row>
    <row r="201" spans="2:41" x14ac:dyDescent="0.25">
      <c r="B201" s="321"/>
      <c r="C201" s="17"/>
      <c r="D201" s="273"/>
      <c r="E201" s="117"/>
      <c r="F201" s="4" t="str">
        <f t="shared" si="116"/>
        <v/>
      </c>
      <c r="G201" s="4" t="str">
        <f t="shared" si="117"/>
        <v/>
      </c>
      <c r="H201" s="4" t="str">
        <f t="shared" si="118"/>
        <v/>
      </c>
      <c r="I201" s="4" t="str">
        <f t="shared" si="119"/>
        <v/>
      </c>
      <c r="J201" s="247"/>
      <c r="K201" s="117"/>
      <c r="L201" s="4" t="str">
        <f t="shared" si="120"/>
        <v/>
      </c>
      <c r="M201" s="4" t="str">
        <f t="shared" si="121"/>
        <v/>
      </c>
      <c r="N201" s="4" t="str">
        <f t="shared" si="122"/>
        <v/>
      </c>
      <c r="O201" s="4" t="str">
        <f t="shared" si="123"/>
        <v/>
      </c>
      <c r="P201" s="247"/>
      <c r="Q201" s="117"/>
      <c r="R201" s="4" t="str">
        <f t="shared" si="124"/>
        <v/>
      </c>
      <c r="S201" s="4" t="str">
        <f t="shared" si="125"/>
        <v/>
      </c>
      <c r="T201" s="4" t="str">
        <f t="shared" si="126"/>
        <v/>
      </c>
      <c r="U201" s="4" t="str">
        <f t="shared" si="127"/>
        <v/>
      </c>
      <c r="V201" s="247"/>
      <c r="W201" s="67" t="str">
        <f t="shared" si="128"/>
        <v/>
      </c>
      <c r="X201" s="118"/>
      <c r="Z201" s="67" t="str">
        <f t="shared" si="129"/>
        <v/>
      </c>
      <c r="AA201" s="13">
        <f t="shared" si="130"/>
        <v>0</v>
      </c>
      <c r="AB201" s="17">
        <f t="shared" si="131"/>
        <v>0</v>
      </c>
      <c r="AC201" s="163" t="str">
        <f t="shared" si="132"/>
        <v/>
      </c>
      <c r="AD201" s="119"/>
      <c r="AE201" s="120"/>
      <c r="AF201" s="121"/>
      <c r="AG201" s="122"/>
      <c r="AH201" s="83"/>
      <c r="AI201" s="115"/>
      <c r="AJ201" s="116"/>
      <c r="AK201" s="83"/>
      <c r="AL201" s="85"/>
      <c r="AM201" s="254"/>
      <c r="AN201" s="254"/>
      <c r="AO201" s="255"/>
    </row>
    <row r="202" spans="2:41" x14ac:dyDescent="0.25">
      <c r="B202" s="321"/>
      <c r="C202" s="17"/>
      <c r="D202" s="273"/>
      <c r="E202" s="117"/>
      <c r="F202" s="4" t="str">
        <f t="shared" si="116"/>
        <v/>
      </c>
      <c r="G202" s="4" t="str">
        <f t="shared" si="117"/>
        <v/>
      </c>
      <c r="H202" s="4" t="str">
        <f t="shared" si="118"/>
        <v/>
      </c>
      <c r="I202" s="4" t="str">
        <f t="shared" si="119"/>
        <v/>
      </c>
      <c r="J202" s="247"/>
      <c r="K202" s="117"/>
      <c r="L202" s="4" t="str">
        <f t="shared" si="120"/>
        <v/>
      </c>
      <c r="M202" s="4" t="str">
        <f t="shared" si="121"/>
        <v/>
      </c>
      <c r="N202" s="4" t="str">
        <f t="shared" si="122"/>
        <v/>
      </c>
      <c r="O202" s="4" t="str">
        <f t="shared" si="123"/>
        <v/>
      </c>
      <c r="P202" s="247"/>
      <c r="Q202" s="117"/>
      <c r="R202" s="4" t="str">
        <f t="shared" si="124"/>
        <v/>
      </c>
      <c r="S202" s="4" t="str">
        <f t="shared" si="125"/>
        <v/>
      </c>
      <c r="T202" s="4" t="str">
        <f t="shared" si="126"/>
        <v/>
      </c>
      <c r="U202" s="4" t="str">
        <f t="shared" si="127"/>
        <v/>
      </c>
      <c r="V202" s="247"/>
      <c r="W202" s="67" t="str">
        <f t="shared" si="128"/>
        <v/>
      </c>
      <c r="X202" s="118"/>
      <c r="Z202" s="67" t="str">
        <f t="shared" si="129"/>
        <v/>
      </c>
      <c r="AA202" s="13">
        <f t="shared" si="130"/>
        <v>0</v>
      </c>
      <c r="AB202" s="17">
        <f t="shared" si="131"/>
        <v>0</v>
      </c>
      <c r="AC202" s="163" t="str">
        <f t="shared" si="132"/>
        <v/>
      </c>
      <c r="AD202" s="119"/>
      <c r="AE202" s="120"/>
      <c r="AF202" s="121"/>
      <c r="AG202" s="122"/>
      <c r="AH202" s="83"/>
      <c r="AI202" s="115"/>
      <c r="AJ202" s="116"/>
      <c r="AK202" s="83"/>
      <c r="AL202" s="85"/>
      <c r="AM202" s="254"/>
      <c r="AN202" s="254"/>
      <c r="AO202" s="255"/>
    </row>
    <row r="203" spans="2:41" x14ac:dyDescent="0.25">
      <c r="B203" s="321"/>
      <c r="C203" s="17"/>
      <c r="D203" s="273"/>
      <c r="E203" s="117"/>
      <c r="F203" s="4" t="str">
        <f t="shared" si="116"/>
        <v/>
      </c>
      <c r="G203" s="4" t="str">
        <f t="shared" si="117"/>
        <v/>
      </c>
      <c r="H203" s="4" t="str">
        <f t="shared" si="118"/>
        <v/>
      </c>
      <c r="I203" s="4" t="str">
        <f t="shared" si="119"/>
        <v/>
      </c>
      <c r="J203" s="247"/>
      <c r="K203" s="117"/>
      <c r="L203" s="4" t="str">
        <f t="shared" si="120"/>
        <v/>
      </c>
      <c r="M203" s="4" t="str">
        <f t="shared" si="121"/>
        <v/>
      </c>
      <c r="N203" s="4" t="str">
        <f t="shared" si="122"/>
        <v/>
      </c>
      <c r="O203" s="4" t="str">
        <f t="shared" si="123"/>
        <v/>
      </c>
      <c r="P203" s="247"/>
      <c r="Q203" s="117"/>
      <c r="R203" s="4" t="str">
        <f t="shared" si="124"/>
        <v/>
      </c>
      <c r="S203" s="4" t="str">
        <f t="shared" si="125"/>
        <v/>
      </c>
      <c r="T203" s="4" t="str">
        <f t="shared" si="126"/>
        <v/>
      </c>
      <c r="U203" s="4" t="str">
        <f t="shared" si="127"/>
        <v/>
      </c>
      <c r="V203" s="247"/>
      <c r="W203" s="67" t="str">
        <f t="shared" si="128"/>
        <v/>
      </c>
      <c r="X203" s="118"/>
      <c r="Z203" s="67" t="str">
        <f t="shared" si="129"/>
        <v/>
      </c>
      <c r="AA203" s="13">
        <f t="shared" si="130"/>
        <v>0</v>
      </c>
      <c r="AB203" s="17">
        <f t="shared" si="131"/>
        <v>0</v>
      </c>
      <c r="AC203" s="163" t="str">
        <f t="shared" si="132"/>
        <v/>
      </c>
      <c r="AD203" s="119"/>
      <c r="AE203" s="120"/>
      <c r="AF203" s="121"/>
      <c r="AG203" s="122"/>
      <c r="AH203" s="83"/>
      <c r="AI203" s="115"/>
      <c r="AJ203" s="116"/>
      <c r="AK203" s="83"/>
      <c r="AL203" s="85"/>
      <c r="AM203" s="254"/>
      <c r="AN203" s="254"/>
      <c r="AO203" s="255"/>
    </row>
    <row r="204" spans="2:41" x14ac:dyDescent="0.25">
      <c r="B204" s="321"/>
      <c r="C204" s="17"/>
      <c r="D204" s="273"/>
      <c r="E204" s="117"/>
      <c r="F204" s="4" t="str">
        <f t="shared" si="116"/>
        <v/>
      </c>
      <c r="G204" s="4" t="str">
        <f t="shared" si="117"/>
        <v/>
      </c>
      <c r="H204" s="4" t="str">
        <f t="shared" si="118"/>
        <v/>
      </c>
      <c r="I204" s="4" t="str">
        <f t="shared" si="119"/>
        <v/>
      </c>
      <c r="J204" s="247"/>
      <c r="K204" s="117"/>
      <c r="L204" s="4" t="str">
        <f t="shared" si="120"/>
        <v/>
      </c>
      <c r="M204" s="4" t="str">
        <f t="shared" si="121"/>
        <v/>
      </c>
      <c r="N204" s="4" t="str">
        <f t="shared" si="122"/>
        <v/>
      </c>
      <c r="O204" s="4" t="str">
        <f t="shared" si="123"/>
        <v/>
      </c>
      <c r="P204" s="247"/>
      <c r="Q204" s="117"/>
      <c r="R204" s="4" t="str">
        <f t="shared" si="124"/>
        <v/>
      </c>
      <c r="S204" s="4" t="str">
        <f t="shared" si="125"/>
        <v/>
      </c>
      <c r="T204" s="4" t="str">
        <f t="shared" si="126"/>
        <v/>
      </c>
      <c r="U204" s="4" t="str">
        <f t="shared" si="127"/>
        <v/>
      </c>
      <c r="V204" s="247"/>
      <c r="W204" s="67" t="str">
        <f t="shared" si="128"/>
        <v/>
      </c>
      <c r="X204" s="118"/>
      <c r="Z204" s="67" t="str">
        <f t="shared" si="129"/>
        <v/>
      </c>
      <c r="AA204" s="13">
        <f t="shared" si="130"/>
        <v>0</v>
      </c>
      <c r="AB204" s="17">
        <f t="shared" si="131"/>
        <v>0</v>
      </c>
      <c r="AC204" s="163" t="str">
        <f t="shared" si="132"/>
        <v/>
      </c>
      <c r="AD204" s="119"/>
      <c r="AE204" s="120"/>
      <c r="AF204" s="121"/>
      <c r="AG204" s="122"/>
      <c r="AH204" s="83"/>
      <c r="AI204" s="115"/>
      <c r="AJ204" s="116"/>
      <c r="AK204" s="83"/>
      <c r="AL204" s="85"/>
      <c r="AM204" s="254"/>
      <c r="AN204" s="254"/>
      <c r="AO204" s="255"/>
    </row>
    <row r="205" spans="2:41" x14ac:dyDescent="0.25">
      <c r="B205" s="321"/>
      <c r="C205" s="17"/>
      <c r="D205" s="273"/>
      <c r="E205" s="117"/>
      <c r="F205" s="4" t="str">
        <f t="shared" si="116"/>
        <v/>
      </c>
      <c r="G205" s="4" t="str">
        <f t="shared" si="117"/>
        <v/>
      </c>
      <c r="H205" s="4" t="str">
        <f t="shared" si="118"/>
        <v/>
      </c>
      <c r="I205" s="4" t="str">
        <f t="shared" si="119"/>
        <v/>
      </c>
      <c r="J205" s="247"/>
      <c r="K205" s="117"/>
      <c r="L205" s="4" t="str">
        <f t="shared" si="120"/>
        <v/>
      </c>
      <c r="M205" s="4" t="str">
        <f t="shared" si="121"/>
        <v/>
      </c>
      <c r="N205" s="4" t="str">
        <f t="shared" si="122"/>
        <v/>
      </c>
      <c r="O205" s="4" t="str">
        <f t="shared" si="123"/>
        <v/>
      </c>
      <c r="P205" s="247"/>
      <c r="Q205" s="117"/>
      <c r="R205" s="4" t="str">
        <f t="shared" si="124"/>
        <v/>
      </c>
      <c r="S205" s="4" t="str">
        <f t="shared" si="125"/>
        <v/>
      </c>
      <c r="T205" s="4" t="str">
        <f t="shared" si="126"/>
        <v/>
      </c>
      <c r="U205" s="4" t="str">
        <f t="shared" si="127"/>
        <v/>
      </c>
      <c r="V205" s="247"/>
      <c r="W205" s="67" t="str">
        <f t="shared" si="128"/>
        <v/>
      </c>
      <c r="X205" s="118"/>
      <c r="Z205" s="67" t="str">
        <f t="shared" si="129"/>
        <v/>
      </c>
      <c r="AA205" s="13">
        <f t="shared" si="130"/>
        <v>0</v>
      </c>
      <c r="AB205" s="17">
        <f t="shared" si="131"/>
        <v>0</v>
      </c>
      <c r="AC205" s="163" t="str">
        <f t="shared" si="132"/>
        <v/>
      </c>
      <c r="AD205" s="119"/>
      <c r="AE205" s="120"/>
      <c r="AF205" s="121"/>
      <c r="AG205" s="122"/>
      <c r="AH205" s="83"/>
      <c r="AI205" s="115"/>
      <c r="AJ205" s="116"/>
      <c r="AK205" s="83"/>
      <c r="AL205" s="85"/>
      <c r="AM205" s="254"/>
      <c r="AN205" s="254"/>
      <c r="AO205" s="255"/>
    </row>
    <row r="206" spans="2:41" x14ac:dyDescent="0.25">
      <c r="B206" s="321"/>
      <c r="C206" s="17"/>
      <c r="D206" s="273"/>
      <c r="E206" s="117"/>
      <c r="F206" s="4" t="str">
        <f t="shared" si="116"/>
        <v/>
      </c>
      <c r="G206" s="4" t="str">
        <f t="shared" si="117"/>
        <v/>
      </c>
      <c r="H206" s="4" t="str">
        <f t="shared" si="118"/>
        <v/>
      </c>
      <c r="I206" s="4" t="str">
        <f t="shared" si="119"/>
        <v/>
      </c>
      <c r="J206" s="247"/>
      <c r="K206" s="117"/>
      <c r="L206" s="4" t="str">
        <f t="shared" si="120"/>
        <v/>
      </c>
      <c r="M206" s="4" t="str">
        <f t="shared" si="121"/>
        <v/>
      </c>
      <c r="N206" s="4" t="str">
        <f t="shared" si="122"/>
        <v/>
      </c>
      <c r="O206" s="4" t="str">
        <f t="shared" si="123"/>
        <v/>
      </c>
      <c r="P206" s="247"/>
      <c r="Q206" s="117"/>
      <c r="R206" s="4" t="str">
        <f t="shared" si="124"/>
        <v/>
      </c>
      <c r="S206" s="4" t="str">
        <f t="shared" si="125"/>
        <v/>
      </c>
      <c r="T206" s="4" t="str">
        <f t="shared" si="126"/>
        <v/>
      </c>
      <c r="U206" s="4" t="str">
        <f t="shared" si="127"/>
        <v/>
      </c>
      <c r="V206" s="247"/>
      <c r="W206" s="67" t="str">
        <f t="shared" si="128"/>
        <v/>
      </c>
      <c r="X206" s="118"/>
      <c r="Z206" s="67" t="str">
        <f t="shared" si="129"/>
        <v/>
      </c>
      <c r="AA206" s="13">
        <f t="shared" si="130"/>
        <v>0</v>
      </c>
      <c r="AB206" s="17">
        <f t="shared" si="131"/>
        <v>0</v>
      </c>
      <c r="AC206" s="163" t="str">
        <f t="shared" si="132"/>
        <v/>
      </c>
      <c r="AD206" s="119"/>
      <c r="AE206" s="120"/>
      <c r="AF206" s="121"/>
      <c r="AG206" s="122"/>
      <c r="AH206" s="83"/>
      <c r="AI206" s="115"/>
      <c r="AJ206" s="116"/>
      <c r="AK206" s="83"/>
      <c r="AL206" s="85"/>
      <c r="AM206" s="254"/>
      <c r="AN206" s="254"/>
      <c r="AO206" s="255"/>
    </row>
    <row r="207" spans="2:41" x14ac:dyDescent="0.25">
      <c r="B207" s="321"/>
      <c r="C207" s="17"/>
      <c r="D207" s="273"/>
      <c r="E207" s="117"/>
      <c r="F207" s="4" t="str">
        <f t="shared" si="116"/>
        <v/>
      </c>
      <c r="G207" s="4" t="str">
        <f t="shared" si="117"/>
        <v/>
      </c>
      <c r="H207" s="4" t="str">
        <f t="shared" si="118"/>
        <v/>
      </c>
      <c r="I207" s="4" t="str">
        <f t="shared" si="119"/>
        <v/>
      </c>
      <c r="J207" s="247"/>
      <c r="K207" s="117"/>
      <c r="L207" s="4" t="str">
        <f t="shared" si="120"/>
        <v/>
      </c>
      <c r="M207" s="4" t="str">
        <f t="shared" si="121"/>
        <v/>
      </c>
      <c r="N207" s="4" t="str">
        <f t="shared" si="122"/>
        <v/>
      </c>
      <c r="O207" s="4" t="str">
        <f t="shared" si="123"/>
        <v/>
      </c>
      <c r="P207" s="247"/>
      <c r="Q207" s="117"/>
      <c r="R207" s="4" t="str">
        <f t="shared" si="124"/>
        <v/>
      </c>
      <c r="S207" s="4" t="str">
        <f t="shared" si="125"/>
        <v/>
      </c>
      <c r="T207" s="4" t="str">
        <f t="shared" si="126"/>
        <v/>
      </c>
      <c r="U207" s="4" t="str">
        <f t="shared" si="127"/>
        <v/>
      </c>
      <c r="V207" s="247"/>
      <c r="W207" s="67" t="str">
        <f t="shared" si="128"/>
        <v/>
      </c>
      <c r="X207" s="118"/>
      <c r="Z207" s="67" t="str">
        <f t="shared" si="129"/>
        <v/>
      </c>
      <c r="AA207" s="13">
        <f t="shared" si="130"/>
        <v>0</v>
      </c>
      <c r="AB207" s="17">
        <f t="shared" si="131"/>
        <v>0</v>
      </c>
      <c r="AC207" s="163" t="str">
        <f t="shared" si="132"/>
        <v/>
      </c>
      <c r="AD207" s="119"/>
      <c r="AE207" s="120"/>
      <c r="AF207" s="121"/>
      <c r="AG207" s="122"/>
      <c r="AH207" s="83"/>
      <c r="AI207" s="115"/>
      <c r="AJ207" s="116"/>
      <c r="AK207" s="83"/>
      <c r="AL207" s="85"/>
      <c r="AM207" s="254"/>
      <c r="AN207" s="254"/>
      <c r="AO207" s="255"/>
    </row>
    <row r="208" spans="2:41" x14ac:dyDescent="0.25">
      <c r="B208" s="321"/>
      <c r="C208" s="17"/>
      <c r="D208" s="273"/>
      <c r="E208" s="117"/>
      <c r="F208" s="4" t="str">
        <f t="shared" si="116"/>
        <v/>
      </c>
      <c r="G208" s="4" t="str">
        <f t="shared" si="117"/>
        <v/>
      </c>
      <c r="H208" s="4" t="str">
        <f t="shared" si="118"/>
        <v/>
      </c>
      <c r="I208" s="4" t="str">
        <f t="shared" si="119"/>
        <v/>
      </c>
      <c r="J208" s="247"/>
      <c r="K208" s="117"/>
      <c r="L208" s="4" t="str">
        <f t="shared" si="120"/>
        <v/>
      </c>
      <c r="M208" s="4" t="str">
        <f t="shared" si="121"/>
        <v/>
      </c>
      <c r="N208" s="4" t="str">
        <f t="shared" si="122"/>
        <v/>
      </c>
      <c r="O208" s="4" t="str">
        <f t="shared" si="123"/>
        <v/>
      </c>
      <c r="P208" s="247"/>
      <c r="Q208" s="117"/>
      <c r="R208" s="4" t="str">
        <f t="shared" si="124"/>
        <v/>
      </c>
      <c r="S208" s="4" t="str">
        <f t="shared" si="125"/>
        <v/>
      </c>
      <c r="T208" s="4" t="str">
        <f t="shared" si="126"/>
        <v/>
      </c>
      <c r="U208" s="4" t="str">
        <f t="shared" si="127"/>
        <v/>
      </c>
      <c r="V208" s="247"/>
      <c r="W208" s="67" t="str">
        <f t="shared" si="128"/>
        <v/>
      </c>
      <c r="X208" s="118"/>
      <c r="Z208" s="67" t="str">
        <f t="shared" si="129"/>
        <v/>
      </c>
      <c r="AA208" s="13">
        <f t="shared" si="130"/>
        <v>0</v>
      </c>
      <c r="AB208" s="17">
        <f t="shared" si="131"/>
        <v>0</v>
      </c>
      <c r="AC208" s="163" t="str">
        <f t="shared" si="132"/>
        <v/>
      </c>
      <c r="AD208" s="119"/>
      <c r="AE208" s="120"/>
      <c r="AF208" s="121"/>
      <c r="AG208" s="122"/>
      <c r="AH208" s="83"/>
      <c r="AI208" s="115"/>
      <c r="AJ208" s="116"/>
      <c r="AK208" s="83"/>
      <c r="AL208" s="85"/>
      <c r="AM208" s="254"/>
      <c r="AN208" s="254"/>
      <c r="AO208" s="255"/>
    </row>
    <row r="209" spans="2:41" x14ac:dyDescent="0.25">
      <c r="B209" s="321"/>
      <c r="C209" s="17"/>
      <c r="D209" s="273"/>
      <c r="E209" s="117"/>
      <c r="F209" s="4" t="str">
        <f t="shared" si="116"/>
        <v/>
      </c>
      <c r="G209" s="4" t="str">
        <f t="shared" si="117"/>
        <v/>
      </c>
      <c r="H209" s="4" t="str">
        <f t="shared" si="118"/>
        <v/>
      </c>
      <c r="I209" s="4" t="str">
        <f t="shared" si="119"/>
        <v/>
      </c>
      <c r="J209" s="247"/>
      <c r="K209" s="117"/>
      <c r="L209" s="4" t="str">
        <f t="shared" si="120"/>
        <v/>
      </c>
      <c r="M209" s="4" t="str">
        <f t="shared" si="121"/>
        <v/>
      </c>
      <c r="N209" s="4" t="str">
        <f t="shared" si="122"/>
        <v/>
      </c>
      <c r="O209" s="4" t="str">
        <f t="shared" si="123"/>
        <v/>
      </c>
      <c r="P209" s="247"/>
      <c r="Q209" s="117"/>
      <c r="R209" s="4" t="str">
        <f t="shared" si="124"/>
        <v/>
      </c>
      <c r="S209" s="4" t="str">
        <f t="shared" si="125"/>
        <v/>
      </c>
      <c r="T209" s="4" t="str">
        <f t="shared" si="126"/>
        <v/>
      </c>
      <c r="U209" s="4" t="str">
        <f t="shared" si="127"/>
        <v/>
      </c>
      <c r="V209" s="247"/>
      <c r="W209" s="67" t="str">
        <f t="shared" si="128"/>
        <v/>
      </c>
      <c r="X209" s="118"/>
      <c r="Z209" s="67" t="str">
        <f t="shared" si="129"/>
        <v/>
      </c>
      <c r="AA209" s="13">
        <f t="shared" si="130"/>
        <v>0</v>
      </c>
      <c r="AB209" s="17">
        <f t="shared" si="131"/>
        <v>0</v>
      </c>
      <c r="AC209" s="163" t="str">
        <f t="shared" si="132"/>
        <v/>
      </c>
      <c r="AD209" s="119"/>
      <c r="AE209" s="120"/>
      <c r="AF209" s="121"/>
      <c r="AG209" s="122"/>
      <c r="AH209" s="83"/>
      <c r="AI209" s="115"/>
      <c r="AJ209" s="116"/>
      <c r="AK209" s="83"/>
      <c r="AL209" s="85"/>
      <c r="AM209" s="254"/>
      <c r="AN209" s="254"/>
      <c r="AO209" s="255"/>
    </row>
    <row r="210" spans="2:41" x14ac:dyDescent="0.25">
      <c r="B210" s="321"/>
      <c r="C210" s="17"/>
      <c r="D210" s="273"/>
      <c r="E210" s="117"/>
      <c r="F210" s="4" t="str">
        <f t="shared" si="116"/>
        <v/>
      </c>
      <c r="G210" s="4" t="str">
        <f t="shared" si="117"/>
        <v/>
      </c>
      <c r="H210" s="4" t="str">
        <f t="shared" si="118"/>
        <v/>
      </c>
      <c r="I210" s="4" t="str">
        <f t="shared" si="119"/>
        <v/>
      </c>
      <c r="J210" s="247"/>
      <c r="K210" s="117"/>
      <c r="L210" s="4" t="str">
        <f t="shared" si="120"/>
        <v/>
      </c>
      <c r="M210" s="4" t="str">
        <f t="shared" si="121"/>
        <v/>
      </c>
      <c r="N210" s="4" t="str">
        <f t="shared" si="122"/>
        <v/>
      </c>
      <c r="O210" s="4" t="str">
        <f t="shared" si="123"/>
        <v/>
      </c>
      <c r="P210" s="247"/>
      <c r="Q210" s="117"/>
      <c r="R210" s="4" t="str">
        <f t="shared" si="124"/>
        <v/>
      </c>
      <c r="S210" s="4" t="str">
        <f t="shared" si="125"/>
        <v/>
      </c>
      <c r="T210" s="4" t="str">
        <f t="shared" si="126"/>
        <v/>
      </c>
      <c r="U210" s="4" t="str">
        <f t="shared" si="127"/>
        <v/>
      </c>
      <c r="V210" s="247"/>
      <c r="W210" s="67" t="str">
        <f t="shared" si="128"/>
        <v/>
      </c>
      <c r="X210" s="118"/>
      <c r="Z210" s="67" t="str">
        <f t="shared" si="129"/>
        <v/>
      </c>
      <c r="AA210" s="13">
        <f t="shared" si="130"/>
        <v>0</v>
      </c>
      <c r="AB210" s="17">
        <f t="shared" si="131"/>
        <v>0</v>
      </c>
      <c r="AC210" s="163" t="str">
        <f t="shared" si="132"/>
        <v/>
      </c>
      <c r="AD210" s="119"/>
      <c r="AE210" s="120"/>
      <c r="AF210" s="121"/>
      <c r="AG210" s="122"/>
      <c r="AH210" s="83"/>
      <c r="AI210" s="115"/>
      <c r="AJ210" s="116"/>
      <c r="AK210" s="83"/>
      <c r="AL210" s="85"/>
      <c r="AM210" s="254"/>
      <c r="AN210" s="254"/>
      <c r="AO210" s="255"/>
    </row>
    <row r="211" spans="2:41" x14ac:dyDescent="0.25">
      <c r="B211" s="321"/>
      <c r="C211" s="17"/>
      <c r="D211" s="273"/>
      <c r="E211" s="117"/>
      <c r="F211" s="4" t="str">
        <f t="shared" si="116"/>
        <v/>
      </c>
      <c r="G211" s="4" t="str">
        <f t="shared" si="117"/>
        <v/>
      </c>
      <c r="H211" s="4" t="str">
        <f t="shared" si="118"/>
        <v/>
      </c>
      <c r="I211" s="4" t="str">
        <f t="shared" si="119"/>
        <v/>
      </c>
      <c r="J211" s="247"/>
      <c r="K211" s="117"/>
      <c r="L211" s="4" t="str">
        <f t="shared" si="120"/>
        <v/>
      </c>
      <c r="M211" s="4" t="str">
        <f t="shared" si="121"/>
        <v/>
      </c>
      <c r="N211" s="4" t="str">
        <f t="shared" si="122"/>
        <v/>
      </c>
      <c r="O211" s="4" t="str">
        <f t="shared" si="123"/>
        <v/>
      </c>
      <c r="P211" s="247"/>
      <c r="Q211" s="117"/>
      <c r="R211" s="4" t="str">
        <f t="shared" si="124"/>
        <v/>
      </c>
      <c r="S211" s="4" t="str">
        <f t="shared" si="125"/>
        <v/>
      </c>
      <c r="T211" s="4" t="str">
        <f t="shared" si="126"/>
        <v/>
      </c>
      <c r="U211" s="4" t="str">
        <f t="shared" si="127"/>
        <v/>
      </c>
      <c r="V211" s="247"/>
      <c r="W211" s="67" t="str">
        <f t="shared" si="128"/>
        <v/>
      </c>
      <c r="X211" s="118"/>
      <c r="Z211" s="67" t="str">
        <f t="shared" si="129"/>
        <v/>
      </c>
      <c r="AA211" s="13">
        <f t="shared" si="130"/>
        <v>0</v>
      </c>
      <c r="AB211" s="17">
        <f t="shared" si="131"/>
        <v>0</v>
      </c>
      <c r="AC211" s="163" t="str">
        <f t="shared" si="132"/>
        <v/>
      </c>
      <c r="AD211" s="119"/>
      <c r="AE211" s="120"/>
      <c r="AF211" s="121"/>
      <c r="AG211" s="122"/>
      <c r="AH211" s="83"/>
      <c r="AI211" s="115"/>
      <c r="AJ211" s="116"/>
      <c r="AK211" s="83"/>
      <c r="AL211" s="85"/>
      <c r="AM211" s="254"/>
      <c r="AN211" s="254"/>
      <c r="AO211" s="255"/>
    </row>
    <row r="212" spans="2:41" x14ac:dyDescent="0.25">
      <c r="B212" s="321"/>
      <c r="C212" s="17"/>
      <c r="D212" s="273"/>
      <c r="E212" s="117"/>
      <c r="F212" s="4" t="str">
        <f t="shared" si="116"/>
        <v/>
      </c>
      <c r="G212" s="4" t="str">
        <f t="shared" si="117"/>
        <v/>
      </c>
      <c r="H212" s="4" t="str">
        <f t="shared" si="118"/>
        <v/>
      </c>
      <c r="I212" s="4" t="str">
        <f t="shared" si="119"/>
        <v/>
      </c>
      <c r="J212" s="247"/>
      <c r="K212" s="117"/>
      <c r="L212" s="4" t="str">
        <f t="shared" si="120"/>
        <v/>
      </c>
      <c r="M212" s="4" t="str">
        <f t="shared" si="121"/>
        <v/>
      </c>
      <c r="N212" s="4" t="str">
        <f t="shared" si="122"/>
        <v/>
      </c>
      <c r="O212" s="4" t="str">
        <f t="shared" si="123"/>
        <v/>
      </c>
      <c r="P212" s="247"/>
      <c r="Q212" s="117"/>
      <c r="R212" s="4" t="str">
        <f t="shared" si="124"/>
        <v/>
      </c>
      <c r="S212" s="4" t="str">
        <f t="shared" si="125"/>
        <v/>
      </c>
      <c r="T212" s="4" t="str">
        <f t="shared" si="126"/>
        <v/>
      </c>
      <c r="U212" s="4" t="str">
        <f t="shared" si="127"/>
        <v/>
      </c>
      <c r="V212" s="247"/>
      <c r="W212" s="67" t="str">
        <f t="shared" si="128"/>
        <v/>
      </c>
      <c r="X212" s="118"/>
      <c r="Z212" s="67" t="str">
        <f t="shared" si="129"/>
        <v/>
      </c>
      <c r="AA212" s="13">
        <f t="shared" si="130"/>
        <v>0</v>
      </c>
      <c r="AB212" s="17">
        <f t="shared" si="131"/>
        <v>0</v>
      </c>
      <c r="AC212" s="163" t="str">
        <f t="shared" si="132"/>
        <v/>
      </c>
      <c r="AD212" s="119"/>
      <c r="AE212" s="120"/>
      <c r="AF212" s="121"/>
      <c r="AG212" s="122"/>
      <c r="AH212" s="83"/>
      <c r="AI212" s="115"/>
      <c r="AJ212" s="116"/>
      <c r="AK212" s="83"/>
      <c r="AL212" s="85"/>
      <c r="AM212" s="254"/>
      <c r="AN212" s="254"/>
      <c r="AO212" s="255"/>
    </row>
    <row r="213" spans="2:41" x14ac:dyDescent="0.25">
      <c r="B213" s="321"/>
      <c r="C213" s="17"/>
      <c r="D213" s="273"/>
      <c r="E213" s="117"/>
      <c r="F213" s="4" t="str">
        <f t="shared" si="116"/>
        <v/>
      </c>
      <c r="G213" s="4" t="str">
        <f t="shared" si="117"/>
        <v/>
      </c>
      <c r="H213" s="4" t="str">
        <f t="shared" si="118"/>
        <v/>
      </c>
      <c r="I213" s="4" t="str">
        <f t="shared" si="119"/>
        <v/>
      </c>
      <c r="J213" s="247"/>
      <c r="K213" s="117"/>
      <c r="L213" s="4" t="str">
        <f t="shared" si="120"/>
        <v/>
      </c>
      <c r="M213" s="4" t="str">
        <f t="shared" si="121"/>
        <v/>
      </c>
      <c r="N213" s="4" t="str">
        <f t="shared" si="122"/>
        <v/>
      </c>
      <c r="O213" s="4" t="str">
        <f t="shared" si="123"/>
        <v/>
      </c>
      <c r="P213" s="247"/>
      <c r="Q213" s="117"/>
      <c r="R213" s="4" t="str">
        <f t="shared" si="124"/>
        <v/>
      </c>
      <c r="S213" s="4" t="str">
        <f t="shared" si="125"/>
        <v/>
      </c>
      <c r="T213" s="4" t="str">
        <f t="shared" si="126"/>
        <v/>
      </c>
      <c r="U213" s="4" t="str">
        <f t="shared" si="127"/>
        <v/>
      </c>
      <c r="V213" s="247"/>
      <c r="W213" s="67" t="str">
        <f t="shared" si="128"/>
        <v/>
      </c>
      <c r="X213" s="118"/>
      <c r="Z213" s="67" t="str">
        <f t="shared" si="129"/>
        <v/>
      </c>
      <c r="AA213" s="13">
        <f t="shared" si="130"/>
        <v>0</v>
      </c>
      <c r="AB213" s="17">
        <f t="shared" si="131"/>
        <v>0</v>
      </c>
      <c r="AC213" s="163" t="str">
        <f t="shared" si="132"/>
        <v/>
      </c>
      <c r="AD213" s="119"/>
      <c r="AE213" s="120"/>
      <c r="AF213" s="121"/>
      <c r="AG213" s="122"/>
      <c r="AH213" s="83"/>
      <c r="AI213" s="115"/>
      <c r="AJ213" s="116"/>
      <c r="AK213" s="83"/>
      <c r="AL213" s="85"/>
      <c r="AM213" s="254"/>
      <c r="AN213" s="254"/>
      <c r="AO213" s="255"/>
    </row>
    <row r="214" spans="2:41" x14ac:dyDescent="0.25">
      <c r="B214" s="321"/>
      <c r="C214" s="17"/>
      <c r="D214" s="273"/>
      <c r="E214" s="117"/>
      <c r="F214" s="4" t="str">
        <f t="shared" si="116"/>
        <v/>
      </c>
      <c r="G214" s="4" t="str">
        <f t="shared" si="117"/>
        <v/>
      </c>
      <c r="H214" s="4" t="str">
        <f t="shared" si="118"/>
        <v/>
      </c>
      <c r="I214" s="4" t="str">
        <f t="shared" si="119"/>
        <v/>
      </c>
      <c r="J214" s="247"/>
      <c r="K214" s="117"/>
      <c r="L214" s="4" t="str">
        <f t="shared" si="120"/>
        <v/>
      </c>
      <c r="M214" s="4" t="str">
        <f t="shared" si="121"/>
        <v/>
      </c>
      <c r="N214" s="4" t="str">
        <f t="shared" si="122"/>
        <v/>
      </c>
      <c r="O214" s="4" t="str">
        <f t="shared" si="123"/>
        <v/>
      </c>
      <c r="P214" s="247"/>
      <c r="Q214" s="117"/>
      <c r="R214" s="4" t="str">
        <f t="shared" si="124"/>
        <v/>
      </c>
      <c r="S214" s="4" t="str">
        <f t="shared" si="125"/>
        <v/>
      </c>
      <c r="T214" s="4" t="str">
        <f t="shared" si="126"/>
        <v/>
      </c>
      <c r="U214" s="4" t="str">
        <f t="shared" si="127"/>
        <v/>
      </c>
      <c r="V214" s="247"/>
      <c r="W214" s="67" t="str">
        <f t="shared" si="128"/>
        <v/>
      </c>
      <c r="X214" s="118"/>
      <c r="Z214" s="67" t="str">
        <f t="shared" si="129"/>
        <v/>
      </c>
      <c r="AA214" s="13">
        <f t="shared" si="130"/>
        <v>0</v>
      </c>
      <c r="AB214" s="17">
        <f t="shared" si="131"/>
        <v>0</v>
      </c>
      <c r="AC214" s="163" t="str">
        <f t="shared" si="132"/>
        <v/>
      </c>
      <c r="AD214" s="119"/>
      <c r="AE214" s="120"/>
      <c r="AF214" s="121"/>
      <c r="AG214" s="122"/>
      <c r="AH214" s="83"/>
      <c r="AI214" s="115"/>
      <c r="AJ214" s="116"/>
      <c r="AK214" s="83"/>
      <c r="AL214" s="85"/>
      <c r="AM214" s="254"/>
      <c r="AN214" s="254"/>
      <c r="AO214" s="255"/>
    </row>
    <row r="215" spans="2:41" x14ac:dyDescent="0.25">
      <c r="B215" s="321"/>
      <c r="C215" s="17"/>
      <c r="D215" s="273"/>
      <c r="E215" s="117"/>
      <c r="F215" s="4" t="str">
        <f t="shared" si="116"/>
        <v/>
      </c>
      <c r="G215" s="4" t="str">
        <f t="shared" si="117"/>
        <v/>
      </c>
      <c r="H215" s="4" t="str">
        <f t="shared" si="118"/>
        <v/>
      </c>
      <c r="I215" s="4" t="str">
        <f t="shared" si="119"/>
        <v/>
      </c>
      <c r="J215" s="247"/>
      <c r="K215" s="117"/>
      <c r="L215" s="4" t="str">
        <f t="shared" si="120"/>
        <v/>
      </c>
      <c r="M215" s="4" t="str">
        <f t="shared" si="121"/>
        <v/>
      </c>
      <c r="N215" s="4" t="str">
        <f t="shared" si="122"/>
        <v/>
      </c>
      <c r="O215" s="4" t="str">
        <f t="shared" si="123"/>
        <v/>
      </c>
      <c r="P215" s="247"/>
      <c r="Q215" s="117"/>
      <c r="R215" s="4" t="str">
        <f t="shared" si="124"/>
        <v/>
      </c>
      <c r="S215" s="4" t="str">
        <f t="shared" si="125"/>
        <v/>
      </c>
      <c r="T215" s="4" t="str">
        <f t="shared" si="126"/>
        <v/>
      </c>
      <c r="U215" s="4" t="str">
        <f t="shared" si="127"/>
        <v/>
      </c>
      <c r="V215" s="247"/>
      <c r="W215" s="67" t="str">
        <f t="shared" si="128"/>
        <v/>
      </c>
      <c r="X215" s="118"/>
      <c r="Z215" s="67" t="str">
        <f t="shared" si="129"/>
        <v/>
      </c>
      <c r="AA215" s="13">
        <f t="shared" si="130"/>
        <v>0</v>
      </c>
      <c r="AB215" s="17">
        <f t="shared" si="131"/>
        <v>0</v>
      </c>
      <c r="AC215" s="163" t="str">
        <f t="shared" si="132"/>
        <v/>
      </c>
      <c r="AD215" s="119"/>
      <c r="AE215" s="120"/>
      <c r="AF215" s="121"/>
      <c r="AG215" s="122"/>
      <c r="AH215" s="83"/>
      <c r="AI215" s="115"/>
      <c r="AJ215" s="116"/>
      <c r="AK215" s="83"/>
      <c r="AL215" s="85"/>
      <c r="AM215" s="254"/>
      <c r="AN215" s="254"/>
      <c r="AO215" s="255"/>
    </row>
    <row r="216" spans="2:41" x14ac:dyDescent="0.25">
      <c r="B216" s="321"/>
      <c r="C216" s="17"/>
      <c r="D216" s="273"/>
      <c r="E216" s="117"/>
      <c r="F216" s="4" t="str">
        <f t="shared" si="116"/>
        <v/>
      </c>
      <c r="G216" s="4" t="str">
        <f t="shared" si="117"/>
        <v/>
      </c>
      <c r="H216" s="4" t="str">
        <f t="shared" si="118"/>
        <v/>
      </c>
      <c r="I216" s="4" t="str">
        <f t="shared" si="119"/>
        <v/>
      </c>
      <c r="J216" s="247"/>
      <c r="K216" s="117"/>
      <c r="L216" s="4" t="str">
        <f t="shared" si="120"/>
        <v/>
      </c>
      <c r="M216" s="4" t="str">
        <f t="shared" si="121"/>
        <v/>
      </c>
      <c r="N216" s="4" t="str">
        <f t="shared" si="122"/>
        <v/>
      </c>
      <c r="O216" s="4" t="str">
        <f t="shared" si="123"/>
        <v/>
      </c>
      <c r="P216" s="247"/>
      <c r="Q216" s="117"/>
      <c r="R216" s="4" t="str">
        <f t="shared" si="124"/>
        <v/>
      </c>
      <c r="S216" s="4" t="str">
        <f t="shared" si="125"/>
        <v/>
      </c>
      <c r="T216" s="4" t="str">
        <f t="shared" si="126"/>
        <v/>
      </c>
      <c r="U216" s="4" t="str">
        <f t="shared" si="127"/>
        <v/>
      </c>
      <c r="V216" s="247"/>
      <c r="W216" s="67" t="str">
        <f t="shared" si="128"/>
        <v/>
      </c>
      <c r="X216" s="118"/>
      <c r="Z216" s="67" t="str">
        <f t="shared" si="129"/>
        <v/>
      </c>
      <c r="AA216" s="13">
        <f t="shared" si="130"/>
        <v>0</v>
      </c>
      <c r="AB216" s="17">
        <f t="shared" si="131"/>
        <v>0</v>
      </c>
      <c r="AC216" s="163" t="str">
        <f t="shared" si="132"/>
        <v/>
      </c>
      <c r="AD216" s="119"/>
      <c r="AE216" s="120"/>
      <c r="AF216" s="121"/>
      <c r="AG216" s="122"/>
      <c r="AH216" s="83"/>
      <c r="AI216" s="115"/>
      <c r="AJ216" s="116"/>
      <c r="AK216" s="83"/>
      <c r="AL216" s="85"/>
      <c r="AM216" s="254"/>
      <c r="AN216" s="254"/>
      <c r="AO216" s="255"/>
    </row>
    <row r="217" spans="2:41" x14ac:dyDescent="0.25">
      <c r="B217" s="321"/>
      <c r="C217" s="17"/>
      <c r="D217" s="273"/>
      <c r="E217" s="117"/>
      <c r="F217" s="4" t="str">
        <f t="shared" si="116"/>
        <v/>
      </c>
      <c r="G217" s="4" t="str">
        <f t="shared" si="117"/>
        <v/>
      </c>
      <c r="H217" s="4" t="str">
        <f t="shared" si="118"/>
        <v/>
      </c>
      <c r="I217" s="4" t="str">
        <f t="shared" si="119"/>
        <v/>
      </c>
      <c r="J217" s="247"/>
      <c r="K217" s="117"/>
      <c r="L217" s="4" t="str">
        <f t="shared" si="120"/>
        <v/>
      </c>
      <c r="M217" s="4" t="str">
        <f t="shared" si="121"/>
        <v/>
      </c>
      <c r="N217" s="4" t="str">
        <f t="shared" si="122"/>
        <v/>
      </c>
      <c r="O217" s="4" t="str">
        <f t="shared" si="123"/>
        <v/>
      </c>
      <c r="P217" s="247"/>
      <c r="Q217" s="117"/>
      <c r="R217" s="4" t="str">
        <f t="shared" si="124"/>
        <v/>
      </c>
      <c r="S217" s="4" t="str">
        <f t="shared" si="125"/>
        <v/>
      </c>
      <c r="T217" s="4" t="str">
        <f t="shared" si="126"/>
        <v/>
      </c>
      <c r="U217" s="4" t="str">
        <f t="shared" si="127"/>
        <v/>
      </c>
      <c r="V217" s="247"/>
      <c r="W217" s="67" t="str">
        <f t="shared" si="128"/>
        <v/>
      </c>
      <c r="X217" s="118"/>
      <c r="Z217" s="67" t="str">
        <f t="shared" si="129"/>
        <v/>
      </c>
      <c r="AA217" s="13">
        <f t="shared" si="130"/>
        <v>0</v>
      </c>
      <c r="AB217" s="17">
        <f t="shared" si="131"/>
        <v>0</v>
      </c>
      <c r="AC217" s="163" t="str">
        <f t="shared" si="132"/>
        <v/>
      </c>
      <c r="AD217" s="119"/>
      <c r="AE217" s="120"/>
      <c r="AF217" s="121"/>
      <c r="AG217" s="122"/>
      <c r="AH217" s="83"/>
      <c r="AI217" s="115"/>
      <c r="AJ217" s="116"/>
      <c r="AK217" s="83"/>
      <c r="AL217" s="85"/>
      <c r="AM217" s="254"/>
      <c r="AN217" s="254"/>
      <c r="AO217" s="255"/>
    </row>
    <row r="218" spans="2:41" x14ac:dyDescent="0.25">
      <c r="B218" s="321"/>
      <c r="C218" s="17"/>
      <c r="D218" s="273"/>
      <c r="E218" s="117"/>
      <c r="F218" s="4" t="str">
        <f t="shared" si="116"/>
        <v/>
      </c>
      <c r="G218" s="4" t="str">
        <f t="shared" si="117"/>
        <v/>
      </c>
      <c r="H218" s="4" t="str">
        <f t="shared" si="118"/>
        <v/>
      </c>
      <c r="I218" s="4" t="str">
        <f t="shared" si="119"/>
        <v/>
      </c>
      <c r="J218" s="247"/>
      <c r="K218" s="117"/>
      <c r="L218" s="4" t="str">
        <f t="shared" si="120"/>
        <v/>
      </c>
      <c r="M218" s="4" t="str">
        <f t="shared" si="121"/>
        <v/>
      </c>
      <c r="N218" s="4" t="str">
        <f t="shared" si="122"/>
        <v/>
      </c>
      <c r="O218" s="4" t="str">
        <f t="shared" si="123"/>
        <v/>
      </c>
      <c r="P218" s="247"/>
      <c r="Q218" s="117"/>
      <c r="R218" s="4" t="str">
        <f t="shared" si="124"/>
        <v/>
      </c>
      <c r="S218" s="4" t="str">
        <f t="shared" si="125"/>
        <v/>
      </c>
      <c r="T218" s="4" t="str">
        <f t="shared" si="126"/>
        <v/>
      </c>
      <c r="U218" s="4" t="str">
        <f t="shared" si="127"/>
        <v/>
      </c>
      <c r="V218" s="247"/>
      <c r="W218" s="67" t="str">
        <f t="shared" si="128"/>
        <v/>
      </c>
      <c r="X218" s="118"/>
      <c r="Z218" s="67" t="str">
        <f t="shared" si="129"/>
        <v/>
      </c>
      <c r="AA218" s="13">
        <f t="shared" si="130"/>
        <v>0</v>
      </c>
      <c r="AB218" s="17">
        <f t="shared" si="131"/>
        <v>0</v>
      </c>
      <c r="AC218" s="163" t="str">
        <f t="shared" si="132"/>
        <v/>
      </c>
      <c r="AD218" s="119"/>
      <c r="AE218" s="120"/>
      <c r="AF218" s="121"/>
      <c r="AG218" s="122"/>
      <c r="AH218" s="83"/>
      <c r="AI218" s="115"/>
      <c r="AJ218" s="116"/>
      <c r="AK218" s="83"/>
      <c r="AL218" s="85"/>
      <c r="AM218" s="254"/>
      <c r="AN218" s="254"/>
      <c r="AO218" s="255"/>
    </row>
    <row r="219" spans="2:41" x14ac:dyDescent="0.25">
      <c r="B219" s="321"/>
      <c r="C219" s="17"/>
      <c r="D219" s="273"/>
      <c r="E219" s="117"/>
      <c r="F219" s="4" t="str">
        <f t="shared" si="116"/>
        <v/>
      </c>
      <c r="G219" s="4" t="str">
        <f t="shared" si="117"/>
        <v/>
      </c>
      <c r="H219" s="4" t="str">
        <f t="shared" si="118"/>
        <v/>
      </c>
      <c r="I219" s="4" t="str">
        <f t="shared" si="119"/>
        <v/>
      </c>
      <c r="J219" s="247"/>
      <c r="K219" s="117"/>
      <c r="L219" s="4" t="str">
        <f t="shared" si="120"/>
        <v/>
      </c>
      <c r="M219" s="4" t="str">
        <f t="shared" si="121"/>
        <v/>
      </c>
      <c r="N219" s="4" t="str">
        <f t="shared" si="122"/>
        <v/>
      </c>
      <c r="O219" s="4" t="str">
        <f t="shared" si="123"/>
        <v/>
      </c>
      <c r="P219" s="247"/>
      <c r="Q219" s="117"/>
      <c r="R219" s="4" t="str">
        <f t="shared" si="124"/>
        <v/>
      </c>
      <c r="S219" s="4" t="str">
        <f t="shared" si="125"/>
        <v/>
      </c>
      <c r="T219" s="4" t="str">
        <f t="shared" si="126"/>
        <v/>
      </c>
      <c r="U219" s="4" t="str">
        <f t="shared" si="127"/>
        <v/>
      </c>
      <c r="V219" s="247"/>
      <c r="W219" s="67" t="str">
        <f t="shared" si="128"/>
        <v/>
      </c>
      <c r="X219" s="118"/>
      <c r="Z219" s="67" t="str">
        <f t="shared" si="129"/>
        <v/>
      </c>
      <c r="AA219" s="13">
        <f t="shared" si="130"/>
        <v>0</v>
      </c>
      <c r="AB219" s="17">
        <f t="shared" si="131"/>
        <v>0</v>
      </c>
      <c r="AC219" s="163" t="str">
        <f t="shared" si="132"/>
        <v/>
      </c>
      <c r="AD219" s="119"/>
      <c r="AE219" s="120"/>
      <c r="AF219" s="121"/>
      <c r="AG219" s="122"/>
      <c r="AH219" s="83"/>
      <c r="AI219" s="115"/>
      <c r="AJ219" s="116"/>
      <c r="AK219" s="83"/>
      <c r="AL219" s="85"/>
      <c r="AM219" s="254"/>
      <c r="AN219" s="254"/>
      <c r="AO219" s="255"/>
    </row>
    <row r="220" spans="2:41" x14ac:dyDescent="0.25">
      <c r="B220" s="321"/>
      <c r="C220" s="17"/>
      <c r="D220" s="273"/>
      <c r="E220" s="117"/>
      <c r="F220" s="4" t="str">
        <f t="shared" si="116"/>
        <v/>
      </c>
      <c r="G220" s="4" t="str">
        <f t="shared" si="117"/>
        <v/>
      </c>
      <c r="H220" s="4" t="str">
        <f t="shared" si="118"/>
        <v/>
      </c>
      <c r="I220" s="4" t="str">
        <f t="shared" si="119"/>
        <v/>
      </c>
      <c r="J220" s="247"/>
      <c r="K220" s="117"/>
      <c r="L220" s="4" t="str">
        <f t="shared" si="120"/>
        <v/>
      </c>
      <c r="M220" s="4" t="str">
        <f t="shared" si="121"/>
        <v/>
      </c>
      <c r="N220" s="4" t="str">
        <f t="shared" si="122"/>
        <v/>
      </c>
      <c r="O220" s="4" t="str">
        <f t="shared" si="123"/>
        <v/>
      </c>
      <c r="P220" s="247"/>
      <c r="Q220" s="117"/>
      <c r="R220" s="4" t="str">
        <f t="shared" si="124"/>
        <v/>
      </c>
      <c r="S220" s="4" t="str">
        <f t="shared" si="125"/>
        <v/>
      </c>
      <c r="T220" s="4" t="str">
        <f t="shared" si="126"/>
        <v/>
      </c>
      <c r="U220" s="4" t="str">
        <f t="shared" si="127"/>
        <v/>
      </c>
      <c r="V220" s="247"/>
      <c r="W220" s="67" t="str">
        <f t="shared" si="128"/>
        <v/>
      </c>
      <c r="X220" s="118"/>
      <c r="Z220" s="67" t="str">
        <f t="shared" si="129"/>
        <v/>
      </c>
      <c r="AA220" s="13">
        <f t="shared" si="130"/>
        <v>0</v>
      </c>
      <c r="AB220" s="17">
        <f t="shared" si="131"/>
        <v>0</v>
      </c>
      <c r="AC220" s="163" t="str">
        <f t="shared" si="132"/>
        <v/>
      </c>
      <c r="AD220" s="119"/>
      <c r="AE220" s="120"/>
      <c r="AF220" s="121"/>
      <c r="AG220" s="122"/>
      <c r="AH220" s="83"/>
      <c r="AI220" s="115"/>
      <c r="AJ220" s="116"/>
      <c r="AK220" s="83"/>
      <c r="AL220" s="85"/>
      <c r="AM220" s="254"/>
      <c r="AN220" s="254"/>
      <c r="AO220" s="255"/>
    </row>
    <row r="221" spans="2:41" x14ac:dyDescent="0.25">
      <c r="B221" s="321"/>
      <c r="C221" s="17"/>
      <c r="D221" s="273"/>
      <c r="E221" s="117"/>
      <c r="F221" s="4" t="str">
        <f t="shared" si="116"/>
        <v/>
      </c>
      <c r="G221" s="4" t="str">
        <f t="shared" si="117"/>
        <v/>
      </c>
      <c r="H221" s="4" t="str">
        <f t="shared" si="118"/>
        <v/>
      </c>
      <c r="I221" s="4" t="str">
        <f t="shared" si="119"/>
        <v/>
      </c>
      <c r="J221" s="247"/>
      <c r="K221" s="117"/>
      <c r="L221" s="4" t="str">
        <f t="shared" si="120"/>
        <v/>
      </c>
      <c r="M221" s="4" t="str">
        <f t="shared" si="121"/>
        <v/>
      </c>
      <c r="N221" s="4" t="str">
        <f t="shared" si="122"/>
        <v/>
      </c>
      <c r="O221" s="4" t="str">
        <f t="shared" si="123"/>
        <v/>
      </c>
      <c r="P221" s="247"/>
      <c r="Q221" s="117"/>
      <c r="R221" s="4" t="str">
        <f t="shared" si="124"/>
        <v/>
      </c>
      <c r="S221" s="4" t="str">
        <f t="shared" si="125"/>
        <v/>
      </c>
      <c r="T221" s="4" t="str">
        <f t="shared" si="126"/>
        <v/>
      </c>
      <c r="U221" s="4" t="str">
        <f t="shared" si="127"/>
        <v/>
      </c>
      <c r="V221" s="247"/>
      <c r="W221" s="67" t="str">
        <f t="shared" si="128"/>
        <v/>
      </c>
      <c r="X221" s="118"/>
      <c r="Z221" s="67" t="str">
        <f t="shared" si="129"/>
        <v/>
      </c>
      <c r="AA221" s="13">
        <f t="shared" si="130"/>
        <v>0</v>
      </c>
      <c r="AB221" s="17">
        <f t="shared" si="131"/>
        <v>0</v>
      </c>
      <c r="AC221" s="163" t="str">
        <f t="shared" si="132"/>
        <v/>
      </c>
      <c r="AD221" s="119"/>
      <c r="AE221" s="120"/>
      <c r="AF221" s="121"/>
      <c r="AG221" s="122"/>
      <c r="AH221" s="83"/>
      <c r="AI221" s="115"/>
      <c r="AJ221" s="116"/>
      <c r="AK221" s="83"/>
      <c r="AL221" s="85"/>
      <c r="AM221" s="254"/>
      <c r="AN221" s="254"/>
      <c r="AO221" s="255"/>
    </row>
    <row r="222" spans="2:41" x14ac:dyDescent="0.25">
      <c r="B222" s="321"/>
      <c r="C222" s="17"/>
      <c r="D222" s="273"/>
      <c r="E222" s="117"/>
      <c r="F222" s="4" t="str">
        <f t="shared" si="116"/>
        <v/>
      </c>
      <c r="G222" s="4" t="str">
        <f t="shared" si="117"/>
        <v/>
      </c>
      <c r="H222" s="4" t="str">
        <f t="shared" si="118"/>
        <v/>
      </c>
      <c r="I222" s="4" t="str">
        <f t="shared" si="119"/>
        <v/>
      </c>
      <c r="J222" s="247"/>
      <c r="K222" s="117"/>
      <c r="L222" s="4" t="str">
        <f t="shared" si="120"/>
        <v/>
      </c>
      <c r="M222" s="4" t="str">
        <f t="shared" si="121"/>
        <v/>
      </c>
      <c r="N222" s="4" t="str">
        <f t="shared" si="122"/>
        <v/>
      </c>
      <c r="O222" s="4" t="str">
        <f t="shared" si="123"/>
        <v/>
      </c>
      <c r="P222" s="247"/>
      <c r="Q222" s="117"/>
      <c r="R222" s="4" t="str">
        <f t="shared" si="124"/>
        <v/>
      </c>
      <c r="S222" s="4" t="str">
        <f t="shared" si="125"/>
        <v/>
      </c>
      <c r="T222" s="4" t="str">
        <f t="shared" si="126"/>
        <v/>
      </c>
      <c r="U222" s="4" t="str">
        <f t="shared" si="127"/>
        <v/>
      </c>
      <c r="V222" s="247"/>
      <c r="W222" s="67" t="str">
        <f t="shared" si="128"/>
        <v/>
      </c>
      <c r="X222" s="118"/>
      <c r="Z222" s="67" t="str">
        <f t="shared" si="129"/>
        <v/>
      </c>
      <c r="AA222" s="13">
        <f t="shared" si="130"/>
        <v>0</v>
      </c>
      <c r="AB222" s="17">
        <f t="shared" si="131"/>
        <v>0</v>
      </c>
      <c r="AC222" s="163" t="str">
        <f t="shared" si="132"/>
        <v/>
      </c>
      <c r="AD222" s="119"/>
      <c r="AE222" s="120"/>
      <c r="AF222" s="121"/>
      <c r="AG222" s="122"/>
      <c r="AH222" s="83"/>
      <c r="AI222" s="115"/>
      <c r="AJ222" s="116"/>
      <c r="AK222" s="83"/>
      <c r="AL222" s="85"/>
      <c r="AM222" s="254"/>
      <c r="AN222" s="254"/>
      <c r="AO222" s="255"/>
    </row>
    <row r="223" spans="2:41" x14ac:dyDescent="0.25">
      <c r="B223" s="321"/>
      <c r="C223" s="17"/>
      <c r="D223" s="273"/>
      <c r="E223" s="117"/>
      <c r="F223" s="4" t="str">
        <f t="shared" si="116"/>
        <v/>
      </c>
      <c r="G223" s="4" t="str">
        <f t="shared" si="117"/>
        <v/>
      </c>
      <c r="H223" s="4" t="str">
        <f t="shared" si="118"/>
        <v/>
      </c>
      <c r="I223" s="4" t="str">
        <f t="shared" si="119"/>
        <v/>
      </c>
      <c r="J223" s="247"/>
      <c r="K223" s="117"/>
      <c r="L223" s="4" t="str">
        <f t="shared" si="120"/>
        <v/>
      </c>
      <c r="M223" s="4" t="str">
        <f t="shared" si="121"/>
        <v/>
      </c>
      <c r="N223" s="4" t="str">
        <f t="shared" si="122"/>
        <v/>
      </c>
      <c r="O223" s="4" t="str">
        <f t="shared" si="123"/>
        <v/>
      </c>
      <c r="P223" s="247"/>
      <c r="Q223" s="117"/>
      <c r="R223" s="4" t="str">
        <f t="shared" si="124"/>
        <v/>
      </c>
      <c r="S223" s="4" t="str">
        <f t="shared" si="125"/>
        <v/>
      </c>
      <c r="T223" s="4" t="str">
        <f t="shared" si="126"/>
        <v/>
      </c>
      <c r="U223" s="4" t="str">
        <f t="shared" si="127"/>
        <v/>
      </c>
      <c r="V223" s="247"/>
      <c r="W223" s="67" t="str">
        <f t="shared" si="128"/>
        <v/>
      </c>
      <c r="X223" s="118"/>
      <c r="Z223" s="67" t="str">
        <f t="shared" si="129"/>
        <v/>
      </c>
      <c r="AA223" s="13">
        <f t="shared" si="130"/>
        <v>0</v>
      </c>
      <c r="AB223" s="17">
        <f t="shared" si="131"/>
        <v>0</v>
      </c>
      <c r="AC223" s="163" t="str">
        <f t="shared" si="132"/>
        <v/>
      </c>
      <c r="AD223" s="119"/>
      <c r="AE223" s="120"/>
      <c r="AF223" s="121"/>
      <c r="AG223" s="122"/>
      <c r="AH223" s="83"/>
      <c r="AI223" s="115"/>
      <c r="AJ223" s="116"/>
      <c r="AK223" s="83"/>
      <c r="AL223" s="85"/>
      <c r="AM223" s="254"/>
      <c r="AN223" s="254"/>
      <c r="AO223" s="255"/>
    </row>
    <row r="224" spans="2:41" x14ac:dyDescent="0.25">
      <c r="B224" s="321"/>
      <c r="C224" s="17"/>
      <c r="D224" s="273"/>
      <c r="E224" s="117"/>
      <c r="F224" s="4" t="str">
        <f t="shared" si="116"/>
        <v/>
      </c>
      <c r="G224" s="4" t="str">
        <f t="shared" si="117"/>
        <v/>
      </c>
      <c r="H224" s="4" t="str">
        <f t="shared" si="118"/>
        <v/>
      </c>
      <c r="I224" s="4" t="str">
        <f t="shared" si="119"/>
        <v/>
      </c>
      <c r="J224" s="247"/>
      <c r="K224" s="117"/>
      <c r="L224" s="4" t="str">
        <f t="shared" si="120"/>
        <v/>
      </c>
      <c r="M224" s="4" t="str">
        <f t="shared" si="121"/>
        <v/>
      </c>
      <c r="N224" s="4" t="str">
        <f t="shared" si="122"/>
        <v/>
      </c>
      <c r="O224" s="4" t="str">
        <f t="shared" si="123"/>
        <v/>
      </c>
      <c r="P224" s="247"/>
      <c r="Q224" s="117"/>
      <c r="R224" s="4" t="str">
        <f t="shared" si="124"/>
        <v/>
      </c>
      <c r="S224" s="4" t="str">
        <f t="shared" si="125"/>
        <v/>
      </c>
      <c r="T224" s="4" t="str">
        <f t="shared" si="126"/>
        <v/>
      </c>
      <c r="U224" s="4" t="str">
        <f t="shared" si="127"/>
        <v/>
      </c>
      <c r="V224" s="247"/>
      <c r="W224" s="67" t="str">
        <f t="shared" si="128"/>
        <v/>
      </c>
      <c r="X224" s="118"/>
      <c r="Z224" s="67" t="str">
        <f t="shared" si="129"/>
        <v/>
      </c>
      <c r="AA224" s="13">
        <f t="shared" si="130"/>
        <v>0</v>
      </c>
      <c r="AB224" s="17">
        <f t="shared" si="131"/>
        <v>0</v>
      </c>
      <c r="AC224" s="163" t="str">
        <f t="shared" si="132"/>
        <v/>
      </c>
      <c r="AD224" s="119"/>
      <c r="AE224" s="120"/>
      <c r="AF224" s="121"/>
      <c r="AG224" s="122"/>
      <c r="AH224" s="83"/>
      <c r="AI224" s="115"/>
      <c r="AJ224" s="116"/>
      <c r="AK224" s="83"/>
      <c r="AL224" s="85"/>
      <c r="AM224" s="254"/>
      <c r="AN224" s="254"/>
      <c r="AO224" s="255"/>
    </row>
    <row r="225" spans="2:41" x14ac:dyDescent="0.25">
      <c r="B225" s="321"/>
      <c r="C225" s="17"/>
      <c r="D225" s="273"/>
      <c r="E225" s="117"/>
      <c r="F225" s="4" t="str">
        <f t="shared" si="116"/>
        <v/>
      </c>
      <c r="G225" s="4" t="str">
        <f t="shared" si="117"/>
        <v/>
      </c>
      <c r="H225" s="4" t="str">
        <f t="shared" si="118"/>
        <v/>
      </c>
      <c r="I225" s="4" t="str">
        <f t="shared" si="119"/>
        <v/>
      </c>
      <c r="J225" s="247"/>
      <c r="K225" s="117"/>
      <c r="L225" s="4" t="str">
        <f t="shared" si="120"/>
        <v/>
      </c>
      <c r="M225" s="4" t="str">
        <f t="shared" si="121"/>
        <v/>
      </c>
      <c r="N225" s="4" t="str">
        <f t="shared" si="122"/>
        <v/>
      </c>
      <c r="O225" s="4" t="str">
        <f t="shared" si="123"/>
        <v/>
      </c>
      <c r="P225" s="247"/>
      <c r="Q225" s="117"/>
      <c r="R225" s="4" t="str">
        <f t="shared" si="124"/>
        <v/>
      </c>
      <c r="S225" s="4" t="str">
        <f t="shared" si="125"/>
        <v/>
      </c>
      <c r="T225" s="4" t="str">
        <f t="shared" si="126"/>
        <v/>
      </c>
      <c r="U225" s="4" t="str">
        <f t="shared" si="127"/>
        <v/>
      </c>
      <c r="V225" s="247"/>
      <c r="W225" s="67" t="str">
        <f t="shared" si="128"/>
        <v/>
      </c>
      <c r="X225" s="118"/>
      <c r="Z225" s="67" t="str">
        <f t="shared" si="129"/>
        <v/>
      </c>
      <c r="AA225" s="13">
        <f t="shared" si="130"/>
        <v>0</v>
      </c>
      <c r="AB225" s="17">
        <f t="shared" si="131"/>
        <v>0</v>
      </c>
      <c r="AC225" s="163" t="str">
        <f t="shared" si="132"/>
        <v/>
      </c>
      <c r="AD225" s="119"/>
      <c r="AE225" s="120"/>
      <c r="AF225" s="121"/>
      <c r="AG225" s="122"/>
      <c r="AH225" s="83"/>
      <c r="AI225" s="115"/>
      <c r="AJ225" s="116"/>
      <c r="AK225" s="83"/>
      <c r="AL225" s="85"/>
      <c r="AM225" s="254"/>
      <c r="AN225" s="254"/>
      <c r="AO225" s="255"/>
    </row>
    <row r="226" spans="2:41" x14ac:dyDescent="0.25">
      <c r="B226" s="321"/>
      <c r="C226" s="17"/>
      <c r="D226" s="273"/>
      <c r="E226" s="117"/>
      <c r="F226" s="4" t="str">
        <f t="shared" si="116"/>
        <v/>
      </c>
      <c r="G226" s="4" t="str">
        <f t="shared" si="117"/>
        <v/>
      </c>
      <c r="H226" s="4" t="str">
        <f t="shared" si="118"/>
        <v/>
      </c>
      <c r="I226" s="4" t="str">
        <f t="shared" si="119"/>
        <v/>
      </c>
      <c r="J226" s="247"/>
      <c r="K226" s="117"/>
      <c r="L226" s="4" t="str">
        <f t="shared" si="120"/>
        <v/>
      </c>
      <c r="M226" s="4" t="str">
        <f t="shared" si="121"/>
        <v/>
      </c>
      <c r="N226" s="4" t="str">
        <f t="shared" si="122"/>
        <v/>
      </c>
      <c r="O226" s="4" t="str">
        <f t="shared" si="123"/>
        <v/>
      </c>
      <c r="P226" s="247"/>
      <c r="Q226" s="117"/>
      <c r="R226" s="4" t="str">
        <f t="shared" si="124"/>
        <v/>
      </c>
      <c r="S226" s="4" t="str">
        <f t="shared" si="125"/>
        <v/>
      </c>
      <c r="T226" s="4" t="str">
        <f t="shared" si="126"/>
        <v/>
      </c>
      <c r="U226" s="4" t="str">
        <f t="shared" si="127"/>
        <v/>
      </c>
      <c r="V226" s="247"/>
      <c r="W226" s="67" t="str">
        <f t="shared" si="128"/>
        <v/>
      </c>
      <c r="X226" s="118"/>
      <c r="Z226" s="67" t="str">
        <f t="shared" si="129"/>
        <v/>
      </c>
      <c r="AA226" s="13">
        <f t="shared" si="130"/>
        <v>0</v>
      </c>
      <c r="AB226" s="17">
        <f t="shared" si="131"/>
        <v>0</v>
      </c>
      <c r="AC226" s="163" t="str">
        <f t="shared" si="132"/>
        <v/>
      </c>
      <c r="AD226" s="119"/>
      <c r="AE226" s="120"/>
      <c r="AF226" s="121"/>
      <c r="AG226" s="122"/>
      <c r="AH226" s="83"/>
      <c r="AI226" s="115"/>
      <c r="AJ226" s="116"/>
      <c r="AK226" s="83"/>
      <c r="AL226" s="85"/>
      <c r="AM226" s="254"/>
      <c r="AN226" s="254"/>
      <c r="AO226" s="255"/>
    </row>
    <row r="227" spans="2:41" x14ac:dyDescent="0.25">
      <c r="B227" s="321"/>
      <c r="C227" s="17"/>
      <c r="D227" s="273"/>
      <c r="E227" s="117"/>
      <c r="F227" s="13" t="str">
        <f t="shared" si="116"/>
        <v/>
      </c>
      <c r="G227" s="4" t="str">
        <f t="shared" si="117"/>
        <v/>
      </c>
      <c r="H227" s="4" t="str">
        <f t="shared" si="118"/>
        <v/>
      </c>
      <c r="I227" s="4" t="str">
        <f t="shared" si="119"/>
        <v/>
      </c>
      <c r="J227" s="247"/>
      <c r="K227" s="117"/>
      <c r="L227" s="4" t="str">
        <f t="shared" si="120"/>
        <v/>
      </c>
      <c r="M227" s="4" t="str">
        <f t="shared" si="121"/>
        <v/>
      </c>
      <c r="N227" s="4" t="str">
        <f t="shared" si="122"/>
        <v/>
      </c>
      <c r="O227" s="4" t="str">
        <f t="shared" si="123"/>
        <v/>
      </c>
      <c r="P227" s="247"/>
      <c r="Q227" s="117"/>
      <c r="R227" s="4" t="str">
        <f t="shared" si="124"/>
        <v/>
      </c>
      <c r="S227" s="4" t="str">
        <f t="shared" si="125"/>
        <v/>
      </c>
      <c r="T227" s="4" t="str">
        <f t="shared" si="126"/>
        <v/>
      </c>
      <c r="U227" s="4" t="str">
        <f t="shared" si="127"/>
        <v/>
      </c>
      <c r="V227" s="247"/>
      <c r="W227" s="67" t="str">
        <f t="shared" si="128"/>
        <v/>
      </c>
      <c r="X227" s="118"/>
      <c r="Z227" s="67" t="str">
        <f t="shared" si="129"/>
        <v/>
      </c>
      <c r="AA227" s="13">
        <f t="shared" si="130"/>
        <v>0</v>
      </c>
      <c r="AB227" s="17">
        <f t="shared" si="131"/>
        <v>0</v>
      </c>
      <c r="AC227" s="163" t="str">
        <f t="shared" si="132"/>
        <v/>
      </c>
      <c r="AD227" s="119"/>
      <c r="AE227" s="120"/>
      <c r="AF227" s="121"/>
      <c r="AG227" s="122"/>
      <c r="AH227" s="83"/>
      <c r="AI227" s="115"/>
      <c r="AJ227" s="116"/>
      <c r="AK227" s="83"/>
      <c r="AL227" s="85"/>
      <c r="AM227" s="254"/>
      <c r="AN227" s="254"/>
      <c r="AO227" s="255"/>
    </row>
    <row r="228" spans="2:41" x14ac:dyDescent="0.25">
      <c r="B228" s="321"/>
      <c r="C228" s="17"/>
      <c r="D228" s="273"/>
      <c r="E228" s="117"/>
      <c r="F228" s="13" t="str">
        <f t="shared" si="116"/>
        <v/>
      </c>
      <c r="G228" s="4" t="str">
        <f t="shared" si="117"/>
        <v/>
      </c>
      <c r="H228" s="4" t="str">
        <f t="shared" si="118"/>
        <v/>
      </c>
      <c r="I228" s="4" t="str">
        <f t="shared" si="119"/>
        <v/>
      </c>
      <c r="J228" s="247"/>
      <c r="K228" s="117"/>
      <c r="L228" s="4" t="str">
        <f t="shared" si="120"/>
        <v/>
      </c>
      <c r="M228" s="4" t="str">
        <f t="shared" si="121"/>
        <v/>
      </c>
      <c r="N228" s="4" t="str">
        <f t="shared" si="122"/>
        <v/>
      </c>
      <c r="O228" s="4" t="str">
        <f t="shared" si="123"/>
        <v/>
      </c>
      <c r="P228" s="247"/>
      <c r="Q228" s="117"/>
      <c r="R228" s="4" t="str">
        <f t="shared" si="124"/>
        <v/>
      </c>
      <c r="S228" s="4" t="str">
        <f t="shared" si="125"/>
        <v/>
      </c>
      <c r="T228" s="4" t="str">
        <f t="shared" si="126"/>
        <v/>
      </c>
      <c r="U228" s="4" t="str">
        <f t="shared" si="127"/>
        <v/>
      </c>
      <c r="V228" s="247"/>
      <c r="W228" s="67" t="str">
        <f t="shared" si="128"/>
        <v/>
      </c>
      <c r="X228" s="118"/>
      <c r="Z228" s="67" t="str">
        <f t="shared" si="129"/>
        <v/>
      </c>
      <c r="AA228" s="13">
        <f t="shared" si="130"/>
        <v>0</v>
      </c>
      <c r="AB228" s="17">
        <f t="shared" si="131"/>
        <v>0</v>
      </c>
      <c r="AC228" s="163" t="str">
        <f t="shared" si="132"/>
        <v/>
      </c>
      <c r="AD228" s="119"/>
      <c r="AE228" s="120"/>
      <c r="AF228" s="121"/>
      <c r="AG228" s="122"/>
      <c r="AH228" s="83"/>
      <c r="AI228" s="115"/>
      <c r="AJ228" s="116"/>
      <c r="AK228" s="83"/>
      <c r="AL228" s="85"/>
      <c r="AM228" s="254"/>
      <c r="AN228" s="254"/>
      <c r="AO228" s="255"/>
    </row>
    <row r="229" spans="2:41" x14ac:dyDescent="0.25">
      <c r="B229" s="321"/>
      <c r="C229" s="17"/>
      <c r="D229" s="273"/>
      <c r="E229" s="117"/>
      <c r="F229" s="13" t="str">
        <f t="shared" si="116"/>
        <v/>
      </c>
      <c r="G229" s="4" t="str">
        <f t="shared" si="117"/>
        <v/>
      </c>
      <c r="H229" s="4" t="str">
        <f t="shared" si="118"/>
        <v/>
      </c>
      <c r="I229" s="4" t="str">
        <f t="shared" si="119"/>
        <v/>
      </c>
      <c r="J229" s="247"/>
      <c r="K229" s="117"/>
      <c r="L229" s="4" t="str">
        <f t="shared" si="120"/>
        <v/>
      </c>
      <c r="M229" s="4" t="str">
        <f t="shared" si="121"/>
        <v/>
      </c>
      <c r="N229" s="4" t="str">
        <f t="shared" si="122"/>
        <v/>
      </c>
      <c r="O229" s="4" t="str">
        <f t="shared" si="123"/>
        <v/>
      </c>
      <c r="P229" s="247"/>
      <c r="Q229" s="117"/>
      <c r="R229" s="4" t="str">
        <f t="shared" si="124"/>
        <v/>
      </c>
      <c r="S229" s="4" t="str">
        <f t="shared" si="125"/>
        <v/>
      </c>
      <c r="T229" s="4" t="str">
        <f t="shared" si="126"/>
        <v/>
      </c>
      <c r="U229" s="4" t="str">
        <f t="shared" si="127"/>
        <v/>
      </c>
      <c r="V229" s="247"/>
      <c r="W229" s="67" t="str">
        <f t="shared" si="128"/>
        <v/>
      </c>
      <c r="X229" s="118"/>
      <c r="Z229" s="67" t="str">
        <f t="shared" si="129"/>
        <v/>
      </c>
      <c r="AA229" s="13">
        <f t="shared" si="130"/>
        <v>0</v>
      </c>
      <c r="AB229" s="17">
        <f t="shared" si="131"/>
        <v>0</v>
      </c>
      <c r="AC229" s="163" t="str">
        <f t="shared" si="132"/>
        <v/>
      </c>
      <c r="AD229" s="119"/>
      <c r="AE229" s="120"/>
      <c r="AF229" s="121"/>
      <c r="AG229" s="122"/>
      <c r="AH229" s="83"/>
      <c r="AI229" s="115"/>
      <c r="AJ229" s="116"/>
      <c r="AK229" s="83"/>
      <c r="AL229" s="85"/>
      <c r="AM229" s="254"/>
      <c r="AN229" s="254"/>
      <c r="AO229" s="255"/>
    </row>
    <row r="230" spans="2:41" x14ac:dyDescent="0.25">
      <c r="B230" s="321"/>
      <c r="C230" s="17"/>
      <c r="D230" s="273"/>
      <c r="E230" s="117"/>
      <c r="F230" s="4" t="str">
        <f t="shared" si="116"/>
        <v/>
      </c>
      <c r="G230" s="4" t="str">
        <f t="shared" si="117"/>
        <v/>
      </c>
      <c r="H230" s="4" t="str">
        <f t="shared" si="118"/>
        <v/>
      </c>
      <c r="I230" s="4" t="str">
        <f t="shared" si="119"/>
        <v/>
      </c>
      <c r="J230" s="247"/>
      <c r="K230" s="117"/>
      <c r="L230" s="4" t="str">
        <f t="shared" si="120"/>
        <v/>
      </c>
      <c r="M230" s="4" t="str">
        <f t="shared" si="121"/>
        <v/>
      </c>
      <c r="N230" s="4" t="str">
        <f t="shared" si="122"/>
        <v/>
      </c>
      <c r="O230" s="4" t="str">
        <f t="shared" si="123"/>
        <v/>
      </c>
      <c r="P230" s="247"/>
      <c r="Q230" s="85"/>
      <c r="R230" s="4" t="str">
        <f t="shared" si="124"/>
        <v/>
      </c>
      <c r="S230" s="4" t="str">
        <f t="shared" si="125"/>
        <v/>
      </c>
      <c r="T230" s="4" t="str">
        <f t="shared" si="126"/>
        <v/>
      </c>
      <c r="U230" s="4" t="str">
        <f t="shared" si="127"/>
        <v/>
      </c>
      <c r="V230" s="247"/>
      <c r="W230" s="67" t="str">
        <f t="shared" si="128"/>
        <v/>
      </c>
      <c r="X230" s="118"/>
      <c r="Z230" s="67" t="str">
        <f t="shared" si="129"/>
        <v/>
      </c>
      <c r="AA230" s="13">
        <f t="shared" si="130"/>
        <v>0</v>
      </c>
      <c r="AB230" s="17">
        <f t="shared" si="131"/>
        <v>0</v>
      </c>
      <c r="AC230" s="163" t="str">
        <f t="shared" si="132"/>
        <v/>
      </c>
      <c r="AD230" s="119"/>
      <c r="AE230" s="120"/>
      <c r="AF230" s="121"/>
      <c r="AG230" s="122"/>
      <c r="AH230" s="83"/>
      <c r="AI230" s="115"/>
      <c r="AJ230" s="116"/>
      <c r="AK230" s="83"/>
      <c r="AL230" s="85"/>
      <c r="AM230" s="254"/>
      <c r="AN230" s="254"/>
      <c r="AO230" s="255"/>
    </row>
    <row r="231" spans="2:41" x14ac:dyDescent="0.25">
      <c r="B231" s="321"/>
      <c r="C231" s="17"/>
      <c r="D231" s="273"/>
      <c r="E231" s="117"/>
      <c r="F231" s="4" t="str">
        <f t="shared" si="116"/>
        <v/>
      </c>
      <c r="G231" s="4" t="str">
        <f t="shared" si="117"/>
        <v/>
      </c>
      <c r="H231" s="4" t="str">
        <f t="shared" si="118"/>
        <v/>
      </c>
      <c r="I231" s="4" t="str">
        <f t="shared" si="119"/>
        <v/>
      </c>
      <c r="J231" s="247"/>
      <c r="K231" s="117"/>
      <c r="L231" s="4" t="str">
        <f t="shared" si="120"/>
        <v/>
      </c>
      <c r="M231" s="4" t="str">
        <f t="shared" si="121"/>
        <v/>
      </c>
      <c r="N231" s="4" t="str">
        <f t="shared" si="122"/>
        <v/>
      </c>
      <c r="O231" s="4" t="str">
        <f t="shared" si="123"/>
        <v/>
      </c>
      <c r="P231" s="247"/>
      <c r="Q231" s="85"/>
      <c r="R231" s="4" t="str">
        <f t="shared" si="124"/>
        <v/>
      </c>
      <c r="S231" s="4" t="str">
        <f t="shared" si="125"/>
        <v/>
      </c>
      <c r="T231" s="4" t="str">
        <f t="shared" si="126"/>
        <v/>
      </c>
      <c r="U231" s="4" t="str">
        <f t="shared" si="127"/>
        <v/>
      </c>
      <c r="V231" s="247"/>
      <c r="W231" s="67" t="str">
        <f t="shared" si="128"/>
        <v/>
      </c>
      <c r="X231" s="118"/>
      <c r="Z231" s="67" t="str">
        <f t="shared" si="129"/>
        <v/>
      </c>
      <c r="AA231" s="13">
        <f t="shared" si="130"/>
        <v>0</v>
      </c>
      <c r="AB231" s="17">
        <f t="shared" si="131"/>
        <v>0</v>
      </c>
      <c r="AC231" s="163" t="str">
        <f t="shared" si="132"/>
        <v/>
      </c>
      <c r="AD231" s="119"/>
      <c r="AE231" s="120"/>
      <c r="AF231" s="121"/>
      <c r="AG231" s="122"/>
      <c r="AH231" s="83"/>
      <c r="AI231" s="115"/>
      <c r="AJ231" s="116"/>
      <c r="AK231" s="83"/>
      <c r="AL231" s="85"/>
      <c r="AM231" s="254"/>
      <c r="AN231" s="254"/>
      <c r="AO231" s="255"/>
    </row>
    <row r="232" spans="2:41" x14ac:dyDescent="0.25">
      <c r="B232" s="321"/>
      <c r="C232" s="17"/>
      <c r="D232" s="273"/>
      <c r="E232" s="117"/>
      <c r="F232" s="4" t="str">
        <f t="shared" si="116"/>
        <v/>
      </c>
      <c r="G232" s="4" t="str">
        <f t="shared" si="117"/>
        <v/>
      </c>
      <c r="H232" s="4" t="str">
        <f t="shared" si="118"/>
        <v/>
      </c>
      <c r="I232" s="4" t="str">
        <f t="shared" si="119"/>
        <v/>
      </c>
      <c r="J232" s="247"/>
      <c r="K232" s="117"/>
      <c r="L232" s="4" t="str">
        <f t="shared" si="120"/>
        <v/>
      </c>
      <c r="M232" s="4" t="str">
        <f t="shared" si="121"/>
        <v/>
      </c>
      <c r="N232" s="4" t="str">
        <f t="shared" si="122"/>
        <v/>
      </c>
      <c r="O232" s="4" t="str">
        <f t="shared" si="123"/>
        <v/>
      </c>
      <c r="P232" s="247"/>
      <c r="Q232" s="117"/>
      <c r="R232" s="4" t="str">
        <f t="shared" si="124"/>
        <v/>
      </c>
      <c r="S232" s="4" t="str">
        <f t="shared" si="125"/>
        <v/>
      </c>
      <c r="T232" s="4" t="str">
        <f t="shared" si="126"/>
        <v/>
      </c>
      <c r="U232" s="4" t="str">
        <f t="shared" si="127"/>
        <v/>
      </c>
      <c r="V232" s="247"/>
      <c r="W232" s="67" t="str">
        <f t="shared" si="128"/>
        <v/>
      </c>
      <c r="X232" s="118"/>
      <c r="Z232" s="67" t="str">
        <f t="shared" si="129"/>
        <v/>
      </c>
      <c r="AA232" s="13">
        <f t="shared" si="130"/>
        <v>0</v>
      </c>
      <c r="AB232" s="17">
        <f t="shared" si="131"/>
        <v>0</v>
      </c>
      <c r="AC232" s="163" t="str">
        <f t="shared" si="132"/>
        <v/>
      </c>
      <c r="AD232" s="119"/>
      <c r="AE232" s="120"/>
      <c r="AF232" s="121"/>
      <c r="AG232" s="122"/>
      <c r="AH232" s="83"/>
      <c r="AI232" s="115"/>
      <c r="AJ232" s="116"/>
      <c r="AK232" s="83"/>
      <c r="AL232" s="85"/>
      <c r="AM232" s="254"/>
      <c r="AN232" s="254"/>
      <c r="AO232" s="255"/>
    </row>
    <row r="233" spans="2:41" x14ac:dyDescent="0.25">
      <c r="B233" s="321"/>
      <c r="C233" s="17"/>
      <c r="D233" s="273"/>
      <c r="E233" s="117"/>
      <c r="F233" s="4" t="str">
        <f t="shared" si="116"/>
        <v/>
      </c>
      <c r="G233" s="4" t="str">
        <f t="shared" si="117"/>
        <v/>
      </c>
      <c r="H233" s="4" t="str">
        <f t="shared" si="118"/>
        <v/>
      </c>
      <c r="I233" s="4" t="str">
        <f t="shared" si="119"/>
        <v/>
      </c>
      <c r="J233" s="247"/>
      <c r="K233" s="117"/>
      <c r="L233" s="4" t="str">
        <f t="shared" si="120"/>
        <v/>
      </c>
      <c r="M233" s="4" t="str">
        <f t="shared" si="121"/>
        <v/>
      </c>
      <c r="N233" s="4" t="str">
        <f t="shared" si="122"/>
        <v/>
      </c>
      <c r="O233" s="4" t="str">
        <f t="shared" si="123"/>
        <v/>
      </c>
      <c r="P233" s="247"/>
      <c r="Q233" s="117"/>
      <c r="R233" s="4" t="str">
        <f t="shared" si="124"/>
        <v/>
      </c>
      <c r="S233" s="4" t="str">
        <f t="shared" si="125"/>
        <v/>
      </c>
      <c r="T233" s="4" t="str">
        <f t="shared" si="126"/>
        <v/>
      </c>
      <c r="U233" s="4" t="str">
        <f t="shared" si="127"/>
        <v/>
      </c>
      <c r="V233" s="247"/>
      <c r="W233" s="67" t="str">
        <f t="shared" si="128"/>
        <v/>
      </c>
      <c r="X233" s="118"/>
      <c r="Z233" s="67" t="str">
        <f t="shared" si="129"/>
        <v/>
      </c>
      <c r="AA233" s="13">
        <f t="shared" si="130"/>
        <v>0</v>
      </c>
      <c r="AB233" s="17">
        <f t="shared" si="131"/>
        <v>0</v>
      </c>
      <c r="AC233" s="163" t="str">
        <f t="shared" si="132"/>
        <v/>
      </c>
      <c r="AD233" s="119"/>
      <c r="AE233" s="120"/>
      <c r="AF233" s="121"/>
      <c r="AG233" s="122"/>
      <c r="AH233" s="83"/>
      <c r="AI233" s="115"/>
      <c r="AJ233" s="116"/>
      <c r="AK233" s="83"/>
      <c r="AL233" s="85"/>
      <c r="AM233" s="254"/>
      <c r="AN233" s="254"/>
      <c r="AO233" s="255"/>
    </row>
    <row r="234" spans="2:41" x14ac:dyDescent="0.25">
      <c r="B234" s="321"/>
      <c r="C234" s="17"/>
      <c r="D234" s="273"/>
      <c r="E234" s="117"/>
      <c r="F234" s="4" t="str">
        <f t="shared" si="116"/>
        <v/>
      </c>
      <c r="G234" s="4" t="str">
        <f t="shared" si="117"/>
        <v/>
      </c>
      <c r="H234" s="4" t="str">
        <f t="shared" si="118"/>
        <v/>
      </c>
      <c r="I234" s="4" t="str">
        <f t="shared" si="119"/>
        <v/>
      </c>
      <c r="J234" s="247"/>
      <c r="K234" s="117"/>
      <c r="L234" s="4" t="str">
        <f t="shared" si="120"/>
        <v/>
      </c>
      <c r="M234" s="4" t="str">
        <f t="shared" si="121"/>
        <v/>
      </c>
      <c r="N234" s="4" t="str">
        <f t="shared" si="122"/>
        <v/>
      </c>
      <c r="O234" s="4" t="str">
        <f t="shared" si="123"/>
        <v/>
      </c>
      <c r="P234" s="247"/>
      <c r="Q234" s="117"/>
      <c r="R234" s="4" t="str">
        <f t="shared" si="124"/>
        <v/>
      </c>
      <c r="S234" s="4" t="str">
        <f t="shared" si="125"/>
        <v/>
      </c>
      <c r="T234" s="4" t="str">
        <f t="shared" si="126"/>
        <v/>
      </c>
      <c r="U234" s="4" t="str">
        <f t="shared" si="127"/>
        <v/>
      </c>
      <c r="V234" s="247"/>
      <c r="W234" s="67" t="str">
        <f t="shared" si="128"/>
        <v/>
      </c>
      <c r="X234" s="118"/>
      <c r="Z234" s="67" t="str">
        <f t="shared" si="129"/>
        <v/>
      </c>
      <c r="AA234" s="13">
        <f t="shared" si="130"/>
        <v>0</v>
      </c>
      <c r="AB234" s="17">
        <f t="shared" si="131"/>
        <v>0</v>
      </c>
      <c r="AC234" s="163" t="str">
        <f t="shared" si="132"/>
        <v/>
      </c>
      <c r="AD234" s="119"/>
      <c r="AE234" s="120"/>
      <c r="AF234" s="121"/>
      <c r="AG234" s="122"/>
      <c r="AH234" s="83"/>
      <c r="AI234" s="115"/>
      <c r="AJ234" s="116"/>
      <c r="AK234" s="83"/>
      <c r="AL234" s="85"/>
      <c r="AM234" s="254"/>
      <c r="AN234" s="254"/>
      <c r="AO234" s="255"/>
    </row>
    <row r="235" spans="2:41" x14ac:dyDescent="0.25">
      <c r="B235" s="321"/>
      <c r="C235" s="17"/>
      <c r="D235" s="273"/>
      <c r="E235" s="117"/>
      <c r="F235" s="4" t="str">
        <f t="shared" si="116"/>
        <v/>
      </c>
      <c r="G235" s="4" t="str">
        <f t="shared" si="117"/>
        <v/>
      </c>
      <c r="H235" s="4" t="str">
        <f t="shared" si="118"/>
        <v/>
      </c>
      <c r="I235" s="4" t="str">
        <f t="shared" si="119"/>
        <v/>
      </c>
      <c r="J235" s="247"/>
      <c r="K235" s="117"/>
      <c r="L235" s="4" t="str">
        <f t="shared" si="120"/>
        <v/>
      </c>
      <c r="M235" s="4" t="str">
        <f t="shared" si="121"/>
        <v/>
      </c>
      <c r="N235" s="4" t="str">
        <f t="shared" si="122"/>
        <v/>
      </c>
      <c r="O235" s="4" t="str">
        <f t="shared" si="123"/>
        <v/>
      </c>
      <c r="P235" s="247"/>
      <c r="Q235" s="117"/>
      <c r="R235" s="4" t="str">
        <f t="shared" si="124"/>
        <v/>
      </c>
      <c r="S235" s="4" t="str">
        <f t="shared" si="125"/>
        <v/>
      </c>
      <c r="T235" s="4" t="str">
        <f t="shared" si="126"/>
        <v/>
      </c>
      <c r="U235" s="4" t="str">
        <f t="shared" si="127"/>
        <v/>
      </c>
      <c r="V235" s="247"/>
      <c r="W235" s="67" t="str">
        <f t="shared" si="128"/>
        <v/>
      </c>
      <c r="X235" s="118"/>
      <c r="Z235" s="67" t="str">
        <f t="shared" si="129"/>
        <v/>
      </c>
      <c r="AA235" s="13">
        <f t="shared" si="130"/>
        <v>0</v>
      </c>
      <c r="AB235" s="17">
        <f t="shared" si="131"/>
        <v>0</v>
      </c>
      <c r="AC235" s="163" t="str">
        <f t="shared" si="132"/>
        <v/>
      </c>
      <c r="AD235" s="119"/>
      <c r="AE235" s="120"/>
      <c r="AF235" s="121"/>
      <c r="AG235" s="122"/>
      <c r="AH235" s="83"/>
      <c r="AI235" s="115"/>
      <c r="AJ235" s="116"/>
      <c r="AK235" s="83"/>
      <c r="AL235" s="85"/>
      <c r="AM235" s="254"/>
      <c r="AN235" s="254"/>
      <c r="AO235" s="255"/>
    </row>
    <row r="236" spans="2:41" x14ac:dyDescent="0.25">
      <c r="B236" s="321"/>
      <c r="C236" s="17"/>
      <c r="D236" s="273"/>
      <c r="E236" s="117"/>
      <c r="F236" s="4" t="str">
        <f t="shared" si="116"/>
        <v/>
      </c>
      <c r="G236" s="4" t="str">
        <f t="shared" si="117"/>
        <v/>
      </c>
      <c r="H236" s="4" t="str">
        <f t="shared" si="118"/>
        <v/>
      </c>
      <c r="I236" s="4" t="str">
        <f t="shared" si="119"/>
        <v/>
      </c>
      <c r="J236" s="247"/>
      <c r="K236" s="117"/>
      <c r="L236" s="4" t="str">
        <f t="shared" si="120"/>
        <v/>
      </c>
      <c r="M236" s="4" t="str">
        <f t="shared" si="121"/>
        <v/>
      </c>
      <c r="N236" s="4" t="str">
        <f t="shared" si="122"/>
        <v/>
      </c>
      <c r="O236" s="4" t="str">
        <f t="shared" si="123"/>
        <v/>
      </c>
      <c r="P236" s="247"/>
      <c r="Q236" s="117"/>
      <c r="R236" s="4" t="str">
        <f t="shared" si="124"/>
        <v/>
      </c>
      <c r="S236" s="4" t="str">
        <f t="shared" si="125"/>
        <v/>
      </c>
      <c r="T236" s="4" t="str">
        <f t="shared" si="126"/>
        <v/>
      </c>
      <c r="U236" s="4" t="str">
        <f t="shared" si="127"/>
        <v/>
      </c>
      <c r="V236" s="247"/>
      <c r="W236" s="67" t="str">
        <f t="shared" si="128"/>
        <v/>
      </c>
      <c r="X236" s="118"/>
      <c r="Z236" s="67" t="str">
        <f t="shared" si="129"/>
        <v/>
      </c>
      <c r="AA236" s="13">
        <f t="shared" si="130"/>
        <v>0</v>
      </c>
      <c r="AB236" s="17">
        <f t="shared" si="131"/>
        <v>0</v>
      </c>
      <c r="AC236" s="163" t="str">
        <f t="shared" si="132"/>
        <v/>
      </c>
      <c r="AD236" s="119"/>
      <c r="AE236" s="120"/>
      <c r="AF236" s="121"/>
      <c r="AG236" s="122"/>
      <c r="AH236" s="83"/>
      <c r="AI236" s="115"/>
      <c r="AJ236" s="116"/>
      <c r="AK236" s="83"/>
      <c r="AL236" s="85"/>
      <c r="AM236" s="254"/>
      <c r="AN236" s="254"/>
      <c r="AO236" s="255"/>
    </row>
    <row r="237" spans="2:41" x14ac:dyDescent="0.25">
      <c r="B237" s="321"/>
      <c r="C237" s="17"/>
      <c r="D237" s="273"/>
      <c r="E237" s="117"/>
      <c r="F237" s="4" t="str">
        <f t="shared" si="116"/>
        <v/>
      </c>
      <c r="G237" s="4" t="str">
        <f t="shared" si="117"/>
        <v/>
      </c>
      <c r="H237" s="4" t="str">
        <f t="shared" si="118"/>
        <v/>
      </c>
      <c r="I237" s="4" t="str">
        <f t="shared" si="119"/>
        <v/>
      </c>
      <c r="J237" s="247"/>
      <c r="K237" s="117"/>
      <c r="L237" s="4" t="str">
        <f t="shared" si="120"/>
        <v/>
      </c>
      <c r="M237" s="4" t="str">
        <f t="shared" si="121"/>
        <v/>
      </c>
      <c r="N237" s="4" t="str">
        <f t="shared" si="122"/>
        <v/>
      </c>
      <c r="O237" s="4" t="str">
        <f t="shared" si="123"/>
        <v/>
      </c>
      <c r="P237" s="247"/>
      <c r="Q237" s="117"/>
      <c r="R237" s="4" t="str">
        <f t="shared" si="124"/>
        <v/>
      </c>
      <c r="S237" s="4" t="str">
        <f t="shared" si="125"/>
        <v/>
      </c>
      <c r="T237" s="4" t="str">
        <f t="shared" si="126"/>
        <v/>
      </c>
      <c r="U237" s="4" t="str">
        <f t="shared" si="127"/>
        <v/>
      </c>
      <c r="V237" s="247"/>
      <c r="W237" s="67" t="str">
        <f t="shared" si="128"/>
        <v/>
      </c>
      <c r="X237" s="118"/>
      <c r="Z237" s="67" t="str">
        <f t="shared" si="129"/>
        <v/>
      </c>
      <c r="AA237" s="13">
        <f t="shared" si="130"/>
        <v>0</v>
      </c>
      <c r="AB237" s="17">
        <f t="shared" si="131"/>
        <v>0</v>
      </c>
      <c r="AC237" s="163" t="str">
        <f t="shared" si="132"/>
        <v/>
      </c>
      <c r="AD237" s="119"/>
      <c r="AE237" s="120"/>
      <c r="AF237" s="121"/>
      <c r="AG237" s="122"/>
      <c r="AH237" s="83"/>
      <c r="AI237" s="115"/>
      <c r="AJ237" s="116"/>
      <c r="AK237" s="83"/>
      <c r="AL237" s="85"/>
      <c r="AM237" s="254"/>
      <c r="AN237" s="254"/>
      <c r="AO237" s="255"/>
    </row>
    <row r="238" spans="2:41" x14ac:dyDescent="0.25">
      <c r="B238" s="321"/>
      <c r="C238" s="17"/>
      <c r="D238" s="273"/>
      <c r="E238" s="117"/>
      <c r="F238" s="4" t="str">
        <f t="shared" si="116"/>
        <v/>
      </c>
      <c r="G238" s="4" t="str">
        <f t="shared" si="117"/>
        <v/>
      </c>
      <c r="H238" s="4" t="str">
        <f t="shared" si="118"/>
        <v/>
      </c>
      <c r="I238" s="4" t="str">
        <f t="shared" si="119"/>
        <v/>
      </c>
      <c r="J238" s="247"/>
      <c r="K238" s="117"/>
      <c r="L238" s="4" t="str">
        <f t="shared" si="120"/>
        <v/>
      </c>
      <c r="M238" s="4" t="str">
        <f t="shared" si="121"/>
        <v/>
      </c>
      <c r="N238" s="4" t="str">
        <f t="shared" si="122"/>
        <v/>
      </c>
      <c r="O238" s="4" t="str">
        <f t="shared" si="123"/>
        <v/>
      </c>
      <c r="P238" s="247"/>
      <c r="Q238" s="117"/>
      <c r="R238" s="4" t="str">
        <f t="shared" si="124"/>
        <v/>
      </c>
      <c r="S238" s="4" t="str">
        <f t="shared" si="125"/>
        <v/>
      </c>
      <c r="T238" s="4" t="str">
        <f t="shared" si="126"/>
        <v/>
      </c>
      <c r="U238" s="4" t="str">
        <f t="shared" si="127"/>
        <v/>
      </c>
      <c r="V238" s="247"/>
      <c r="W238" s="67" t="str">
        <f t="shared" si="128"/>
        <v/>
      </c>
      <c r="X238" s="118"/>
      <c r="Z238" s="67" t="str">
        <f t="shared" si="129"/>
        <v/>
      </c>
      <c r="AA238" s="13">
        <f t="shared" si="130"/>
        <v>0</v>
      </c>
      <c r="AB238" s="17">
        <f t="shared" si="131"/>
        <v>0</v>
      </c>
      <c r="AC238" s="163" t="str">
        <f t="shared" si="132"/>
        <v/>
      </c>
      <c r="AD238" s="119"/>
      <c r="AE238" s="120"/>
      <c r="AF238" s="121"/>
      <c r="AG238" s="122"/>
      <c r="AH238" s="83"/>
      <c r="AI238" s="115"/>
      <c r="AJ238" s="116"/>
      <c r="AK238" s="83"/>
      <c r="AL238" s="85"/>
      <c r="AM238" s="254"/>
      <c r="AN238" s="254"/>
      <c r="AO238" s="255"/>
    </row>
    <row r="239" spans="2:41" x14ac:dyDescent="0.25">
      <c r="B239" s="321"/>
      <c r="C239" s="17"/>
      <c r="D239" s="273"/>
      <c r="E239" s="117"/>
      <c r="F239" s="4" t="str">
        <f t="shared" si="116"/>
        <v/>
      </c>
      <c r="G239" s="4" t="str">
        <f t="shared" si="117"/>
        <v/>
      </c>
      <c r="H239" s="4" t="str">
        <f t="shared" si="118"/>
        <v/>
      </c>
      <c r="I239" s="4" t="str">
        <f t="shared" si="119"/>
        <v/>
      </c>
      <c r="J239" s="247"/>
      <c r="K239" s="117"/>
      <c r="L239" s="4" t="str">
        <f t="shared" si="120"/>
        <v/>
      </c>
      <c r="M239" s="4" t="str">
        <f t="shared" si="121"/>
        <v/>
      </c>
      <c r="N239" s="4" t="str">
        <f t="shared" si="122"/>
        <v/>
      </c>
      <c r="O239" s="4" t="str">
        <f t="shared" si="123"/>
        <v/>
      </c>
      <c r="P239" s="247"/>
      <c r="Q239" s="117"/>
      <c r="R239" s="4" t="str">
        <f t="shared" si="124"/>
        <v/>
      </c>
      <c r="S239" s="4" t="str">
        <f t="shared" si="125"/>
        <v/>
      </c>
      <c r="T239" s="4" t="str">
        <f t="shared" si="126"/>
        <v/>
      </c>
      <c r="U239" s="4" t="str">
        <f t="shared" si="127"/>
        <v/>
      </c>
      <c r="V239" s="247"/>
      <c r="W239" s="67" t="str">
        <f t="shared" si="128"/>
        <v/>
      </c>
      <c r="X239" s="118"/>
      <c r="Z239" s="67" t="str">
        <f t="shared" si="129"/>
        <v/>
      </c>
      <c r="AA239" s="13">
        <f t="shared" si="130"/>
        <v>0</v>
      </c>
      <c r="AB239" s="17">
        <f t="shared" si="131"/>
        <v>0</v>
      </c>
      <c r="AD239" s="119"/>
      <c r="AE239" s="120"/>
      <c r="AF239" s="121"/>
      <c r="AG239" s="122"/>
      <c r="AH239" s="83"/>
      <c r="AI239" s="115"/>
      <c r="AJ239" s="116"/>
      <c r="AK239" s="83"/>
      <c r="AL239" s="85"/>
      <c r="AM239" s="254"/>
      <c r="AN239" s="254"/>
      <c r="AO239" s="255"/>
    </row>
    <row r="240" spans="2:41" x14ac:dyDescent="0.25">
      <c r="B240" s="321"/>
      <c r="C240" s="17"/>
      <c r="D240" s="273"/>
      <c r="E240" s="117"/>
      <c r="F240" s="4" t="str">
        <f t="shared" si="116"/>
        <v/>
      </c>
      <c r="G240" s="4" t="str">
        <f t="shared" si="117"/>
        <v/>
      </c>
      <c r="H240" s="4" t="str">
        <f t="shared" si="118"/>
        <v/>
      </c>
      <c r="I240" s="4" t="str">
        <f t="shared" si="119"/>
        <v/>
      </c>
      <c r="J240" s="247"/>
      <c r="K240" s="117"/>
      <c r="L240" s="4" t="str">
        <f t="shared" si="120"/>
        <v/>
      </c>
      <c r="M240" s="4" t="str">
        <f t="shared" si="121"/>
        <v/>
      </c>
      <c r="N240" s="4" t="str">
        <f t="shared" si="122"/>
        <v/>
      </c>
      <c r="O240" s="4" t="str">
        <f t="shared" si="123"/>
        <v/>
      </c>
      <c r="P240" s="247"/>
      <c r="Q240" s="117"/>
      <c r="R240" s="4" t="str">
        <f t="shared" si="124"/>
        <v/>
      </c>
      <c r="S240" s="4" t="str">
        <f t="shared" si="125"/>
        <v/>
      </c>
      <c r="T240" s="4" t="str">
        <f t="shared" si="126"/>
        <v/>
      </c>
      <c r="U240" s="4" t="str">
        <f t="shared" si="127"/>
        <v/>
      </c>
      <c r="V240" s="247"/>
      <c r="W240" s="67" t="str">
        <f t="shared" si="128"/>
        <v/>
      </c>
      <c r="X240" s="118"/>
      <c r="Z240" s="67" t="str">
        <f t="shared" si="129"/>
        <v/>
      </c>
      <c r="AA240" s="13">
        <f t="shared" si="130"/>
        <v>0</v>
      </c>
      <c r="AB240" s="17">
        <f t="shared" si="131"/>
        <v>0</v>
      </c>
      <c r="AC240" s="163" t="str">
        <f t="shared" si="132"/>
        <v/>
      </c>
      <c r="AD240" s="119"/>
      <c r="AE240" s="120"/>
      <c r="AF240" s="121"/>
      <c r="AG240" s="122"/>
      <c r="AH240" s="83"/>
      <c r="AI240" s="115"/>
      <c r="AJ240" s="116"/>
      <c r="AK240" s="83"/>
      <c r="AL240" s="85"/>
      <c r="AM240" s="254"/>
      <c r="AN240" s="254"/>
      <c r="AO240" s="255"/>
    </row>
    <row r="241" spans="2:41" x14ac:dyDescent="0.25">
      <c r="B241" s="321"/>
      <c r="C241" s="17"/>
      <c r="D241" s="273"/>
      <c r="E241" s="117"/>
      <c r="F241" s="4" t="str">
        <f t="shared" si="116"/>
        <v/>
      </c>
      <c r="G241" s="4" t="str">
        <f t="shared" si="117"/>
        <v/>
      </c>
      <c r="H241" s="4" t="str">
        <f t="shared" si="118"/>
        <v/>
      </c>
      <c r="I241" s="4" t="str">
        <f t="shared" si="119"/>
        <v/>
      </c>
      <c r="J241" s="247"/>
      <c r="K241" s="117"/>
      <c r="L241" s="4" t="str">
        <f t="shared" si="120"/>
        <v/>
      </c>
      <c r="M241" s="4" t="str">
        <f t="shared" si="121"/>
        <v/>
      </c>
      <c r="N241" s="4" t="str">
        <f t="shared" si="122"/>
        <v/>
      </c>
      <c r="O241" s="4" t="str">
        <f t="shared" si="123"/>
        <v/>
      </c>
      <c r="P241" s="247"/>
      <c r="Q241" s="117"/>
      <c r="R241" s="4" t="str">
        <f t="shared" si="124"/>
        <v/>
      </c>
      <c r="S241" s="4" t="str">
        <f t="shared" si="125"/>
        <v/>
      </c>
      <c r="T241" s="4" t="str">
        <f t="shared" si="126"/>
        <v/>
      </c>
      <c r="U241" s="4" t="str">
        <f t="shared" si="127"/>
        <v/>
      </c>
      <c r="V241" s="247"/>
      <c r="W241" s="67" t="str">
        <f t="shared" si="128"/>
        <v/>
      </c>
      <c r="X241" s="118"/>
      <c r="Z241" s="67" t="str">
        <f t="shared" si="129"/>
        <v/>
      </c>
      <c r="AA241" s="13">
        <f t="shared" si="130"/>
        <v>0</v>
      </c>
      <c r="AB241" s="17">
        <f t="shared" si="131"/>
        <v>0</v>
      </c>
      <c r="AC241" s="163" t="str">
        <f t="shared" si="132"/>
        <v/>
      </c>
      <c r="AD241" s="119"/>
      <c r="AE241" s="120"/>
      <c r="AF241" s="121"/>
      <c r="AG241" s="122"/>
      <c r="AH241" s="83"/>
      <c r="AI241" s="115"/>
      <c r="AJ241" s="116"/>
      <c r="AK241" s="83"/>
      <c r="AL241" s="85"/>
      <c r="AM241" s="254"/>
      <c r="AN241" s="254"/>
      <c r="AO241" s="255"/>
    </row>
    <row r="242" spans="2:41" x14ac:dyDescent="0.25">
      <c r="B242" s="321"/>
      <c r="C242" s="17"/>
      <c r="D242" s="273"/>
      <c r="E242" s="117"/>
      <c r="F242" s="4" t="str">
        <f t="shared" si="116"/>
        <v/>
      </c>
      <c r="G242" s="4" t="str">
        <f t="shared" si="117"/>
        <v/>
      </c>
      <c r="H242" s="4" t="str">
        <f t="shared" si="118"/>
        <v/>
      </c>
      <c r="I242" s="4" t="str">
        <f t="shared" si="119"/>
        <v/>
      </c>
      <c r="J242" s="247"/>
      <c r="K242" s="117"/>
      <c r="L242" s="4" t="str">
        <f t="shared" si="120"/>
        <v/>
      </c>
      <c r="M242" s="4" t="str">
        <f t="shared" si="121"/>
        <v/>
      </c>
      <c r="N242" s="4" t="str">
        <f t="shared" si="122"/>
        <v/>
      </c>
      <c r="O242" s="4" t="str">
        <f t="shared" si="123"/>
        <v/>
      </c>
      <c r="P242" s="247"/>
      <c r="Q242" s="117"/>
      <c r="R242" s="4" t="str">
        <f t="shared" si="124"/>
        <v/>
      </c>
      <c r="S242" s="4" t="str">
        <f t="shared" si="125"/>
        <v/>
      </c>
      <c r="T242" s="4" t="str">
        <f t="shared" si="126"/>
        <v/>
      </c>
      <c r="U242" s="4" t="str">
        <f t="shared" si="127"/>
        <v/>
      </c>
      <c r="V242" s="247"/>
      <c r="W242" s="67" t="str">
        <f t="shared" si="128"/>
        <v/>
      </c>
      <c r="X242" s="118"/>
      <c r="Z242" s="67" t="str">
        <f t="shared" si="129"/>
        <v/>
      </c>
      <c r="AA242" s="13">
        <f t="shared" si="130"/>
        <v>0</v>
      </c>
      <c r="AB242" s="17">
        <f t="shared" si="131"/>
        <v>0</v>
      </c>
      <c r="AC242" s="163" t="str">
        <f t="shared" si="132"/>
        <v/>
      </c>
      <c r="AD242" s="119"/>
      <c r="AE242" s="120"/>
      <c r="AF242" s="121"/>
      <c r="AG242" s="122"/>
      <c r="AH242" s="83"/>
      <c r="AI242" s="115"/>
      <c r="AJ242" s="116"/>
      <c r="AK242" s="83"/>
      <c r="AL242" s="85"/>
      <c r="AM242" s="254"/>
      <c r="AN242" s="254"/>
      <c r="AO242" s="255"/>
    </row>
    <row r="243" spans="2:41" x14ac:dyDescent="0.25">
      <c r="B243" s="321"/>
      <c r="C243" s="17"/>
      <c r="D243" s="273"/>
      <c r="E243" s="117"/>
      <c r="F243" s="4" t="str">
        <f t="shared" si="116"/>
        <v/>
      </c>
      <c r="G243" s="4" t="str">
        <f t="shared" si="117"/>
        <v/>
      </c>
      <c r="H243" s="4" t="str">
        <f t="shared" si="118"/>
        <v/>
      </c>
      <c r="I243" s="4" t="str">
        <f t="shared" si="119"/>
        <v/>
      </c>
      <c r="J243" s="247"/>
      <c r="K243" s="117"/>
      <c r="L243" s="4" t="str">
        <f t="shared" si="120"/>
        <v/>
      </c>
      <c r="M243" s="4" t="str">
        <f t="shared" si="121"/>
        <v/>
      </c>
      <c r="N243" s="4" t="str">
        <f t="shared" si="122"/>
        <v/>
      </c>
      <c r="O243" s="4" t="str">
        <f t="shared" si="123"/>
        <v/>
      </c>
      <c r="P243" s="247"/>
      <c r="Q243" s="117"/>
      <c r="R243" s="4" t="str">
        <f t="shared" si="124"/>
        <v/>
      </c>
      <c r="S243" s="4" t="str">
        <f t="shared" si="125"/>
        <v/>
      </c>
      <c r="T243" s="4" t="str">
        <f t="shared" si="126"/>
        <v/>
      </c>
      <c r="U243" s="4" t="str">
        <f t="shared" si="127"/>
        <v/>
      </c>
      <c r="V243" s="247"/>
      <c r="W243" s="67" t="str">
        <f t="shared" si="128"/>
        <v/>
      </c>
      <c r="X243" s="118"/>
      <c r="Z243" s="67" t="str">
        <f t="shared" si="129"/>
        <v/>
      </c>
      <c r="AA243" s="13">
        <f t="shared" si="130"/>
        <v>0</v>
      </c>
      <c r="AB243" s="17">
        <f t="shared" si="131"/>
        <v>0</v>
      </c>
      <c r="AC243" s="163" t="str">
        <f t="shared" si="132"/>
        <v/>
      </c>
      <c r="AD243" s="119"/>
      <c r="AE243" s="120"/>
      <c r="AF243" s="121"/>
      <c r="AG243" s="122"/>
      <c r="AH243" s="83"/>
      <c r="AI243" s="115"/>
      <c r="AJ243" s="116"/>
      <c r="AK243" s="83"/>
      <c r="AL243" s="85"/>
      <c r="AM243" s="254"/>
      <c r="AN243" s="254"/>
      <c r="AO243" s="255"/>
    </row>
    <row r="244" spans="2:41" x14ac:dyDescent="0.25">
      <c r="B244" s="321"/>
      <c r="C244" s="17"/>
      <c r="D244" s="273"/>
      <c r="E244" s="117"/>
      <c r="F244" s="4" t="str">
        <f t="shared" si="116"/>
        <v/>
      </c>
      <c r="G244" s="4" t="str">
        <f t="shared" si="117"/>
        <v/>
      </c>
      <c r="H244" s="4" t="str">
        <f t="shared" si="118"/>
        <v/>
      </c>
      <c r="I244" s="4" t="str">
        <f t="shared" si="119"/>
        <v/>
      </c>
      <c r="J244" s="247"/>
      <c r="K244" s="117"/>
      <c r="L244" s="4" t="str">
        <f t="shared" si="120"/>
        <v/>
      </c>
      <c r="M244" s="4" t="str">
        <f t="shared" si="121"/>
        <v/>
      </c>
      <c r="N244" s="4" t="str">
        <f t="shared" si="122"/>
        <v/>
      </c>
      <c r="O244" s="4" t="str">
        <f t="shared" si="123"/>
        <v/>
      </c>
      <c r="P244" s="247"/>
      <c r="Q244" s="117"/>
      <c r="R244" s="4" t="str">
        <f t="shared" si="124"/>
        <v/>
      </c>
      <c r="S244" s="4" t="str">
        <f t="shared" si="125"/>
        <v/>
      </c>
      <c r="T244" s="4" t="str">
        <f t="shared" si="126"/>
        <v/>
      </c>
      <c r="U244" s="4" t="str">
        <f t="shared" si="127"/>
        <v/>
      </c>
      <c r="V244" s="247"/>
      <c r="W244" s="67" t="str">
        <f t="shared" si="128"/>
        <v/>
      </c>
      <c r="X244" s="118"/>
      <c r="Z244" s="67" t="str">
        <f t="shared" si="129"/>
        <v/>
      </c>
      <c r="AA244" s="13">
        <f t="shared" si="130"/>
        <v>0</v>
      </c>
      <c r="AB244" s="17">
        <f t="shared" si="131"/>
        <v>0</v>
      </c>
      <c r="AC244" s="163" t="str">
        <f t="shared" si="132"/>
        <v/>
      </c>
      <c r="AD244" s="119"/>
      <c r="AE244" s="120"/>
      <c r="AF244" s="121"/>
      <c r="AG244" s="122"/>
      <c r="AH244" s="83"/>
      <c r="AI244" s="115"/>
      <c r="AJ244" s="116"/>
      <c r="AK244" s="83"/>
      <c r="AL244" s="85"/>
      <c r="AM244" s="254"/>
      <c r="AN244" s="254"/>
      <c r="AO244" s="255"/>
    </row>
    <row r="245" spans="2:41" x14ac:dyDescent="0.25">
      <c r="B245" s="321"/>
      <c r="C245" s="17"/>
      <c r="D245" s="273"/>
      <c r="E245" s="117"/>
      <c r="F245" s="4" t="str">
        <f t="shared" si="116"/>
        <v/>
      </c>
      <c r="G245" s="4" t="str">
        <f t="shared" si="117"/>
        <v/>
      </c>
      <c r="H245" s="4" t="str">
        <f t="shared" si="118"/>
        <v/>
      </c>
      <c r="I245" s="4" t="str">
        <f t="shared" si="119"/>
        <v/>
      </c>
      <c r="J245" s="247"/>
      <c r="K245" s="117"/>
      <c r="L245" s="4" t="str">
        <f t="shared" si="120"/>
        <v/>
      </c>
      <c r="M245" s="4" t="str">
        <f t="shared" si="121"/>
        <v/>
      </c>
      <c r="N245" s="4" t="str">
        <f t="shared" si="122"/>
        <v/>
      </c>
      <c r="O245" s="4" t="str">
        <f t="shared" si="123"/>
        <v/>
      </c>
      <c r="P245" s="247"/>
      <c r="Q245" s="117"/>
      <c r="R245" s="4" t="str">
        <f t="shared" si="124"/>
        <v/>
      </c>
      <c r="S245" s="4" t="str">
        <f t="shared" si="125"/>
        <v/>
      </c>
      <c r="T245" s="4" t="str">
        <f t="shared" si="126"/>
        <v/>
      </c>
      <c r="U245" s="4" t="str">
        <f t="shared" si="127"/>
        <v/>
      </c>
      <c r="V245" s="247"/>
      <c r="W245" s="67" t="str">
        <f t="shared" si="128"/>
        <v/>
      </c>
      <c r="X245" s="118"/>
      <c r="Z245" s="67" t="str">
        <f t="shared" si="129"/>
        <v/>
      </c>
      <c r="AA245" s="13">
        <f t="shared" si="130"/>
        <v>0</v>
      </c>
      <c r="AB245" s="17">
        <f t="shared" si="131"/>
        <v>0</v>
      </c>
      <c r="AC245" s="163" t="str">
        <f t="shared" si="132"/>
        <v/>
      </c>
      <c r="AD245" s="119"/>
      <c r="AE245" s="120"/>
      <c r="AF245" s="121"/>
      <c r="AG245" s="122"/>
      <c r="AH245" s="83"/>
      <c r="AI245" s="115"/>
      <c r="AJ245" s="116"/>
      <c r="AK245" s="83"/>
      <c r="AL245" s="85"/>
      <c r="AM245" s="254"/>
      <c r="AN245" s="254"/>
      <c r="AO245" s="255"/>
    </row>
    <row r="246" spans="2:41" x14ac:dyDescent="0.25">
      <c r="B246" s="321"/>
      <c r="C246" s="17"/>
      <c r="D246" s="273"/>
      <c r="E246" s="117"/>
      <c r="F246" s="4" t="str">
        <f t="shared" si="116"/>
        <v/>
      </c>
      <c r="G246" s="4" t="str">
        <f t="shared" si="117"/>
        <v/>
      </c>
      <c r="H246" s="4" t="str">
        <f t="shared" si="118"/>
        <v/>
      </c>
      <c r="I246" s="4" t="str">
        <f t="shared" si="119"/>
        <v/>
      </c>
      <c r="J246" s="247"/>
      <c r="K246" s="117"/>
      <c r="L246" s="4" t="str">
        <f t="shared" si="120"/>
        <v/>
      </c>
      <c r="M246" s="4" t="str">
        <f t="shared" si="121"/>
        <v/>
      </c>
      <c r="N246" s="4" t="str">
        <f t="shared" si="122"/>
        <v/>
      </c>
      <c r="O246" s="4" t="str">
        <f t="shared" si="123"/>
        <v/>
      </c>
      <c r="P246" s="247"/>
      <c r="Q246" s="117"/>
      <c r="R246" s="4" t="str">
        <f t="shared" si="124"/>
        <v/>
      </c>
      <c r="S246" s="4" t="str">
        <f t="shared" si="125"/>
        <v/>
      </c>
      <c r="T246" s="4" t="str">
        <f t="shared" si="126"/>
        <v/>
      </c>
      <c r="U246" s="4" t="str">
        <f t="shared" si="127"/>
        <v/>
      </c>
      <c r="V246" s="247"/>
      <c r="W246" s="67" t="str">
        <f t="shared" si="128"/>
        <v/>
      </c>
      <c r="X246" s="118"/>
      <c r="Z246" s="67" t="str">
        <f t="shared" si="129"/>
        <v/>
      </c>
      <c r="AA246" s="13">
        <f t="shared" si="130"/>
        <v>0</v>
      </c>
      <c r="AB246" s="17">
        <f t="shared" si="131"/>
        <v>0</v>
      </c>
      <c r="AC246" s="163" t="str">
        <f t="shared" si="132"/>
        <v/>
      </c>
      <c r="AD246" s="119"/>
      <c r="AE246" s="120"/>
      <c r="AF246" s="121"/>
      <c r="AG246" s="122"/>
      <c r="AH246" s="83"/>
      <c r="AI246" s="115"/>
      <c r="AJ246" s="116"/>
      <c r="AK246" s="83"/>
      <c r="AL246" s="85"/>
      <c r="AM246" s="254"/>
      <c r="AN246" s="254"/>
      <c r="AO246" s="255"/>
    </row>
    <row r="247" spans="2:41" x14ac:dyDescent="0.25">
      <c r="B247" s="321"/>
      <c r="C247" s="17"/>
      <c r="D247" s="273"/>
      <c r="E247" s="117"/>
      <c r="F247" s="4" t="str">
        <f t="shared" si="116"/>
        <v/>
      </c>
      <c r="G247" s="4" t="str">
        <f t="shared" si="117"/>
        <v/>
      </c>
      <c r="H247" s="4" t="str">
        <f t="shared" si="118"/>
        <v/>
      </c>
      <c r="I247" s="4" t="str">
        <f t="shared" si="119"/>
        <v/>
      </c>
      <c r="J247" s="247"/>
      <c r="K247" s="117"/>
      <c r="L247" s="4" t="str">
        <f t="shared" si="120"/>
        <v/>
      </c>
      <c r="M247" s="4" t="str">
        <f t="shared" si="121"/>
        <v/>
      </c>
      <c r="N247" s="4" t="str">
        <f t="shared" si="122"/>
        <v/>
      </c>
      <c r="O247" s="4" t="str">
        <f t="shared" si="123"/>
        <v/>
      </c>
      <c r="P247" s="247"/>
      <c r="Q247" s="117"/>
      <c r="R247" s="4" t="str">
        <f t="shared" si="124"/>
        <v/>
      </c>
      <c r="S247" s="4" t="str">
        <f t="shared" si="125"/>
        <v/>
      </c>
      <c r="T247" s="4" t="str">
        <f t="shared" si="126"/>
        <v/>
      </c>
      <c r="U247" s="4" t="str">
        <f t="shared" si="127"/>
        <v/>
      </c>
      <c r="V247" s="247"/>
      <c r="W247" s="67" t="str">
        <f t="shared" si="128"/>
        <v/>
      </c>
      <c r="X247" s="118"/>
      <c r="Z247" s="67" t="str">
        <f t="shared" si="129"/>
        <v/>
      </c>
      <c r="AA247" s="13">
        <f t="shared" si="130"/>
        <v>0</v>
      </c>
      <c r="AB247" s="17">
        <f t="shared" si="131"/>
        <v>0</v>
      </c>
      <c r="AC247" s="163" t="str">
        <f t="shared" si="132"/>
        <v/>
      </c>
      <c r="AD247" s="119"/>
      <c r="AE247" s="120"/>
      <c r="AF247" s="121"/>
      <c r="AG247" s="122"/>
      <c r="AH247" s="83"/>
      <c r="AI247" s="115"/>
      <c r="AJ247" s="116"/>
      <c r="AK247" s="83"/>
      <c r="AL247" s="85"/>
      <c r="AM247" s="254"/>
      <c r="AN247" s="254"/>
      <c r="AO247" s="255"/>
    </row>
    <row r="248" spans="2:41" x14ac:dyDescent="0.25">
      <c r="B248" s="321"/>
      <c r="C248" s="17"/>
      <c r="D248" s="273"/>
      <c r="E248" s="117"/>
      <c r="F248" s="4" t="str">
        <f t="shared" si="116"/>
        <v/>
      </c>
      <c r="G248" s="4" t="str">
        <f t="shared" si="117"/>
        <v/>
      </c>
      <c r="H248" s="4" t="str">
        <f t="shared" si="118"/>
        <v/>
      </c>
      <c r="I248" s="4" t="str">
        <f t="shared" si="119"/>
        <v/>
      </c>
      <c r="J248" s="247"/>
      <c r="K248" s="117"/>
      <c r="L248" s="4" t="str">
        <f t="shared" si="120"/>
        <v/>
      </c>
      <c r="M248" s="4" t="str">
        <f t="shared" si="121"/>
        <v/>
      </c>
      <c r="N248" s="4" t="str">
        <f t="shared" si="122"/>
        <v/>
      </c>
      <c r="O248" s="4" t="str">
        <f t="shared" si="123"/>
        <v/>
      </c>
      <c r="P248" s="247"/>
      <c r="Q248" s="117"/>
      <c r="R248" s="4" t="str">
        <f t="shared" si="124"/>
        <v/>
      </c>
      <c r="S248" s="4" t="str">
        <f t="shared" si="125"/>
        <v/>
      </c>
      <c r="T248" s="4" t="str">
        <f t="shared" si="126"/>
        <v/>
      </c>
      <c r="U248" s="4" t="str">
        <f t="shared" si="127"/>
        <v/>
      </c>
      <c r="V248" s="247"/>
      <c r="W248" s="67" t="str">
        <f t="shared" si="128"/>
        <v/>
      </c>
      <c r="X248" s="118"/>
      <c r="Z248" s="67" t="str">
        <f t="shared" si="129"/>
        <v/>
      </c>
      <c r="AA248" s="13">
        <f t="shared" si="130"/>
        <v>0</v>
      </c>
      <c r="AB248" s="17">
        <f t="shared" si="131"/>
        <v>0</v>
      </c>
      <c r="AC248" s="163" t="str">
        <f t="shared" si="132"/>
        <v/>
      </c>
      <c r="AD248" s="119"/>
      <c r="AE248" s="120"/>
      <c r="AF248" s="121"/>
      <c r="AG248" s="122"/>
      <c r="AH248" s="83"/>
      <c r="AI248" s="115"/>
      <c r="AJ248" s="116"/>
      <c r="AK248" s="83"/>
      <c r="AL248" s="85"/>
      <c r="AM248" s="254"/>
      <c r="AN248" s="254"/>
      <c r="AO248" s="255"/>
    </row>
    <row r="249" spans="2:41" x14ac:dyDescent="0.25">
      <c r="B249" s="321"/>
      <c r="C249" s="17"/>
      <c r="D249" s="273"/>
      <c r="E249" s="117"/>
      <c r="F249" s="4" t="str">
        <f t="shared" si="116"/>
        <v/>
      </c>
      <c r="G249" s="4" t="str">
        <f t="shared" si="117"/>
        <v/>
      </c>
      <c r="H249" s="4" t="str">
        <f t="shared" si="118"/>
        <v/>
      </c>
      <c r="I249" s="4" t="str">
        <f t="shared" si="119"/>
        <v/>
      </c>
      <c r="J249" s="247"/>
      <c r="K249" s="117"/>
      <c r="L249" s="4" t="str">
        <f t="shared" si="120"/>
        <v/>
      </c>
      <c r="M249" s="4" t="str">
        <f t="shared" si="121"/>
        <v/>
      </c>
      <c r="N249" s="4" t="str">
        <f t="shared" si="122"/>
        <v/>
      </c>
      <c r="O249" s="4" t="str">
        <f t="shared" si="123"/>
        <v/>
      </c>
      <c r="P249" s="247"/>
      <c r="Q249" s="117"/>
      <c r="R249" s="4" t="str">
        <f t="shared" si="124"/>
        <v/>
      </c>
      <c r="S249" s="4" t="str">
        <f t="shared" si="125"/>
        <v/>
      </c>
      <c r="T249" s="4" t="str">
        <f t="shared" si="126"/>
        <v/>
      </c>
      <c r="U249" s="4" t="str">
        <f t="shared" si="127"/>
        <v/>
      </c>
      <c r="V249" s="247"/>
      <c r="W249" s="67" t="str">
        <f t="shared" si="128"/>
        <v/>
      </c>
      <c r="X249" s="118"/>
      <c r="Z249" s="67" t="str">
        <f t="shared" si="129"/>
        <v/>
      </c>
      <c r="AA249" s="13">
        <f t="shared" si="130"/>
        <v>0</v>
      </c>
      <c r="AB249" s="17">
        <f t="shared" si="131"/>
        <v>0</v>
      </c>
      <c r="AC249" s="163" t="str">
        <f t="shared" si="132"/>
        <v/>
      </c>
      <c r="AD249" s="119"/>
      <c r="AE249" s="120"/>
      <c r="AF249" s="121"/>
      <c r="AG249" s="122"/>
      <c r="AH249" s="83"/>
      <c r="AI249" s="115"/>
      <c r="AJ249" s="116"/>
      <c r="AK249" s="83"/>
      <c r="AL249" s="85"/>
      <c r="AM249" s="254"/>
      <c r="AN249" s="254"/>
      <c r="AO249" s="255"/>
    </row>
    <row r="250" spans="2:41" x14ac:dyDescent="0.25">
      <c r="B250" s="321"/>
      <c r="C250" s="17"/>
      <c r="D250" s="273"/>
      <c r="E250" s="117"/>
      <c r="F250" s="4" t="str">
        <f t="shared" si="116"/>
        <v/>
      </c>
      <c r="G250" s="4" t="str">
        <f t="shared" si="117"/>
        <v/>
      </c>
      <c r="H250" s="4" t="str">
        <f t="shared" si="118"/>
        <v/>
      </c>
      <c r="I250" s="4" t="str">
        <f t="shared" si="119"/>
        <v/>
      </c>
      <c r="J250" s="247"/>
      <c r="K250" s="117"/>
      <c r="L250" s="4" t="str">
        <f t="shared" si="120"/>
        <v/>
      </c>
      <c r="M250" s="4" t="str">
        <f t="shared" si="121"/>
        <v/>
      </c>
      <c r="N250" s="4" t="str">
        <f t="shared" si="122"/>
        <v/>
      </c>
      <c r="O250" s="4" t="str">
        <f t="shared" si="123"/>
        <v/>
      </c>
      <c r="P250" s="247"/>
      <c r="Q250" s="117"/>
      <c r="R250" s="4" t="str">
        <f t="shared" si="124"/>
        <v/>
      </c>
      <c r="S250" s="4" t="str">
        <f t="shared" si="125"/>
        <v/>
      </c>
      <c r="T250" s="4" t="str">
        <f t="shared" si="126"/>
        <v/>
      </c>
      <c r="U250" s="4" t="str">
        <f t="shared" si="127"/>
        <v/>
      </c>
      <c r="V250" s="247"/>
      <c r="W250" s="67" t="str">
        <f t="shared" si="128"/>
        <v/>
      </c>
      <c r="X250" s="118"/>
      <c r="Z250" s="67" t="str">
        <f t="shared" si="129"/>
        <v/>
      </c>
      <c r="AA250" s="13">
        <f t="shared" si="130"/>
        <v>0</v>
      </c>
      <c r="AB250" s="17">
        <f t="shared" si="131"/>
        <v>0</v>
      </c>
      <c r="AC250" s="163" t="str">
        <f t="shared" si="132"/>
        <v/>
      </c>
      <c r="AD250" s="119"/>
      <c r="AE250" s="120"/>
      <c r="AF250" s="121"/>
      <c r="AG250" s="122"/>
      <c r="AH250" s="83"/>
      <c r="AI250" s="115"/>
      <c r="AJ250" s="116"/>
      <c r="AK250" s="83"/>
      <c r="AL250" s="85"/>
      <c r="AM250" s="254"/>
      <c r="AN250" s="254"/>
      <c r="AO250" s="255"/>
    </row>
    <row r="251" spans="2:41" x14ac:dyDescent="0.25">
      <c r="B251" s="321"/>
      <c r="C251" s="17"/>
      <c r="D251" s="273"/>
      <c r="E251" s="117"/>
      <c r="F251" s="4" t="str">
        <f t="shared" si="116"/>
        <v/>
      </c>
      <c r="G251" s="4" t="str">
        <f t="shared" si="117"/>
        <v/>
      </c>
      <c r="H251" s="4" t="str">
        <f t="shared" si="118"/>
        <v/>
      </c>
      <c r="I251" s="4" t="str">
        <f t="shared" si="119"/>
        <v/>
      </c>
      <c r="J251" s="247"/>
      <c r="K251" s="117"/>
      <c r="L251" s="4" t="str">
        <f t="shared" si="120"/>
        <v/>
      </c>
      <c r="M251" s="4" t="str">
        <f t="shared" si="121"/>
        <v/>
      </c>
      <c r="N251" s="4" t="str">
        <f t="shared" si="122"/>
        <v/>
      </c>
      <c r="O251" s="4" t="str">
        <f t="shared" si="123"/>
        <v/>
      </c>
      <c r="P251" s="247"/>
      <c r="Q251" s="117"/>
      <c r="R251" s="4" t="str">
        <f t="shared" si="124"/>
        <v/>
      </c>
      <c r="S251" s="4" t="str">
        <f t="shared" si="125"/>
        <v/>
      </c>
      <c r="T251" s="4" t="str">
        <f t="shared" si="126"/>
        <v/>
      </c>
      <c r="U251" s="4" t="str">
        <f t="shared" si="127"/>
        <v/>
      </c>
      <c r="V251" s="247"/>
      <c r="W251" s="67" t="str">
        <f t="shared" si="128"/>
        <v/>
      </c>
      <c r="X251" s="118"/>
      <c r="Z251" s="67" t="str">
        <f t="shared" si="129"/>
        <v/>
      </c>
      <c r="AA251" s="13">
        <f t="shared" si="130"/>
        <v>0</v>
      </c>
      <c r="AB251" s="17">
        <f t="shared" si="131"/>
        <v>0</v>
      </c>
      <c r="AC251" s="163" t="str">
        <f t="shared" si="132"/>
        <v/>
      </c>
      <c r="AD251" s="119"/>
      <c r="AE251" s="120"/>
      <c r="AF251" s="121"/>
      <c r="AG251" s="122"/>
      <c r="AH251" s="83"/>
      <c r="AI251" s="115"/>
      <c r="AJ251" s="116"/>
      <c r="AK251" s="83"/>
      <c r="AL251" s="85"/>
      <c r="AM251" s="254"/>
      <c r="AN251" s="254"/>
      <c r="AO251" s="255"/>
    </row>
    <row r="252" spans="2:41" x14ac:dyDescent="0.25">
      <c r="B252" s="321"/>
      <c r="C252" s="17"/>
      <c r="D252" s="273"/>
      <c r="E252" s="117"/>
      <c r="F252" s="4" t="str">
        <f t="shared" ref="F252:F315" si="133">IFERROR(IF(VLOOKUP($E252,Inward,2,FALSE)&gt;0,VLOOKUP($E252,Inward,2,FALSE),""),"")</f>
        <v/>
      </c>
      <c r="G252" s="4" t="str">
        <f t="shared" ref="G252:G315" si="134">IFERROR(IF(VLOOKUP($E252,Inward,7,FALSE)&gt;0,VLOOKUP($E252,Inward,7,FALSE),""),"")</f>
        <v/>
      </c>
      <c r="H252" s="4" t="str">
        <f t="shared" ref="H252:H315" si="135">IFERROR(IF(VLOOKUP($E252,Inward,8,FALSE)&gt;0,VLOOKUP($E252,Inward,8,FALSE),""),"")</f>
        <v/>
      </c>
      <c r="I252" s="4" t="str">
        <f t="shared" ref="I252:I315" si="136">IFERROR(IF(VLOOKUP($E252,Inward,11,FALSE)&gt;0,VLOOKUP($E252,Inward,11,FALSE),""),"")</f>
        <v/>
      </c>
      <c r="J252" s="247"/>
      <c r="K252" s="117"/>
      <c r="L252" s="4" t="str">
        <f t="shared" ref="L252:L315" si="137">IFERROR(IF(VLOOKUP($K252,Inward,2,FALSE)&gt;0,VLOOKUP($K252,Inward,2,FALSE),""),"")</f>
        <v/>
      </c>
      <c r="M252" s="4" t="str">
        <f t="shared" ref="M252:M315" si="138">IFERROR(IF(VLOOKUP($K252,Inward,7,FALSE)&gt;0,VLOOKUP($K252,Inward,7,FALSE),""),"")</f>
        <v/>
      </c>
      <c r="N252" s="4" t="str">
        <f t="shared" ref="N252:N315" si="139">IFERROR(IF(VLOOKUP($K252,Inward,8,FALSE)&gt;0,VLOOKUP($K252,Inward,8,FALSE),""),"")</f>
        <v/>
      </c>
      <c r="O252" s="4" t="str">
        <f t="shared" ref="O252:O315" si="140">IFERROR(IF(VLOOKUP($K252,Inward,11,FALSE)&gt;0,VLOOKUP($K252,Inward,11,FALSE),""),"")</f>
        <v/>
      </c>
      <c r="P252" s="247"/>
      <c r="Q252" s="117"/>
      <c r="R252" s="4" t="str">
        <f t="shared" ref="R252:R315" si="141">IFERROR(IF(VLOOKUP($Q252,Inward,2,FALSE)&gt;0,VLOOKUP($Q252,Inward,2,FALSE),""),"")</f>
        <v/>
      </c>
      <c r="S252" s="4" t="str">
        <f t="shared" ref="S252:S315" si="142">IFERROR(IF(VLOOKUP($Q252,Inward,7,FALSE)&gt;0,VLOOKUP($Q252,Inward,7,FALSE),""),"")</f>
        <v/>
      </c>
      <c r="T252" s="4" t="str">
        <f t="shared" ref="T252:T315" si="143">IFERROR(IF(VLOOKUP($Q252,Inward,8,FALSE)&gt;0,VLOOKUP($Q252,Inward,8,FALSE),""),"")</f>
        <v/>
      </c>
      <c r="U252" s="4" t="str">
        <f t="shared" ref="U252:U315" si="144">IFERROR(IF(VLOOKUP($Q252,Inward,11,FALSE)&gt;0,VLOOKUP($Q252,Inward,11,FALSE),""),"")</f>
        <v/>
      </c>
      <c r="V252" s="247"/>
      <c r="W252" s="67" t="str">
        <f t="shared" ref="W252:W315" si="145">IF(SUM(I252,O252,U252)&gt;0,(SUM(I252,O252,U252)),"")</f>
        <v/>
      </c>
      <c r="X252" s="118"/>
      <c r="Z252" s="67" t="str">
        <f t="shared" ref="Z252:Z315" si="146">IF(SUM(W252,Y252)&gt;0,(SUM(W252,Y252)),"")</f>
        <v/>
      </c>
      <c r="AA252" s="13">
        <f t="shared" ref="AA252:AA315" si="147">B252</f>
        <v>0</v>
      </c>
      <c r="AB252" s="17">
        <f t="shared" ref="AB252:AB315" si="148">C252</f>
        <v>0</v>
      </c>
      <c r="AC252" s="163" t="str">
        <f t="shared" ref="AC252:AC315" si="149">F252</f>
        <v/>
      </c>
      <c r="AD252" s="119"/>
      <c r="AE252" s="120"/>
      <c r="AF252" s="121"/>
      <c r="AG252" s="122"/>
      <c r="AH252" s="83"/>
      <c r="AI252" s="115"/>
      <c r="AJ252" s="116"/>
      <c r="AK252" s="83"/>
      <c r="AL252" s="85"/>
      <c r="AM252" s="254"/>
      <c r="AN252" s="254"/>
      <c r="AO252" s="255"/>
    </row>
    <row r="253" spans="2:41" x14ac:dyDescent="0.25">
      <c r="B253" s="321"/>
      <c r="C253" s="17"/>
      <c r="D253" s="273"/>
      <c r="E253" s="117"/>
      <c r="F253" s="4" t="str">
        <f t="shared" si="133"/>
        <v/>
      </c>
      <c r="G253" s="4" t="str">
        <f t="shared" si="134"/>
        <v/>
      </c>
      <c r="H253" s="4" t="str">
        <f t="shared" si="135"/>
        <v/>
      </c>
      <c r="I253" s="4" t="str">
        <f t="shared" si="136"/>
        <v/>
      </c>
      <c r="J253" s="247"/>
      <c r="K253" s="117"/>
      <c r="L253" s="4" t="str">
        <f t="shared" si="137"/>
        <v/>
      </c>
      <c r="M253" s="4" t="str">
        <f t="shared" si="138"/>
        <v/>
      </c>
      <c r="N253" s="4" t="str">
        <f t="shared" si="139"/>
        <v/>
      </c>
      <c r="O253" s="4" t="str">
        <f t="shared" si="140"/>
        <v/>
      </c>
      <c r="P253" s="247"/>
      <c r="Q253" s="117"/>
      <c r="R253" s="4" t="str">
        <f t="shared" si="141"/>
        <v/>
      </c>
      <c r="S253" s="4" t="str">
        <f t="shared" si="142"/>
        <v/>
      </c>
      <c r="T253" s="4" t="str">
        <f t="shared" si="143"/>
        <v/>
      </c>
      <c r="U253" s="4" t="str">
        <f t="shared" si="144"/>
        <v/>
      </c>
      <c r="V253" s="247"/>
      <c r="W253" s="67" t="str">
        <f t="shared" si="145"/>
        <v/>
      </c>
      <c r="X253" s="118"/>
      <c r="Z253" s="67" t="str">
        <f t="shared" si="146"/>
        <v/>
      </c>
      <c r="AA253" s="13">
        <f t="shared" si="147"/>
        <v>0</v>
      </c>
      <c r="AB253" s="17">
        <f t="shared" si="148"/>
        <v>0</v>
      </c>
      <c r="AC253" s="163" t="str">
        <f t="shared" si="149"/>
        <v/>
      </c>
      <c r="AD253" s="119"/>
      <c r="AE253" s="120"/>
      <c r="AF253" s="121"/>
      <c r="AG253" s="122"/>
      <c r="AH253" s="83"/>
      <c r="AI253" s="115"/>
      <c r="AJ253" s="116"/>
      <c r="AK253" s="83"/>
      <c r="AL253" s="85"/>
      <c r="AM253" s="254"/>
      <c r="AN253" s="254"/>
      <c r="AO253" s="255"/>
    </row>
    <row r="254" spans="2:41" x14ac:dyDescent="0.25">
      <c r="B254" s="321"/>
      <c r="C254" s="17"/>
      <c r="D254" s="273"/>
      <c r="E254" s="117"/>
      <c r="F254" s="4" t="str">
        <f t="shared" si="133"/>
        <v/>
      </c>
      <c r="G254" s="4" t="str">
        <f t="shared" si="134"/>
        <v/>
      </c>
      <c r="H254" s="4" t="str">
        <f t="shared" si="135"/>
        <v/>
      </c>
      <c r="I254" s="4" t="str">
        <f t="shared" si="136"/>
        <v/>
      </c>
      <c r="J254" s="247"/>
      <c r="K254" s="117"/>
      <c r="L254" s="4" t="str">
        <f t="shared" si="137"/>
        <v/>
      </c>
      <c r="M254" s="4" t="str">
        <f t="shared" si="138"/>
        <v/>
      </c>
      <c r="N254" s="4" t="str">
        <f t="shared" si="139"/>
        <v/>
      </c>
      <c r="O254" s="4" t="str">
        <f t="shared" si="140"/>
        <v/>
      </c>
      <c r="P254" s="247"/>
      <c r="Q254" s="117"/>
      <c r="R254" s="4" t="str">
        <f t="shared" si="141"/>
        <v/>
      </c>
      <c r="S254" s="4" t="str">
        <f t="shared" si="142"/>
        <v/>
      </c>
      <c r="T254" s="4" t="str">
        <f t="shared" si="143"/>
        <v/>
      </c>
      <c r="U254" s="4" t="str">
        <f t="shared" si="144"/>
        <v/>
      </c>
      <c r="V254" s="247"/>
      <c r="W254" s="67" t="str">
        <f t="shared" si="145"/>
        <v/>
      </c>
      <c r="X254" s="118"/>
      <c r="Z254" s="67" t="str">
        <f t="shared" si="146"/>
        <v/>
      </c>
      <c r="AA254" s="13">
        <f t="shared" si="147"/>
        <v>0</v>
      </c>
      <c r="AB254" s="17">
        <f t="shared" si="148"/>
        <v>0</v>
      </c>
      <c r="AC254" s="163" t="str">
        <f t="shared" si="149"/>
        <v/>
      </c>
      <c r="AD254" s="119"/>
      <c r="AE254" s="120"/>
      <c r="AF254" s="121"/>
      <c r="AG254" s="122"/>
      <c r="AH254" s="83"/>
      <c r="AI254" s="115"/>
      <c r="AJ254" s="116"/>
      <c r="AK254" s="83"/>
      <c r="AL254" s="85"/>
      <c r="AM254" s="254"/>
      <c r="AN254" s="254"/>
      <c r="AO254" s="255"/>
    </row>
    <row r="255" spans="2:41" x14ac:dyDescent="0.25">
      <c r="B255" s="321"/>
      <c r="C255" s="17"/>
      <c r="D255" s="273"/>
      <c r="E255" s="117"/>
      <c r="F255" s="4" t="str">
        <f t="shared" si="133"/>
        <v/>
      </c>
      <c r="G255" s="4" t="str">
        <f t="shared" si="134"/>
        <v/>
      </c>
      <c r="H255" s="4" t="str">
        <f t="shared" si="135"/>
        <v/>
      </c>
      <c r="I255" s="4" t="str">
        <f t="shared" si="136"/>
        <v/>
      </c>
      <c r="J255" s="247"/>
      <c r="K255" s="117"/>
      <c r="L255" s="4" t="str">
        <f t="shared" si="137"/>
        <v/>
      </c>
      <c r="M255" s="4" t="str">
        <f t="shared" si="138"/>
        <v/>
      </c>
      <c r="N255" s="4" t="str">
        <f t="shared" si="139"/>
        <v/>
      </c>
      <c r="O255" s="4" t="str">
        <f t="shared" si="140"/>
        <v/>
      </c>
      <c r="P255" s="247"/>
      <c r="Q255" s="117"/>
      <c r="R255" s="4" t="str">
        <f t="shared" si="141"/>
        <v/>
      </c>
      <c r="S255" s="4" t="str">
        <f t="shared" si="142"/>
        <v/>
      </c>
      <c r="T255" s="4" t="str">
        <f t="shared" si="143"/>
        <v/>
      </c>
      <c r="U255" s="4" t="str">
        <f t="shared" si="144"/>
        <v/>
      </c>
      <c r="V255" s="247"/>
      <c r="W255" s="67" t="str">
        <f t="shared" si="145"/>
        <v/>
      </c>
      <c r="X255" s="118"/>
      <c r="Z255" s="67" t="str">
        <f t="shared" si="146"/>
        <v/>
      </c>
      <c r="AA255" s="13">
        <f t="shared" si="147"/>
        <v>0</v>
      </c>
      <c r="AB255" s="17">
        <f t="shared" si="148"/>
        <v>0</v>
      </c>
      <c r="AC255" s="163" t="str">
        <f t="shared" si="149"/>
        <v/>
      </c>
      <c r="AD255" s="119"/>
      <c r="AE255" s="120"/>
      <c r="AF255" s="121"/>
      <c r="AG255" s="122"/>
      <c r="AH255" s="83"/>
      <c r="AI255" s="115"/>
      <c r="AJ255" s="116"/>
      <c r="AK255" s="83"/>
      <c r="AL255" s="85"/>
      <c r="AM255" s="254"/>
      <c r="AN255" s="254"/>
      <c r="AO255" s="255"/>
    </row>
    <row r="256" spans="2:41" x14ac:dyDescent="0.25">
      <c r="B256" s="321"/>
      <c r="C256" s="17"/>
      <c r="D256" s="273"/>
      <c r="E256" s="117"/>
      <c r="F256" s="4" t="str">
        <f t="shared" si="133"/>
        <v/>
      </c>
      <c r="G256" s="4" t="str">
        <f t="shared" si="134"/>
        <v/>
      </c>
      <c r="H256" s="4" t="str">
        <f t="shared" si="135"/>
        <v/>
      </c>
      <c r="I256" s="4" t="str">
        <f t="shared" si="136"/>
        <v/>
      </c>
      <c r="J256" s="247"/>
      <c r="K256" s="117"/>
      <c r="L256" s="4" t="str">
        <f t="shared" si="137"/>
        <v/>
      </c>
      <c r="M256" s="4" t="str">
        <f t="shared" si="138"/>
        <v/>
      </c>
      <c r="N256" s="4" t="str">
        <f t="shared" si="139"/>
        <v/>
      </c>
      <c r="O256" s="4" t="str">
        <f t="shared" si="140"/>
        <v/>
      </c>
      <c r="P256" s="247"/>
      <c r="Q256" s="117"/>
      <c r="R256" s="4" t="str">
        <f t="shared" si="141"/>
        <v/>
      </c>
      <c r="S256" s="4" t="str">
        <f t="shared" si="142"/>
        <v/>
      </c>
      <c r="T256" s="4" t="str">
        <f t="shared" si="143"/>
        <v/>
      </c>
      <c r="U256" s="4" t="str">
        <f t="shared" si="144"/>
        <v/>
      </c>
      <c r="V256" s="247"/>
      <c r="W256" s="67" t="str">
        <f t="shared" si="145"/>
        <v/>
      </c>
      <c r="X256" s="118"/>
      <c r="Z256" s="67" t="str">
        <f t="shared" si="146"/>
        <v/>
      </c>
      <c r="AA256" s="13">
        <f t="shared" si="147"/>
        <v>0</v>
      </c>
      <c r="AB256" s="17">
        <f t="shared" si="148"/>
        <v>0</v>
      </c>
      <c r="AC256" s="163" t="str">
        <f t="shared" si="149"/>
        <v/>
      </c>
      <c r="AD256" s="119"/>
      <c r="AE256" s="120"/>
      <c r="AF256" s="121"/>
      <c r="AG256" s="122"/>
      <c r="AH256" s="83"/>
      <c r="AI256" s="115"/>
      <c r="AJ256" s="116"/>
      <c r="AK256" s="83"/>
      <c r="AL256" s="85"/>
      <c r="AM256" s="254"/>
      <c r="AN256" s="254"/>
      <c r="AO256" s="255"/>
    </row>
    <row r="257" spans="2:41" x14ac:dyDescent="0.25">
      <c r="B257" s="321"/>
      <c r="C257" s="17"/>
      <c r="D257" s="273"/>
      <c r="E257" s="117"/>
      <c r="F257" s="4" t="str">
        <f t="shared" si="133"/>
        <v/>
      </c>
      <c r="G257" s="4" t="str">
        <f t="shared" si="134"/>
        <v/>
      </c>
      <c r="H257" s="4" t="str">
        <f t="shared" si="135"/>
        <v/>
      </c>
      <c r="I257" s="4" t="str">
        <f t="shared" si="136"/>
        <v/>
      </c>
      <c r="J257" s="247"/>
      <c r="K257" s="117"/>
      <c r="L257" s="4" t="str">
        <f t="shared" si="137"/>
        <v/>
      </c>
      <c r="M257" s="4" t="str">
        <f t="shared" si="138"/>
        <v/>
      </c>
      <c r="N257" s="4" t="str">
        <f t="shared" si="139"/>
        <v/>
      </c>
      <c r="O257" s="4" t="str">
        <f t="shared" si="140"/>
        <v/>
      </c>
      <c r="P257" s="247"/>
      <c r="Q257" s="117"/>
      <c r="R257" s="4" t="str">
        <f t="shared" si="141"/>
        <v/>
      </c>
      <c r="S257" s="4" t="str">
        <f t="shared" si="142"/>
        <v/>
      </c>
      <c r="T257" s="4" t="str">
        <f t="shared" si="143"/>
        <v/>
      </c>
      <c r="U257" s="4" t="str">
        <f t="shared" si="144"/>
        <v/>
      </c>
      <c r="V257" s="247"/>
      <c r="W257" s="67" t="str">
        <f t="shared" si="145"/>
        <v/>
      </c>
      <c r="X257" s="118"/>
      <c r="Z257" s="67" t="str">
        <f t="shared" si="146"/>
        <v/>
      </c>
      <c r="AA257" s="13">
        <f t="shared" si="147"/>
        <v>0</v>
      </c>
      <c r="AB257" s="17">
        <f t="shared" si="148"/>
        <v>0</v>
      </c>
      <c r="AC257" s="163" t="str">
        <f t="shared" si="149"/>
        <v/>
      </c>
      <c r="AD257" s="119"/>
      <c r="AE257" s="120"/>
      <c r="AF257" s="121"/>
      <c r="AG257" s="122"/>
      <c r="AH257" s="83"/>
      <c r="AI257" s="115"/>
      <c r="AJ257" s="116"/>
      <c r="AK257" s="83"/>
      <c r="AL257" s="85"/>
      <c r="AM257" s="254"/>
      <c r="AN257" s="254"/>
      <c r="AO257" s="255"/>
    </row>
    <row r="258" spans="2:41" x14ac:dyDescent="0.25">
      <c r="B258" s="321"/>
      <c r="C258" s="17"/>
      <c r="D258" s="273"/>
      <c r="E258" s="117"/>
      <c r="F258" s="4" t="str">
        <f t="shared" si="133"/>
        <v/>
      </c>
      <c r="G258" s="4" t="str">
        <f t="shared" si="134"/>
        <v/>
      </c>
      <c r="H258" s="4" t="str">
        <f t="shared" si="135"/>
        <v/>
      </c>
      <c r="I258" s="4" t="str">
        <f t="shared" si="136"/>
        <v/>
      </c>
      <c r="J258" s="247"/>
      <c r="K258" s="117"/>
      <c r="L258" s="4" t="str">
        <f t="shared" si="137"/>
        <v/>
      </c>
      <c r="M258" s="4" t="str">
        <f t="shared" si="138"/>
        <v/>
      </c>
      <c r="N258" s="4" t="str">
        <f t="shared" si="139"/>
        <v/>
      </c>
      <c r="O258" s="4" t="str">
        <f t="shared" si="140"/>
        <v/>
      </c>
      <c r="P258" s="247"/>
      <c r="Q258" s="117"/>
      <c r="R258" s="4" t="str">
        <f t="shared" si="141"/>
        <v/>
      </c>
      <c r="S258" s="4" t="str">
        <f t="shared" si="142"/>
        <v/>
      </c>
      <c r="T258" s="4" t="str">
        <f t="shared" si="143"/>
        <v/>
      </c>
      <c r="U258" s="4" t="str">
        <f t="shared" si="144"/>
        <v/>
      </c>
      <c r="V258" s="247"/>
      <c r="W258" s="67" t="str">
        <f t="shared" si="145"/>
        <v/>
      </c>
      <c r="X258" s="118"/>
      <c r="Z258" s="67" t="str">
        <f t="shared" si="146"/>
        <v/>
      </c>
      <c r="AA258" s="13">
        <f t="shared" si="147"/>
        <v>0</v>
      </c>
      <c r="AB258" s="17">
        <f t="shared" si="148"/>
        <v>0</v>
      </c>
      <c r="AC258" s="163" t="str">
        <f t="shared" si="149"/>
        <v/>
      </c>
      <c r="AD258" s="119"/>
      <c r="AE258" s="120"/>
      <c r="AF258" s="121"/>
      <c r="AG258" s="122"/>
      <c r="AH258" s="83"/>
      <c r="AI258" s="115"/>
      <c r="AJ258" s="116"/>
      <c r="AK258" s="83"/>
      <c r="AL258" s="85"/>
      <c r="AM258" s="254"/>
      <c r="AN258" s="254"/>
      <c r="AO258" s="255"/>
    </row>
    <row r="259" spans="2:41" x14ac:dyDescent="0.25">
      <c r="B259" s="321"/>
      <c r="C259" s="17"/>
      <c r="D259" s="273"/>
      <c r="E259" s="117"/>
      <c r="F259" s="4" t="str">
        <f t="shared" si="133"/>
        <v/>
      </c>
      <c r="G259" s="4" t="str">
        <f t="shared" si="134"/>
        <v/>
      </c>
      <c r="H259" s="4" t="str">
        <f t="shared" si="135"/>
        <v/>
      </c>
      <c r="I259" s="4" t="str">
        <f t="shared" si="136"/>
        <v/>
      </c>
      <c r="J259" s="247"/>
      <c r="K259" s="117"/>
      <c r="L259" s="4" t="str">
        <f t="shared" si="137"/>
        <v/>
      </c>
      <c r="M259" s="4" t="str">
        <f t="shared" si="138"/>
        <v/>
      </c>
      <c r="N259" s="4" t="str">
        <f t="shared" si="139"/>
        <v/>
      </c>
      <c r="O259" s="4" t="str">
        <f t="shared" si="140"/>
        <v/>
      </c>
      <c r="P259" s="247"/>
      <c r="Q259" s="117"/>
      <c r="R259" s="4" t="str">
        <f t="shared" si="141"/>
        <v/>
      </c>
      <c r="S259" s="4" t="str">
        <f t="shared" si="142"/>
        <v/>
      </c>
      <c r="T259" s="4" t="str">
        <f t="shared" si="143"/>
        <v/>
      </c>
      <c r="U259" s="4" t="str">
        <f t="shared" si="144"/>
        <v/>
      </c>
      <c r="V259" s="247"/>
      <c r="W259" s="67" t="str">
        <f t="shared" si="145"/>
        <v/>
      </c>
      <c r="X259" s="118"/>
      <c r="Z259" s="67" t="str">
        <f t="shared" si="146"/>
        <v/>
      </c>
      <c r="AA259" s="13">
        <f t="shared" si="147"/>
        <v>0</v>
      </c>
      <c r="AB259" s="17">
        <f t="shared" si="148"/>
        <v>0</v>
      </c>
      <c r="AC259" s="163" t="str">
        <f t="shared" si="149"/>
        <v/>
      </c>
      <c r="AD259" s="119"/>
      <c r="AE259" s="120"/>
      <c r="AF259" s="121"/>
      <c r="AG259" s="122"/>
      <c r="AH259" s="83"/>
      <c r="AI259" s="115"/>
      <c r="AJ259" s="116"/>
      <c r="AK259" s="83"/>
      <c r="AL259" s="85"/>
      <c r="AM259" s="254"/>
      <c r="AN259" s="254"/>
      <c r="AO259" s="255"/>
    </row>
    <row r="260" spans="2:41" x14ac:dyDescent="0.25">
      <c r="B260" s="321"/>
      <c r="C260" s="17"/>
      <c r="D260" s="273"/>
      <c r="E260" s="117"/>
      <c r="F260" s="4" t="str">
        <f t="shared" si="133"/>
        <v/>
      </c>
      <c r="G260" s="4" t="str">
        <f t="shared" si="134"/>
        <v/>
      </c>
      <c r="H260" s="4" t="str">
        <f t="shared" si="135"/>
        <v/>
      </c>
      <c r="I260" s="4" t="str">
        <f t="shared" si="136"/>
        <v/>
      </c>
      <c r="J260" s="247"/>
      <c r="K260" s="117"/>
      <c r="L260" s="4" t="str">
        <f t="shared" si="137"/>
        <v/>
      </c>
      <c r="M260" s="4" t="str">
        <f t="shared" si="138"/>
        <v/>
      </c>
      <c r="N260" s="4" t="str">
        <f t="shared" si="139"/>
        <v/>
      </c>
      <c r="O260" s="4" t="str">
        <f t="shared" si="140"/>
        <v/>
      </c>
      <c r="P260" s="247"/>
      <c r="Q260" s="117"/>
      <c r="R260" s="4" t="str">
        <f t="shared" si="141"/>
        <v/>
      </c>
      <c r="S260" s="4" t="str">
        <f t="shared" si="142"/>
        <v/>
      </c>
      <c r="T260" s="4" t="str">
        <f t="shared" si="143"/>
        <v/>
      </c>
      <c r="U260" s="4" t="str">
        <f t="shared" si="144"/>
        <v/>
      </c>
      <c r="V260" s="247"/>
      <c r="W260" s="67" t="str">
        <f t="shared" si="145"/>
        <v/>
      </c>
      <c r="X260" s="118"/>
      <c r="Z260" s="67" t="str">
        <f t="shared" si="146"/>
        <v/>
      </c>
      <c r="AA260" s="13">
        <f t="shared" si="147"/>
        <v>0</v>
      </c>
      <c r="AB260" s="17">
        <f t="shared" si="148"/>
        <v>0</v>
      </c>
      <c r="AC260" s="163" t="str">
        <f t="shared" si="149"/>
        <v/>
      </c>
      <c r="AD260" s="119"/>
      <c r="AE260" s="120"/>
      <c r="AF260" s="121"/>
      <c r="AG260" s="122"/>
      <c r="AH260" s="83"/>
      <c r="AI260" s="115"/>
      <c r="AJ260" s="116"/>
      <c r="AK260" s="83"/>
      <c r="AL260" s="85"/>
      <c r="AM260" s="254"/>
      <c r="AN260" s="254"/>
      <c r="AO260" s="255"/>
    </row>
    <row r="261" spans="2:41" x14ac:dyDescent="0.25">
      <c r="B261" s="321"/>
      <c r="C261" s="17"/>
      <c r="D261" s="273"/>
      <c r="E261" s="117"/>
      <c r="F261" s="4" t="str">
        <f t="shared" si="133"/>
        <v/>
      </c>
      <c r="G261" s="4" t="str">
        <f t="shared" si="134"/>
        <v/>
      </c>
      <c r="H261" s="4" t="str">
        <f t="shared" si="135"/>
        <v/>
      </c>
      <c r="I261" s="4" t="str">
        <f t="shared" si="136"/>
        <v/>
      </c>
      <c r="J261" s="247"/>
      <c r="K261" s="117"/>
      <c r="L261" s="4" t="str">
        <f t="shared" si="137"/>
        <v/>
      </c>
      <c r="M261" s="4" t="str">
        <f t="shared" si="138"/>
        <v/>
      </c>
      <c r="N261" s="4" t="str">
        <f t="shared" si="139"/>
        <v/>
      </c>
      <c r="O261" s="4" t="str">
        <f t="shared" si="140"/>
        <v/>
      </c>
      <c r="P261" s="247"/>
      <c r="Q261" s="117"/>
      <c r="R261" s="4" t="str">
        <f t="shared" si="141"/>
        <v/>
      </c>
      <c r="S261" s="4" t="str">
        <f t="shared" si="142"/>
        <v/>
      </c>
      <c r="T261" s="4" t="str">
        <f t="shared" si="143"/>
        <v/>
      </c>
      <c r="U261" s="4" t="str">
        <f t="shared" si="144"/>
        <v/>
      </c>
      <c r="V261" s="247"/>
      <c r="W261" s="67" t="str">
        <f t="shared" si="145"/>
        <v/>
      </c>
      <c r="X261" s="118"/>
      <c r="Z261" s="67" t="str">
        <f t="shared" si="146"/>
        <v/>
      </c>
      <c r="AA261" s="13">
        <f t="shared" si="147"/>
        <v>0</v>
      </c>
      <c r="AB261" s="17">
        <f t="shared" si="148"/>
        <v>0</v>
      </c>
      <c r="AC261" s="163" t="str">
        <f t="shared" si="149"/>
        <v/>
      </c>
      <c r="AD261" s="119"/>
      <c r="AE261" s="120"/>
      <c r="AF261" s="121"/>
      <c r="AG261" s="122"/>
      <c r="AH261" s="83"/>
      <c r="AI261" s="115"/>
      <c r="AJ261" s="116"/>
      <c r="AK261" s="83"/>
      <c r="AL261" s="85"/>
      <c r="AM261" s="254"/>
      <c r="AN261" s="254"/>
      <c r="AO261" s="255"/>
    </row>
    <row r="262" spans="2:41" x14ac:dyDescent="0.25">
      <c r="B262" s="321"/>
      <c r="C262" s="17"/>
      <c r="D262" s="273"/>
      <c r="E262" s="117"/>
      <c r="F262" s="4" t="str">
        <f t="shared" si="133"/>
        <v/>
      </c>
      <c r="G262" s="4" t="str">
        <f t="shared" si="134"/>
        <v/>
      </c>
      <c r="H262" s="4" t="str">
        <f t="shared" si="135"/>
        <v/>
      </c>
      <c r="I262" s="4" t="str">
        <f t="shared" si="136"/>
        <v/>
      </c>
      <c r="J262" s="247"/>
      <c r="K262" s="117"/>
      <c r="L262" s="4" t="str">
        <f t="shared" si="137"/>
        <v/>
      </c>
      <c r="M262" s="4" t="str">
        <f t="shared" si="138"/>
        <v/>
      </c>
      <c r="N262" s="4" t="str">
        <f t="shared" si="139"/>
        <v/>
      </c>
      <c r="O262" s="4" t="str">
        <f t="shared" si="140"/>
        <v/>
      </c>
      <c r="P262" s="247"/>
      <c r="Q262" s="117"/>
      <c r="R262" s="4" t="str">
        <f t="shared" si="141"/>
        <v/>
      </c>
      <c r="S262" s="4" t="str">
        <f t="shared" si="142"/>
        <v/>
      </c>
      <c r="T262" s="4" t="str">
        <f t="shared" si="143"/>
        <v/>
      </c>
      <c r="U262" s="4" t="str">
        <f t="shared" si="144"/>
        <v/>
      </c>
      <c r="V262" s="247"/>
      <c r="W262" s="67" t="str">
        <f t="shared" si="145"/>
        <v/>
      </c>
      <c r="X262" s="118"/>
      <c r="Z262" s="67" t="str">
        <f t="shared" si="146"/>
        <v/>
      </c>
      <c r="AA262" s="13">
        <f t="shared" si="147"/>
        <v>0</v>
      </c>
      <c r="AB262" s="17">
        <f t="shared" si="148"/>
        <v>0</v>
      </c>
      <c r="AC262" s="163" t="str">
        <f t="shared" si="149"/>
        <v/>
      </c>
      <c r="AD262" s="119"/>
      <c r="AE262" s="120"/>
      <c r="AF262" s="121"/>
      <c r="AG262" s="122"/>
      <c r="AH262" s="83"/>
      <c r="AI262" s="115"/>
      <c r="AJ262" s="116"/>
      <c r="AK262" s="83"/>
      <c r="AL262" s="85"/>
      <c r="AM262" s="254"/>
      <c r="AN262" s="254"/>
      <c r="AO262" s="255"/>
    </row>
    <row r="263" spans="2:41" x14ac:dyDescent="0.25">
      <c r="B263" s="321"/>
      <c r="C263" s="17"/>
      <c r="D263" s="273"/>
      <c r="E263" s="117"/>
      <c r="F263" s="4" t="str">
        <f t="shared" si="133"/>
        <v/>
      </c>
      <c r="G263" s="4" t="str">
        <f t="shared" si="134"/>
        <v/>
      </c>
      <c r="H263" s="4" t="str">
        <f t="shared" si="135"/>
        <v/>
      </c>
      <c r="I263" s="4" t="str">
        <f t="shared" si="136"/>
        <v/>
      </c>
      <c r="J263" s="247"/>
      <c r="K263" s="117"/>
      <c r="L263" s="4" t="str">
        <f t="shared" si="137"/>
        <v/>
      </c>
      <c r="M263" s="4" t="str">
        <f t="shared" si="138"/>
        <v/>
      </c>
      <c r="N263" s="4" t="str">
        <f t="shared" si="139"/>
        <v/>
      </c>
      <c r="O263" s="4" t="str">
        <f t="shared" si="140"/>
        <v/>
      </c>
      <c r="P263" s="247"/>
      <c r="Q263" s="117"/>
      <c r="R263" s="4" t="str">
        <f t="shared" si="141"/>
        <v/>
      </c>
      <c r="S263" s="4" t="str">
        <f t="shared" si="142"/>
        <v/>
      </c>
      <c r="T263" s="4" t="str">
        <f t="shared" si="143"/>
        <v/>
      </c>
      <c r="U263" s="4" t="str">
        <f t="shared" si="144"/>
        <v/>
      </c>
      <c r="V263" s="247"/>
      <c r="W263" s="67" t="str">
        <f t="shared" si="145"/>
        <v/>
      </c>
      <c r="X263" s="118"/>
      <c r="Z263" s="67" t="str">
        <f t="shared" si="146"/>
        <v/>
      </c>
      <c r="AA263" s="13">
        <f t="shared" si="147"/>
        <v>0</v>
      </c>
      <c r="AB263" s="17">
        <f t="shared" si="148"/>
        <v>0</v>
      </c>
      <c r="AC263" s="163" t="str">
        <f t="shared" si="149"/>
        <v/>
      </c>
      <c r="AD263" s="119"/>
      <c r="AE263" s="120"/>
      <c r="AF263" s="121"/>
      <c r="AG263" s="122"/>
      <c r="AH263" s="83"/>
      <c r="AI263" s="115"/>
      <c r="AJ263" s="116"/>
      <c r="AK263" s="83"/>
      <c r="AL263" s="85"/>
      <c r="AM263" s="254"/>
      <c r="AN263" s="254"/>
      <c r="AO263" s="255"/>
    </row>
    <row r="264" spans="2:41" x14ac:dyDescent="0.25">
      <c r="B264" s="321"/>
      <c r="C264" s="17"/>
      <c r="D264" s="273"/>
      <c r="E264" s="117"/>
      <c r="F264" s="4" t="str">
        <f t="shared" si="133"/>
        <v/>
      </c>
      <c r="G264" s="4" t="str">
        <f t="shared" si="134"/>
        <v/>
      </c>
      <c r="H264" s="4" t="str">
        <f t="shared" si="135"/>
        <v/>
      </c>
      <c r="I264" s="4" t="str">
        <f t="shared" si="136"/>
        <v/>
      </c>
      <c r="J264" s="247"/>
      <c r="K264" s="117"/>
      <c r="L264" s="4" t="str">
        <f t="shared" si="137"/>
        <v/>
      </c>
      <c r="M264" s="4" t="str">
        <f t="shared" si="138"/>
        <v/>
      </c>
      <c r="N264" s="4" t="str">
        <f t="shared" si="139"/>
        <v/>
      </c>
      <c r="O264" s="4" t="str">
        <f t="shared" si="140"/>
        <v/>
      </c>
      <c r="P264" s="247"/>
      <c r="Q264" s="117"/>
      <c r="R264" s="4" t="str">
        <f t="shared" si="141"/>
        <v/>
      </c>
      <c r="S264" s="4" t="str">
        <f t="shared" si="142"/>
        <v/>
      </c>
      <c r="T264" s="4" t="str">
        <f t="shared" si="143"/>
        <v/>
      </c>
      <c r="U264" s="4" t="str">
        <f t="shared" si="144"/>
        <v/>
      </c>
      <c r="V264" s="247"/>
      <c r="W264" s="67" t="str">
        <f t="shared" si="145"/>
        <v/>
      </c>
      <c r="X264" s="118"/>
      <c r="Z264" s="67" t="str">
        <f t="shared" si="146"/>
        <v/>
      </c>
      <c r="AA264" s="13">
        <f t="shared" si="147"/>
        <v>0</v>
      </c>
      <c r="AB264" s="17">
        <f t="shared" si="148"/>
        <v>0</v>
      </c>
      <c r="AC264" s="163" t="str">
        <f t="shared" si="149"/>
        <v/>
      </c>
      <c r="AD264" s="119"/>
      <c r="AE264" s="120"/>
      <c r="AF264" s="121"/>
      <c r="AG264" s="122"/>
      <c r="AH264" s="83"/>
      <c r="AI264" s="115"/>
      <c r="AJ264" s="116"/>
      <c r="AK264" s="83"/>
      <c r="AL264" s="85"/>
      <c r="AM264" s="254"/>
      <c r="AN264" s="254"/>
      <c r="AO264" s="255"/>
    </row>
    <row r="265" spans="2:41" x14ac:dyDescent="0.25">
      <c r="B265" s="321"/>
      <c r="C265" s="17"/>
      <c r="D265" s="273"/>
      <c r="E265" s="117"/>
      <c r="F265" s="4" t="str">
        <f t="shared" si="133"/>
        <v/>
      </c>
      <c r="G265" s="4" t="str">
        <f t="shared" si="134"/>
        <v/>
      </c>
      <c r="H265" s="4" t="str">
        <f t="shared" si="135"/>
        <v/>
      </c>
      <c r="I265" s="4" t="str">
        <f t="shared" si="136"/>
        <v/>
      </c>
      <c r="J265" s="247"/>
      <c r="K265" s="117"/>
      <c r="L265" s="4" t="str">
        <f t="shared" si="137"/>
        <v/>
      </c>
      <c r="M265" s="4" t="str">
        <f t="shared" si="138"/>
        <v/>
      </c>
      <c r="N265" s="4" t="str">
        <f t="shared" si="139"/>
        <v/>
      </c>
      <c r="O265" s="4" t="str">
        <f t="shared" si="140"/>
        <v/>
      </c>
      <c r="P265" s="247"/>
      <c r="Q265" s="117"/>
      <c r="R265" s="4" t="str">
        <f t="shared" si="141"/>
        <v/>
      </c>
      <c r="S265" s="4" t="str">
        <f t="shared" si="142"/>
        <v/>
      </c>
      <c r="T265" s="4" t="str">
        <f t="shared" si="143"/>
        <v/>
      </c>
      <c r="U265" s="4" t="str">
        <f t="shared" si="144"/>
        <v/>
      </c>
      <c r="V265" s="247"/>
      <c r="W265" s="67" t="str">
        <f t="shared" si="145"/>
        <v/>
      </c>
      <c r="X265" s="118"/>
      <c r="Z265" s="67" t="str">
        <f t="shared" si="146"/>
        <v/>
      </c>
      <c r="AA265" s="13">
        <f t="shared" si="147"/>
        <v>0</v>
      </c>
      <c r="AB265" s="17">
        <f t="shared" si="148"/>
        <v>0</v>
      </c>
      <c r="AC265" s="163" t="str">
        <f t="shared" si="149"/>
        <v/>
      </c>
      <c r="AD265" s="119"/>
      <c r="AE265" s="120"/>
      <c r="AF265" s="121"/>
      <c r="AG265" s="122"/>
      <c r="AH265" s="83"/>
      <c r="AI265" s="115"/>
      <c r="AJ265" s="116"/>
      <c r="AK265" s="83"/>
      <c r="AL265" s="85"/>
      <c r="AM265" s="254"/>
      <c r="AN265" s="254"/>
      <c r="AO265" s="255"/>
    </row>
    <row r="266" spans="2:41" x14ac:dyDescent="0.25">
      <c r="B266" s="321"/>
      <c r="C266" s="17"/>
      <c r="D266" s="273"/>
      <c r="E266" s="117"/>
      <c r="F266" s="4" t="str">
        <f t="shared" si="133"/>
        <v/>
      </c>
      <c r="G266" s="4" t="str">
        <f t="shared" si="134"/>
        <v/>
      </c>
      <c r="H266" s="4" t="str">
        <f t="shared" si="135"/>
        <v/>
      </c>
      <c r="I266" s="4" t="str">
        <f t="shared" si="136"/>
        <v/>
      </c>
      <c r="J266" s="247"/>
      <c r="K266" s="117"/>
      <c r="L266" s="4" t="str">
        <f t="shared" si="137"/>
        <v/>
      </c>
      <c r="M266" s="4" t="str">
        <f t="shared" si="138"/>
        <v/>
      </c>
      <c r="N266" s="4" t="str">
        <f t="shared" si="139"/>
        <v/>
      </c>
      <c r="O266" s="4" t="str">
        <f t="shared" si="140"/>
        <v/>
      </c>
      <c r="P266" s="247"/>
      <c r="Q266" s="117"/>
      <c r="R266" s="4" t="str">
        <f t="shared" si="141"/>
        <v/>
      </c>
      <c r="S266" s="4" t="str">
        <f t="shared" si="142"/>
        <v/>
      </c>
      <c r="T266" s="4" t="str">
        <f t="shared" si="143"/>
        <v/>
      </c>
      <c r="U266" s="4" t="str">
        <f t="shared" si="144"/>
        <v/>
      </c>
      <c r="V266" s="247"/>
      <c r="W266" s="67" t="str">
        <f t="shared" si="145"/>
        <v/>
      </c>
      <c r="X266" s="118"/>
      <c r="Z266" s="67" t="str">
        <f t="shared" si="146"/>
        <v/>
      </c>
      <c r="AA266" s="13">
        <f t="shared" si="147"/>
        <v>0</v>
      </c>
      <c r="AB266" s="17">
        <f t="shared" si="148"/>
        <v>0</v>
      </c>
      <c r="AC266" s="163" t="str">
        <f t="shared" si="149"/>
        <v/>
      </c>
      <c r="AD266" s="119"/>
      <c r="AE266" s="120"/>
      <c r="AF266" s="121"/>
      <c r="AG266" s="122"/>
      <c r="AH266" s="83"/>
      <c r="AI266" s="115"/>
      <c r="AJ266" s="116"/>
      <c r="AK266" s="83"/>
      <c r="AL266" s="85"/>
      <c r="AM266" s="254"/>
      <c r="AN266" s="254"/>
      <c r="AO266" s="255"/>
    </row>
    <row r="267" spans="2:41" x14ac:dyDescent="0.25">
      <c r="B267" s="321"/>
      <c r="C267" s="17"/>
      <c r="D267" s="273"/>
      <c r="E267" s="117"/>
      <c r="F267" s="4" t="str">
        <f t="shared" si="133"/>
        <v/>
      </c>
      <c r="G267" s="4" t="str">
        <f t="shared" si="134"/>
        <v/>
      </c>
      <c r="H267" s="4" t="str">
        <f t="shared" si="135"/>
        <v/>
      </c>
      <c r="I267" s="4" t="str">
        <f t="shared" si="136"/>
        <v/>
      </c>
      <c r="J267" s="247"/>
      <c r="K267" s="117"/>
      <c r="L267" s="4" t="str">
        <f t="shared" si="137"/>
        <v/>
      </c>
      <c r="M267" s="4" t="str">
        <f t="shared" si="138"/>
        <v/>
      </c>
      <c r="N267" s="4" t="str">
        <f t="shared" si="139"/>
        <v/>
      </c>
      <c r="O267" s="4" t="str">
        <f t="shared" si="140"/>
        <v/>
      </c>
      <c r="P267" s="247"/>
      <c r="Q267" s="117"/>
      <c r="R267" s="4" t="str">
        <f t="shared" si="141"/>
        <v/>
      </c>
      <c r="S267" s="4" t="str">
        <f t="shared" si="142"/>
        <v/>
      </c>
      <c r="T267" s="4" t="str">
        <f t="shared" si="143"/>
        <v/>
      </c>
      <c r="U267" s="4" t="str">
        <f t="shared" si="144"/>
        <v/>
      </c>
      <c r="V267" s="247"/>
      <c r="W267" s="67" t="str">
        <f t="shared" si="145"/>
        <v/>
      </c>
      <c r="X267" s="118"/>
      <c r="Z267" s="67" t="str">
        <f t="shared" si="146"/>
        <v/>
      </c>
      <c r="AA267" s="13">
        <f t="shared" si="147"/>
        <v>0</v>
      </c>
      <c r="AB267" s="17">
        <f t="shared" si="148"/>
        <v>0</v>
      </c>
      <c r="AC267" s="163" t="str">
        <f t="shared" si="149"/>
        <v/>
      </c>
      <c r="AD267" s="119"/>
      <c r="AE267" s="120"/>
      <c r="AF267" s="121"/>
      <c r="AG267" s="122"/>
      <c r="AH267" s="83"/>
      <c r="AI267" s="115"/>
      <c r="AJ267" s="116"/>
      <c r="AK267" s="83"/>
      <c r="AL267" s="85"/>
      <c r="AM267" s="254"/>
      <c r="AN267" s="254"/>
      <c r="AO267" s="255"/>
    </row>
    <row r="268" spans="2:41" x14ac:dyDescent="0.25">
      <c r="B268" s="321"/>
      <c r="C268" s="17"/>
      <c r="D268" s="273"/>
      <c r="E268" s="117"/>
      <c r="F268" s="4" t="str">
        <f t="shared" si="133"/>
        <v/>
      </c>
      <c r="G268" s="4" t="str">
        <f t="shared" si="134"/>
        <v/>
      </c>
      <c r="H268" s="4" t="str">
        <f t="shared" si="135"/>
        <v/>
      </c>
      <c r="I268" s="4" t="str">
        <f t="shared" si="136"/>
        <v/>
      </c>
      <c r="J268" s="247"/>
      <c r="K268" s="117"/>
      <c r="L268" s="4" t="str">
        <f t="shared" si="137"/>
        <v/>
      </c>
      <c r="M268" s="4" t="str">
        <f t="shared" si="138"/>
        <v/>
      </c>
      <c r="N268" s="4" t="str">
        <f t="shared" si="139"/>
        <v/>
      </c>
      <c r="O268" s="4" t="str">
        <f t="shared" si="140"/>
        <v/>
      </c>
      <c r="P268" s="247"/>
      <c r="Q268" s="117"/>
      <c r="R268" s="4" t="str">
        <f t="shared" si="141"/>
        <v/>
      </c>
      <c r="S268" s="4" t="str">
        <f t="shared" si="142"/>
        <v/>
      </c>
      <c r="T268" s="4" t="str">
        <f t="shared" si="143"/>
        <v/>
      </c>
      <c r="U268" s="4" t="str">
        <f t="shared" si="144"/>
        <v/>
      </c>
      <c r="V268" s="247"/>
      <c r="W268" s="67" t="str">
        <f t="shared" si="145"/>
        <v/>
      </c>
      <c r="X268" s="118"/>
      <c r="Z268" s="67" t="str">
        <f t="shared" si="146"/>
        <v/>
      </c>
      <c r="AA268" s="13">
        <f t="shared" si="147"/>
        <v>0</v>
      </c>
      <c r="AB268" s="17">
        <f t="shared" si="148"/>
        <v>0</v>
      </c>
      <c r="AC268" s="163" t="str">
        <f t="shared" si="149"/>
        <v/>
      </c>
      <c r="AD268" s="119"/>
      <c r="AE268" s="120"/>
      <c r="AF268" s="121"/>
      <c r="AG268" s="122"/>
      <c r="AH268" s="83"/>
      <c r="AI268" s="115"/>
      <c r="AJ268" s="116"/>
      <c r="AK268" s="83"/>
      <c r="AL268" s="85"/>
      <c r="AM268" s="254"/>
      <c r="AN268" s="254"/>
      <c r="AO268" s="255"/>
    </row>
    <row r="269" spans="2:41" x14ac:dyDescent="0.25">
      <c r="B269" s="321"/>
      <c r="C269" s="17"/>
      <c r="D269" s="273"/>
      <c r="E269" s="117"/>
      <c r="F269" s="4" t="str">
        <f t="shared" si="133"/>
        <v/>
      </c>
      <c r="G269" s="4" t="str">
        <f t="shared" si="134"/>
        <v/>
      </c>
      <c r="H269" s="4" t="str">
        <f t="shared" si="135"/>
        <v/>
      </c>
      <c r="I269" s="4" t="str">
        <f t="shared" si="136"/>
        <v/>
      </c>
      <c r="J269" s="247"/>
      <c r="K269" s="117"/>
      <c r="L269" s="4" t="str">
        <f t="shared" si="137"/>
        <v/>
      </c>
      <c r="M269" s="4" t="str">
        <f t="shared" si="138"/>
        <v/>
      </c>
      <c r="N269" s="4" t="str">
        <f t="shared" si="139"/>
        <v/>
      </c>
      <c r="O269" s="4" t="str">
        <f t="shared" si="140"/>
        <v/>
      </c>
      <c r="P269" s="247"/>
      <c r="Q269" s="117"/>
      <c r="R269" s="4" t="str">
        <f t="shared" si="141"/>
        <v/>
      </c>
      <c r="S269" s="4" t="str">
        <f t="shared" si="142"/>
        <v/>
      </c>
      <c r="T269" s="4" t="str">
        <f t="shared" si="143"/>
        <v/>
      </c>
      <c r="U269" s="4" t="str">
        <f t="shared" si="144"/>
        <v/>
      </c>
      <c r="V269" s="247"/>
      <c r="W269" s="67" t="str">
        <f t="shared" si="145"/>
        <v/>
      </c>
      <c r="X269" s="118"/>
      <c r="Z269" s="67" t="str">
        <f t="shared" si="146"/>
        <v/>
      </c>
      <c r="AA269" s="13">
        <f t="shared" si="147"/>
        <v>0</v>
      </c>
      <c r="AB269" s="17">
        <f t="shared" si="148"/>
        <v>0</v>
      </c>
      <c r="AC269" s="163" t="str">
        <f t="shared" si="149"/>
        <v/>
      </c>
      <c r="AD269" s="119"/>
      <c r="AE269" s="120"/>
      <c r="AF269" s="121"/>
      <c r="AG269" s="122"/>
      <c r="AH269" s="83"/>
      <c r="AI269" s="115"/>
      <c r="AJ269" s="116"/>
      <c r="AK269" s="83"/>
      <c r="AL269" s="85"/>
      <c r="AM269" s="254"/>
      <c r="AN269" s="254"/>
      <c r="AO269" s="255"/>
    </row>
    <row r="270" spans="2:41" x14ac:dyDescent="0.25">
      <c r="B270" s="321"/>
      <c r="C270" s="17"/>
      <c r="D270" s="273"/>
      <c r="E270" s="117"/>
      <c r="F270" s="4" t="str">
        <f t="shared" si="133"/>
        <v/>
      </c>
      <c r="G270" s="4" t="str">
        <f t="shared" si="134"/>
        <v/>
      </c>
      <c r="H270" s="4" t="str">
        <f t="shared" si="135"/>
        <v/>
      </c>
      <c r="I270" s="4" t="str">
        <f t="shared" si="136"/>
        <v/>
      </c>
      <c r="J270" s="247"/>
      <c r="K270" s="117"/>
      <c r="L270" s="4" t="str">
        <f t="shared" si="137"/>
        <v/>
      </c>
      <c r="M270" s="4" t="str">
        <f t="shared" si="138"/>
        <v/>
      </c>
      <c r="N270" s="4" t="str">
        <f t="shared" si="139"/>
        <v/>
      </c>
      <c r="O270" s="4" t="str">
        <f t="shared" si="140"/>
        <v/>
      </c>
      <c r="P270" s="247"/>
      <c r="Q270" s="117"/>
      <c r="R270" s="4" t="str">
        <f t="shared" si="141"/>
        <v/>
      </c>
      <c r="S270" s="4" t="str">
        <f t="shared" si="142"/>
        <v/>
      </c>
      <c r="T270" s="4" t="str">
        <f t="shared" si="143"/>
        <v/>
      </c>
      <c r="U270" s="4" t="str">
        <f t="shared" si="144"/>
        <v/>
      </c>
      <c r="V270" s="247"/>
      <c r="W270" s="67" t="str">
        <f t="shared" si="145"/>
        <v/>
      </c>
      <c r="X270" s="118"/>
      <c r="Z270" s="67" t="str">
        <f t="shared" si="146"/>
        <v/>
      </c>
      <c r="AA270" s="13">
        <f t="shared" si="147"/>
        <v>0</v>
      </c>
      <c r="AB270" s="17">
        <f t="shared" si="148"/>
        <v>0</v>
      </c>
      <c r="AC270" s="163" t="str">
        <f t="shared" si="149"/>
        <v/>
      </c>
      <c r="AD270" s="119"/>
      <c r="AE270" s="120"/>
      <c r="AF270" s="121"/>
      <c r="AG270" s="122"/>
      <c r="AH270" s="83"/>
      <c r="AI270" s="115"/>
      <c r="AJ270" s="116"/>
      <c r="AK270" s="83"/>
      <c r="AL270" s="85"/>
      <c r="AM270" s="254"/>
      <c r="AN270" s="254"/>
      <c r="AO270" s="255"/>
    </row>
    <row r="271" spans="2:41" x14ac:dyDescent="0.25">
      <c r="B271" s="321"/>
      <c r="C271" s="17"/>
      <c r="D271" s="273"/>
      <c r="E271" s="117"/>
      <c r="F271" s="4" t="str">
        <f t="shared" si="133"/>
        <v/>
      </c>
      <c r="G271" s="4" t="str">
        <f t="shared" si="134"/>
        <v/>
      </c>
      <c r="H271" s="4" t="str">
        <f t="shared" si="135"/>
        <v/>
      </c>
      <c r="I271" s="4" t="str">
        <f t="shared" si="136"/>
        <v/>
      </c>
      <c r="J271" s="247"/>
      <c r="K271" s="117"/>
      <c r="L271" s="4" t="str">
        <f t="shared" si="137"/>
        <v/>
      </c>
      <c r="M271" s="4" t="str">
        <f t="shared" si="138"/>
        <v/>
      </c>
      <c r="N271" s="4" t="str">
        <f t="shared" si="139"/>
        <v/>
      </c>
      <c r="O271" s="4" t="str">
        <f t="shared" si="140"/>
        <v/>
      </c>
      <c r="P271" s="247"/>
      <c r="Q271" s="117"/>
      <c r="R271" s="4" t="str">
        <f t="shared" si="141"/>
        <v/>
      </c>
      <c r="S271" s="4" t="str">
        <f t="shared" si="142"/>
        <v/>
      </c>
      <c r="T271" s="4" t="str">
        <f t="shared" si="143"/>
        <v/>
      </c>
      <c r="U271" s="4" t="str">
        <f t="shared" si="144"/>
        <v/>
      </c>
      <c r="V271" s="247"/>
      <c r="W271" s="67" t="str">
        <f t="shared" si="145"/>
        <v/>
      </c>
      <c r="X271" s="118"/>
      <c r="Z271" s="67" t="str">
        <f t="shared" si="146"/>
        <v/>
      </c>
      <c r="AA271" s="13">
        <f t="shared" si="147"/>
        <v>0</v>
      </c>
      <c r="AB271" s="17">
        <f t="shared" si="148"/>
        <v>0</v>
      </c>
      <c r="AC271" s="163" t="str">
        <f t="shared" si="149"/>
        <v/>
      </c>
      <c r="AD271" s="119"/>
      <c r="AE271" s="120"/>
      <c r="AF271" s="121"/>
      <c r="AG271" s="122"/>
      <c r="AH271" s="83"/>
      <c r="AI271" s="115"/>
      <c r="AJ271" s="116"/>
      <c r="AK271" s="83"/>
      <c r="AL271" s="85"/>
      <c r="AM271" s="254"/>
      <c r="AN271" s="254"/>
      <c r="AO271" s="255"/>
    </row>
    <row r="272" spans="2:41" x14ac:dyDescent="0.25">
      <c r="B272" s="321"/>
      <c r="C272" s="17"/>
      <c r="D272" s="273"/>
      <c r="E272" s="117"/>
      <c r="F272" s="4" t="str">
        <f t="shared" si="133"/>
        <v/>
      </c>
      <c r="G272" s="4" t="str">
        <f t="shared" si="134"/>
        <v/>
      </c>
      <c r="H272" s="4" t="str">
        <f t="shared" si="135"/>
        <v/>
      </c>
      <c r="I272" s="4" t="str">
        <f t="shared" si="136"/>
        <v/>
      </c>
      <c r="J272" s="247"/>
      <c r="K272" s="117"/>
      <c r="L272" s="4" t="str">
        <f t="shared" si="137"/>
        <v/>
      </c>
      <c r="M272" s="4" t="str">
        <f t="shared" si="138"/>
        <v/>
      </c>
      <c r="N272" s="4" t="str">
        <f t="shared" si="139"/>
        <v/>
      </c>
      <c r="O272" s="4" t="str">
        <f t="shared" si="140"/>
        <v/>
      </c>
      <c r="P272" s="247"/>
      <c r="Q272" s="117"/>
      <c r="R272" s="4" t="str">
        <f t="shared" si="141"/>
        <v/>
      </c>
      <c r="S272" s="4" t="str">
        <f t="shared" si="142"/>
        <v/>
      </c>
      <c r="T272" s="4" t="str">
        <f t="shared" si="143"/>
        <v/>
      </c>
      <c r="U272" s="4" t="str">
        <f t="shared" si="144"/>
        <v/>
      </c>
      <c r="V272" s="247"/>
      <c r="W272" s="67" t="str">
        <f t="shared" si="145"/>
        <v/>
      </c>
      <c r="X272" s="118"/>
      <c r="Z272" s="67" t="str">
        <f t="shared" si="146"/>
        <v/>
      </c>
      <c r="AA272" s="13">
        <f t="shared" si="147"/>
        <v>0</v>
      </c>
      <c r="AB272" s="17">
        <f t="shared" si="148"/>
        <v>0</v>
      </c>
      <c r="AC272" s="163" t="str">
        <f t="shared" si="149"/>
        <v/>
      </c>
      <c r="AD272" s="119"/>
      <c r="AE272" s="120"/>
      <c r="AF272" s="121"/>
      <c r="AG272" s="122"/>
      <c r="AH272" s="83"/>
      <c r="AI272" s="115"/>
      <c r="AJ272" s="116"/>
      <c r="AK272" s="83"/>
      <c r="AL272" s="85"/>
      <c r="AM272" s="254"/>
      <c r="AN272" s="254"/>
      <c r="AO272" s="255"/>
    </row>
    <row r="273" spans="2:41" x14ac:dyDescent="0.25">
      <c r="B273" s="321"/>
      <c r="C273" s="17"/>
      <c r="D273" s="273"/>
      <c r="E273" s="117"/>
      <c r="F273" s="4" t="str">
        <f t="shared" si="133"/>
        <v/>
      </c>
      <c r="G273" s="4" t="str">
        <f t="shared" si="134"/>
        <v/>
      </c>
      <c r="H273" s="4" t="str">
        <f t="shared" si="135"/>
        <v/>
      </c>
      <c r="I273" s="4" t="str">
        <f t="shared" si="136"/>
        <v/>
      </c>
      <c r="J273" s="247"/>
      <c r="K273" s="117"/>
      <c r="L273" s="4" t="str">
        <f t="shared" si="137"/>
        <v/>
      </c>
      <c r="M273" s="4" t="str">
        <f t="shared" si="138"/>
        <v/>
      </c>
      <c r="N273" s="4" t="str">
        <f t="shared" si="139"/>
        <v/>
      </c>
      <c r="O273" s="4" t="str">
        <f t="shared" si="140"/>
        <v/>
      </c>
      <c r="P273" s="247"/>
      <c r="Q273" s="117"/>
      <c r="R273" s="4" t="str">
        <f t="shared" si="141"/>
        <v/>
      </c>
      <c r="S273" s="4" t="str">
        <f t="shared" si="142"/>
        <v/>
      </c>
      <c r="T273" s="4" t="str">
        <f t="shared" si="143"/>
        <v/>
      </c>
      <c r="U273" s="4" t="str">
        <f t="shared" si="144"/>
        <v/>
      </c>
      <c r="V273" s="247"/>
      <c r="W273" s="67" t="str">
        <f t="shared" si="145"/>
        <v/>
      </c>
      <c r="X273" s="118"/>
      <c r="Z273" s="67" t="str">
        <f t="shared" si="146"/>
        <v/>
      </c>
      <c r="AA273" s="13">
        <f t="shared" si="147"/>
        <v>0</v>
      </c>
      <c r="AB273" s="17">
        <f t="shared" si="148"/>
        <v>0</v>
      </c>
      <c r="AC273" s="163" t="str">
        <f t="shared" si="149"/>
        <v/>
      </c>
      <c r="AD273" s="119"/>
      <c r="AE273" s="120"/>
      <c r="AF273" s="121"/>
      <c r="AG273" s="122"/>
      <c r="AH273" s="83"/>
      <c r="AI273" s="115"/>
      <c r="AJ273" s="116"/>
      <c r="AK273" s="83"/>
      <c r="AL273" s="85"/>
      <c r="AM273" s="254"/>
      <c r="AN273" s="254"/>
      <c r="AO273" s="255"/>
    </row>
    <row r="274" spans="2:41" x14ac:dyDescent="0.25">
      <c r="B274" s="321"/>
      <c r="C274" s="17"/>
      <c r="E274" s="117"/>
      <c r="F274" s="4" t="str">
        <f t="shared" si="133"/>
        <v/>
      </c>
      <c r="G274" s="4" t="str">
        <f t="shared" si="134"/>
        <v/>
      </c>
      <c r="H274" s="4" t="str">
        <f t="shared" si="135"/>
        <v/>
      </c>
      <c r="I274" s="4" t="str">
        <f t="shared" si="136"/>
        <v/>
      </c>
      <c r="J274" s="247"/>
      <c r="K274" s="117"/>
      <c r="L274" s="4" t="str">
        <f t="shared" si="137"/>
        <v/>
      </c>
      <c r="M274" s="4" t="str">
        <f t="shared" si="138"/>
        <v/>
      </c>
      <c r="N274" s="4" t="str">
        <f t="shared" si="139"/>
        <v/>
      </c>
      <c r="O274" s="4" t="str">
        <f t="shared" si="140"/>
        <v/>
      </c>
      <c r="P274" s="247"/>
      <c r="Q274" s="117"/>
      <c r="R274" s="4" t="str">
        <f t="shared" si="141"/>
        <v/>
      </c>
      <c r="S274" s="4" t="str">
        <f t="shared" si="142"/>
        <v/>
      </c>
      <c r="T274" s="4" t="str">
        <f t="shared" si="143"/>
        <v/>
      </c>
      <c r="U274" s="4" t="str">
        <f t="shared" si="144"/>
        <v/>
      </c>
      <c r="V274" s="247"/>
      <c r="W274" s="67" t="str">
        <f t="shared" si="145"/>
        <v/>
      </c>
      <c r="X274" s="118"/>
      <c r="Z274" s="67" t="str">
        <f t="shared" si="146"/>
        <v/>
      </c>
      <c r="AA274" s="13">
        <f t="shared" si="147"/>
        <v>0</v>
      </c>
      <c r="AB274" s="17">
        <f t="shared" si="148"/>
        <v>0</v>
      </c>
      <c r="AC274" s="163" t="str">
        <f t="shared" si="149"/>
        <v/>
      </c>
      <c r="AD274" s="119"/>
      <c r="AE274" s="120"/>
      <c r="AF274" s="121"/>
      <c r="AG274" s="122"/>
      <c r="AH274" s="83"/>
      <c r="AI274" s="115"/>
      <c r="AJ274" s="116"/>
      <c r="AK274" s="83"/>
      <c r="AL274" s="85"/>
      <c r="AM274" s="254"/>
      <c r="AN274" s="254"/>
      <c r="AO274" s="255"/>
    </row>
    <row r="275" spans="2:41" x14ac:dyDescent="0.25">
      <c r="B275" s="321"/>
      <c r="C275" s="17"/>
      <c r="E275" s="117"/>
      <c r="F275" s="4" t="str">
        <f t="shared" si="133"/>
        <v/>
      </c>
      <c r="G275" s="4" t="str">
        <f t="shared" si="134"/>
        <v/>
      </c>
      <c r="H275" s="4" t="str">
        <f t="shared" si="135"/>
        <v/>
      </c>
      <c r="I275" s="4" t="str">
        <f t="shared" si="136"/>
        <v/>
      </c>
      <c r="J275" s="247"/>
      <c r="K275" s="117"/>
      <c r="L275" s="4" t="str">
        <f t="shared" si="137"/>
        <v/>
      </c>
      <c r="M275" s="4" t="str">
        <f t="shared" si="138"/>
        <v/>
      </c>
      <c r="N275" s="4" t="str">
        <f t="shared" si="139"/>
        <v/>
      </c>
      <c r="O275" s="4" t="str">
        <f t="shared" si="140"/>
        <v/>
      </c>
      <c r="P275" s="247"/>
      <c r="Q275" s="117"/>
      <c r="R275" s="4" t="str">
        <f t="shared" si="141"/>
        <v/>
      </c>
      <c r="S275" s="4" t="str">
        <f t="shared" si="142"/>
        <v/>
      </c>
      <c r="T275" s="4" t="str">
        <f t="shared" si="143"/>
        <v/>
      </c>
      <c r="U275" s="4" t="str">
        <f t="shared" si="144"/>
        <v/>
      </c>
      <c r="V275" s="247"/>
      <c r="W275" s="67" t="str">
        <f t="shared" si="145"/>
        <v/>
      </c>
      <c r="X275" s="118"/>
      <c r="Z275" s="67" t="str">
        <f t="shared" si="146"/>
        <v/>
      </c>
      <c r="AA275" s="13">
        <f t="shared" si="147"/>
        <v>0</v>
      </c>
      <c r="AB275" s="17">
        <f t="shared" si="148"/>
        <v>0</v>
      </c>
      <c r="AC275" s="163" t="str">
        <f t="shared" si="149"/>
        <v/>
      </c>
      <c r="AD275" s="119"/>
      <c r="AE275" s="120"/>
      <c r="AF275" s="121"/>
      <c r="AG275" s="122"/>
      <c r="AH275" s="83"/>
      <c r="AI275" s="115"/>
      <c r="AJ275" s="116"/>
      <c r="AK275" s="83"/>
      <c r="AL275" s="85"/>
      <c r="AM275" s="254"/>
      <c r="AN275" s="254"/>
      <c r="AO275" s="255"/>
    </row>
    <row r="276" spans="2:41" x14ac:dyDescent="0.25">
      <c r="B276" s="321"/>
      <c r="C276" s="17"/>
      <c r="E276" s="117"/>
      <c r="F276" s="4" t="str">
        <f t="shared" si="133"/>
        <v/>
      </c>
      <c r="G276" s="4" t="str">
        <f t="shared" si="134"/>
        <v/>
      </c>
      <c r="H276" s="4" t="str">
        <f t="shared" si="135"/>
        <v/>
      </c>
      <c r="I276" s="4" t="str">
        <f t="shared" si="136"/>
        <v/>
      </c>
      <c r="J276" s="247"/>
      <c r="K276" s="117"/>
      <c r="L276" s="4" t="str">
        <f t="shared" si="137"/>
        <v/>
      </c>
      <c r="M276" s="4" t="str">
        <f t="shared" si="138"/>
        <v/>
      </c>
      <c r="N276" s="4" t="str">
        <f t="shared" si="139"/>
        <v/>
      </c>
      <c r="O276" s="4" t="str">
        <f t="shared" si="140"/>
        <v/>
      </c>
      <c r="P276" s="247"/>
      <c r="Q276" s="117"/>
      <c r="R276" s="4" t="str">
        <f t="shared" si="141"/>
        <v/>
      </c>
      <c r="S276" s="4" t="str">
        <f t="shared" si="142"/>
        <v/>
      </c>
      <c r="T276" s="4" t="str">
        <f t="shared" si="143"/>
        <v/>
      </c>
      <c r="U276" s="4" t="str">
        <f t="shared" si="144"/>
        <v/>
      </c>
      <c r="V276" s="247"/>
      <c r="W276" s="67" t="str">
        <f t="shared" si="145"/>
        <v/>
      </c>
      <c r="X276" s="118"/>
      <c r="Z276" s="67" t="str">
        <f t="shared" si="146"/>
        <v/>
      </c>
      <c r="AA276" s="13">
        <f t="shared" si="147"/>
        <v>0</v>
      </c>
      <c r="AB276" s="17">
        <f t="shared" si="148"/>
        <v>0</v>
      </c>
      <c r="AC276" s="163" t="str">
        <f t="shared" si="149"/>
        <v/>
      </c>
      <c r="AD276" s="119"/>
      <c r="AE276" s="120"/>
      <c r="AF276" s="121"/>
      <c r="AG276" s="122"/>
      <c r="AH276" s="83"/>
      <c r="AI276" s="115"/>
      <c r="AJ276" s="116"/>
      <c r="AK276" s="83"/>
      <c r="AL276" s="85"/>
      <c r="AM276" s="254"/>
      <c r="AN276" s="254"/>
      <c r="AO276" s="255"/>
    </row>
    <row r="277" spans="2:41" x14ac:dyDescent="0.25">
      <c r="B277" s="321"/>
      <c r="C277" s="17"/>
      <c r="E277" s="117"/>
      <c r="F277" s="4" t="str">
        <f t="shared" si="133"/>
        <v/>
      </c>
      <c r="G277" s="4" t="str">
        <f t="shared" si="134"/>
        <v/>
      </c>
      <c r="H277" s="4" t="str">
        <f t="shared" si="135"/>
        <v/>
      </c>
      <c r="I277" s="4" t="str">
        <f t="shared" si="136"/>
        <v/>
      </c>
      <c r="J277" s="247"/>
      <c r="K277" s="117"/>
      <c r="L277" s="4" t="str">
        <f t="shared" si="137"/>
        <v/>
      </c>
      <c r="M277" s="4" t="str">
        <f t="shared" si="138"/>
        <v/>
      </c>
      <c r="N277" s="4" t="str">
        <f t="shared" si="139"/>
        <v/>
      </c>
      <c r="O277" s="4" t="str">
        <f t="shared" si="140"/>
        <v/>
      </c>
      <c r="P277" s="247"/>
      <c r="Q277" s="117"/>
      <c r="R277" s="4" t="str">
        <f t="shared" si="141"/>
        <v/>
      </c>
      <c r="S277" s="4" t="str">
        <f t="shared" si="142"/>
        <v/>
      </c>
      <c r="T277" s="4" t="str">
        <f t="shared" si="143"/>
        <v/>
      </c>
      <c r="U277" s="4" t="str">
        <f t="shared" si="144"/>
        <v/>
      </c>
      <c r="V277" s="247"/>
      <c r="W277" s="67" t="str">
        <f t="shared" si="145"/>
        <v/>
      </c>
      <c r="X277" s="118"/>
      <c r="Z277" s="67" t="str">
        <f t="shared" si="146"/>
        <v/>
      </c>
      <c r="AA277" s="13">
        <f t="shared" si="147"/>
        <v>0</v>
      </c>
      <c r="AB277" s="17">
        <f t="shared" si="148"/>
        <v>0</v>
      </c>
      <c r="AC277" s="163" t="str">
        <f t="shared" si="149"/>
        <v/>
      </c>
      <c r="AD277" s="119"/>
      <c r="AE277" s="120"/>
      <c r="AF277" s="121"/>
      <c r="AG277" s="122"/>
      <c r="AH277" s="83"/>
      <c r="AI277" s="115"/>
      <c r="AJ277" s="116"/>
      <c r="AK277" s="83"/>
      <c r="AL277" s="85"/>
      <c r="AM277" s="254"/>
      <c r="AN277" s="254"/>
      <c r="AO277" s="255"/>
    </row>
    <row r="278" spans="2:41" x14ac:dyDescent="0.25">
      <c r="B278" s="321"/>
      <c r="C278" s="17"/>
      <c r="D278"/>
      <c r="E278" s="117"/>
      <c r="F278" s="4" t="str">
        <f t="shared" si="133"/>
        <v/>
      </c>
      <c r="G278" s="4" t="str">
        <f t="shared" si="134"/>
        <v/>
      </c>
      <c r="H278" s="4" t="str">
        <f t="shared" si="135"/>
        <v/>
      </c>
      <c r="I278" s="4" t="str">
        <f t="shared" si="136"/>
        <v/>
      </c>
      <c r="J278" s="247"/>
      <c r="K278" s="117"/>
      <c r="L278" s="4" t="str">
        <f t="shared" si="137"/>
        <v/>
      </c>
      <c r="M278" s="4" t="str">
        <f t="shared" si="138"/>
        <v/>
      </c>
      <c r="N278" s="4" t="str">
        <f t="shared" si="139"/>
        <v/>
      </c>
      <c r="O278" s="4" t="str">
        <f t="shared" si="140"/>
        <v/>
      </c>
      <c r="P278" s="247"/>
      <c r="Q278" s="117"/>
      <c r="R278" s="4" t="str">
        <f t="shared" si="141"/>
        <v/>
      </c>
      <c r="S278" s="4" t="str">
        <f t="shared" si="142"/>
        <v/>
      </c>
      <c r="T278" s="4" t="str">
        <f t="shared" si="143"/>
        <v/>
      </c>
      <c r="U278" s="4" t="str">
        <f t="shared" si="144"/>
        <v/>
      </c>
      <c r="V278" s="247"/>
      <c r="W278" s="67" t="str">
        <f t="shared" si="145"/>
        <v/>
      </c>
      <c r="X278" s="118"/>
      <c r="Z278" s="67" t="str">
        <f t="shared" si="146"/>
        <v/>
      </c>
      <c r="AA278" s="13">
        <f t="shared" si="147"/>
        <v>0</v>
      </c>
      <c r="AB278" s="17">
        <f t="shared" si="148"/>
        <v>0</v>
      </c>
      <c r="AC278" s="163" t="str">
        <f t="shared" si="149"/>
        <v/>
      </c>
      <c r="AD278" s="119"/>
      <c r="AE278" s="19"/>
      <c r="AF278" s="121"/>
      <c r="AG278" s="122"/>
      <c r="AH278" s="19"/>
      <c r="AI278" s="115"/>
      <c r="AJ278" s="116"/>
      <c r="AK278" s="83"/>
      <c r="AL278"/>
      <c r="AM278" s="254"/>
      <c r="AN278"/>
      <c r="AO278"/>
    </row>
    <row r="279" spans="2:41" x14ac:dyDescent="0.25">
      <c r="B279" s="321"/>
      <c r="C279" s="17"/>
      <c r="D279"/>
      <c r="E279" s="117"/>
      <c r="F279" s="4" t="str">
        <f t="shared" si="133"/>
        <v/>
      </c>
      <c r="G279" s="4" t="str">
        <f t="shared" si="134"/>
        <v/>
      </c>
      <c r="H279" s="4" t="str">
        <f t="shared" si="135"/>
        <v/>
      </c>
      <c r="I279" s="4" t="str">
        <f t="shared" si="136"/>
        <v/>
      </c>
      <c r="J279" s="247"/>
      <c r="K279" s="117"/>
      <c r="L279" s="4" t="str">
        <f t="shared" si="137"/>
        <v/>
      </c>
      <c r="M279" s="4" t="str">
        <f t="shared" si="138"/>
        <v/>
      </c>
      <c r="N279" s="4" t="str">
        <f t="shared" si="139"/>
        <v/>
      </c>
      <c r="O279" s="4" t="str">
        <f t="shared" si="140"/>
        <v/>
      </c>
      <c r="P279" s="247"/>
      <c r="Q279" s="117"/>
      <c r="R279" s="4" t="str">
        <f t="shared" si="141"/>
        <v/>
      </c>
      <c r="S279" s="4" t="str">
        <f t="shared" si="142"/>
        <v/>
      </c>
      <c r="T279" s="4" t="str">
        <f t="shared" si="143"/>
        <v/>
      </c>
      <c r="U279" s="4" t="str">
        <f t="shared" si="144"/>
        <v/>
      </c>
      <c r="V279" s="247"/>
      <c r="W279" s="67" t="str">
        <f t="shared" si="145"/>
        <v/>
      </c>
      <c r="X279" s="118"/>
      <c r="Z279" s="67" t="str">
        <f t="shared" si="146"/>
        <v/>
      </c>
      <c r="AA279" s="13">
        <f t="shared" si="147"/>
        <v>0</v>
      </c>
      <c r="AB279" s="17">
        <f t="shared" si="148"/>
        <v>0</v>
      </c>
      <c r="AC279" s="163" t="str">
        <f t="shared" si="149"/>
        <v/>
      </c>
      <c r="AD279" s="119"/>
      <c r="AE279" s="120"/>
      <c r="AF279" s="121"/>
      <c r="AG279" s="122"/>
      <c r="AH279" s="83"/>
      <c r="AI279" s="115"/>
      <c r="AJ279" s="116"/>
      <c r="AK279" s="83"/>
      <c r="AL279" s="85"/>
      <c r="AM279" s="254"/>
      <c r="AN279" s="254"/>
      <c r="AO279" s="255"/>
    </row>
    <row r="280" spans="2:41" x14ac:dyDescent="0.25">
      <c r="B280" s="321"/>
      <c r="C280" s="17"/>
      <c r="D280"/>
      <c r="E280" s="117"/>
      <c r="F280" s="4" t="str">
        <f>IFERROR(IF(VLOOKUP($E280,Inward,2,FALSE)&gt;0,VLOOKUP($E280,Inward,2,FALSE),""),"")</f>
        <v/>
      </c>
      <c r="G280" s="4" t="str">
        <f>IFERROR(IF(VLOOKUP($E280,Inward,7,FALSE)&gt;0,VLOOKUP($E280,Inward,7,FALSE),""),"")</f>
        <v/>
      </c>
      <c r="H280" s="4" t="str">
        <f>IFERROR(IF(VLOOKUP($E280,Inward,8,FALSE)&gt;0,VLOOKUP($E280,Inward,8,FALSE),""),"")</f>
        <v/>
      </c>
      <c r="I280" s="4" t="str">
        <f>IFERROR(IF(VLOOKUP($E280,Inward,11,FALSE)&gt;0,VLOOKUP($E280,Inward,11,FALSE),""),"")</f>
        <v/>
      </c>
      <c r="J280" s="247"/>
      <c r="K280" s="117"/>
      <c r="L280" s="4" t="str">
        <f t="shared" si="137"/>
        <v/>
      </c>
      <c r="M280" s="4" t="str">
        <f t="shared" si="138"/>
        <v/>
      </c>
      <c r="N280" s="4" t="str">
        <f t="shared" si="139"/>
        <v/>
      </c>
      <c r="O280" s="4" t="str">
        <f t="shared" si="140"/>
        <v/>
      </c>
      <c r="P280" s="247"/>
      <c r="Q280" s="117"/>
      <c r="R280" s="4" t="str">
        <f t="shared" si="141"/>
        <v/>
      </c>
      <c r="S280" s="4" t="str">
        <f t="shared" si="142"/>
        <v/>
      </c>
      <c r="T280" s="4" t="str">
        <f t="shared" si="143"/>
        <v/>
      </c>
      <c r="U280" s="4" t="str">
        <f t="shared" si="144"/>
        <v/>
      </c>
      <c r="V280" s="247"/>
      <c r="W280" s="67" t="str">
        <f t="shared" si="145"/>
        <v/>
      </c>
      <c r="X280" s="118"/>
      <c r="Z280" s="67" t="str">
        <f t="shared" si="146"/>
        <v/>
      </c>
      <c r="AA280" s="13">
        <f t="shared" si="147"/>
        <v>0</v>
      </c>
      <c r="AB280" s="17">
        <f t="shared" si="148"/>
        <v>0</v>
      </c>
      <c r="AC280" s="163" t="str">
        <f t="shared" si="149"/>
        <v/>
      </c>
      <c r="AD280" s="119"/>
      <c r="AE280" s="120"/>
      <c r="AF280" s="121"/>
      <c r="AG280" s="122"/>
      <c r="AH280" s="83"/>
      <c r="AI280" s="115"/>
      <c r="AJ280" s="116"/>
      <c r="AK280" s="83"/>
      <c r="AL280" s="85"/>
      <c r="AM280" s="254"/>
      <c r="AN280" s="254"/>
      <c r="AO280" s="255"/>
    </row>
    <row r="281" spans="2:41" x14ac:dyDescent="0.25">
      <c r="B281" s="321"/>
      <c r="C281" s="17"/>
      <c r="E281" s="117"/>
      <c r="F281" s="4" t="str">
        <f t="shared" si="133"/>
        <v/>
      </c>
      <c r="G281" s="4" t="str">
        <f t="shared" si="134"/>
        <v/>
      </c>
      <c r="H281" s="4" t="str">
        <f t="shared" si="135"/>
        <v/>
      </c>
      <c r="I281" s="4" t="str">
        <f t="shared" si="136"/>
        <v/>
      </c>
      <c r="J281" s="247"/>
      <c r="K281" s="117"/>
      <c r="L281" s="4" t="str">
        <f t="shared" si="137"/>
        <v/>
      </c>
      <c r="M281" s="4" t="str">
        <f t="shared" si="138"/>
        <v/>
      </c>
      <c r="N281" s="4" t="str">
        <f t="shared" si="139"/>
        <v/>
      </c>
      <c r="O281" s="4" t="str">
        <f t="shared" si="140"/>
        <v/>
      </c>
      <c r="P281" s="247"/>
      <c r="Q281" s="117"/>
      <c r="R281" s="4" t="str">
        <f t="shared" si="141"/>
        <v/>
      </c>
      <c r="S281" s="4" t="str">
        <f t="shared" si="142"/>
        <v/>
      </c>
      <c r="T281" s="4" t="str">
        <f t="shared" si="143"/>
        <v/>
      </c>
      <c r="U281" s="4" t="str">
        <f t="shared" si="144"/>
        <v/>
      </c>
      <c r="V281" s="247"/>
      <c r="W281" s="67" t="str">
        <f t="shared" si="145"/>
        <v/>
      </c>
      <c r="X281" s="118"/>
      <c r="Z281" s="67" t="str">
        <f t="shared" si="146"/>
        <v/>
      </c>
      <c r="AA281" s="13">
        <f t="shared" si="147"/>
        <v>0</v>
      </c>
      <c r="AB281" s="17">
        <f t="shared" si="148"/>
        <v>0</v>
      </c>
      <c r="AC281" s="163" t="str">
        <f t="shared" si="149"/>
        <v/>
      </c>
      <c r="AD281" s="119"/>
      <c r="AE281" s="120"/>
      <c r="AF281" s="121"/>
      <c r="AG281" s="122"/>
      <c r="AH281" s="83"/>
      <c r="AI281" s="115"/>
      <c r="AJ281" s="116"/>
      <c r="AK281" s="83"/>
      <c r="AL281" s="85"/>
      <c r="AM281" s="254"/>
      <c r="AN281" s="254"/>
      <c r="AO281" s="255"/>
    </row>
    <row r="282" spans="2:41" x14ac:dyDescent="0.25">
      <c r="B282" s="321"/>
      <c r="C282" s="17"/>
      <c r="E282" s="117"/>
      <c r="F282" s="4" t="str">
        <f t="shared" si="133"/>
        <v/>
      </c>
      <c r="G282" s="4" t="str">
        <f t="shared" si="134"/>
        <v/>
      </c>
      <c r="H282" s="4" t="str">
        <f t="shared" si="135"/>
        <v/>
      </c>
      <c r="I282" s="4" t="str">
        <f t="shared" si="136"/>
        <v/>
      </c>
      <c r="J282" s="247"/>
      <c r="K282" s="117"/>
      <c r="L282" s="4" t="str">
        <f t="shared" si="137"/>
        <v/>
      </c>
      <c r="M282" s="4" t="str">
        <f t="shared" si="138"/>
        <v/>
      </c>
      <c r="N282" s="4" t="str">
        <f t="shared" si="139"/>
        <v/>
      </c>
      <c r="O282" s="4" t="str">
        <f t="shared" si="140"/>
        <v/>
      </c>
      <c r="P282" s="247"/>
      <c r="Q282" s="117"/>
      <c r="R282" s="4" t="str">
        <f t="shared" si="141"/>
        <v/>
      </c>
      <c r="S282" s="4" t="str">
        <f t="shared" si="142"/>
        <v/>
      </c>
      <c r="T282" s="4" t="str">
        <f t="shared" si="143"/>
        <v/>
      </c>
      <c r="U282" s="4" t="str">
        <f t="shared" si="144"/>
        <v/>
      </c>
      <c r="V282" s="247"/>
      <c r="W282" s="67" t="str">
        <f t="shared" si="145"/>
        <v/>
      </c>
      <c r="X282" s="118"/>
      <c r="Z282" s="67" t="str">
        <f t="shared" si="146"/>
        <v/>
      </c>
      <c r="AA282" s="13">
        <f t="shared" si="147"/>
        <v>0</v>
      </c>
      <c r="AB282" s="17">
        <f t="shared" si="148"/>
        <v>0</v>
      </c>
      <c r="AC282" s="163" t="str">
        <f t="shared" si="149"/>
        <v/>
      </c>
      <c r="AD282" s="119"/>
      <c r="AE282" s="120"/>
      <c r="AF282" s="121"/>
      <c r="AG282" s="122"/>
      <c r="AH282" s="83"/>
      <c r="AI282" s="115"/>
      <c r="AJ282" s="116"/>
      <c r="AK282" s="83"/>
      <c r="AL282" s="85"/>
      <c r="AM282" s="254"/>
      <c r="AN282" s="254"/>
      <c r="AO282" s="255"/>
    </row>
    <row r="283" spans="2:41" x14ac:dyDescent="0.25">
      <c r="B283" s="321"/>
      <c r="C283" s="17"/>
      <c r="E283" s="117"/>
      <c r="F283" s="4" t="str">
        <f t="shared" si="133"/>
        <v/>
      </c>
      <c r="G283" s="4" t="str">
        <f t="shared" si="134"/>
        <v/>
      </c>
      <c r="H283" s="4" t="str">
        <f t="shared" si="135"/>
        <v/>
      </c>
      <c r="I283" s="4" t="str">
        <f t="shared" si="136"/>
        <v/>
      </c>
      <c r="J283" s="247"/>
      <c r="K283" s="117"/>
      <c r="L283" s="4" t="str">
        <f t="shared" si="137"/>
        <v/>
      </c>
      <c r="M283" s="4" t="str">
        <f t="shared" si="138"/>
        <v/>
      </c>
      <c r="N283" s="4" t="str">
        <f t="shared" si="139"/>
        <v/>
      </c>
      <c r="O283" s="4" t="str">
        <f t="shared" si="140"/>
        <v/>
      </c>
      <c r="P283" s="247"/>
      <c r="Q283" s="117"/>
      <c r="R283" s="4" t="str">
        <f t="shared" si="141"/>
        <v/>
      </c>
      <c r="S283" s="4" t="str">
        <f t="shared" si="142"/>
        <v/>
      </c>
      <c r="T283" s="4" t="str">
        <f t="shared" si="143"/>
        <v/>
      </c>
      <c r="U283" s="4" t="str">
        <f t="shared" si="144"/>
        <v/>
      </c>
      <c r="V283" s="247"/>
      <c r="W283" s="67" t="str">
        <f t="shared" si="145"/>
        <v/>
      </c>
      <c r="X283" s="118"/>
      <c r="Z283" s="67" t="str">
        <f t="shared" si="146"/>
        <v/>
      </c>
      <c r="AA283" s="13">
        <f t="shared" si="147"/>
        <v>0</v>
      </c>
      <c r="AB283" s="17">
        <f t="shared" si="148"/>
        <v>0</v>
      </c>
      <c r="AC283" s="163" t="str">
        <f t="shared" si="149"/>
        <v/>
      </c>
      <c r="AD283" s="119"/>
      <c r="AE283" s="120"/>
      <c r="AF283" s="121"/>
      <c r="AG283" s="122"/>
      <c r="AH283" s="83"/>
      <c r="AI283" s="115"/>
      <c r="AJ283" s="116"/>
      <c r="AK283" s="83"/>
      <c r="AL283" s="85"/>
      <c r="AM283" s="254"/>
      <c r="AN283" s="254"/>
      <c r="AO283" s="255"/>
    </row>
    <row r="284" spans="2:41" x14ac:dyDescent="0.25">
      <c r="B284" s="321"/>
      <c r="C284" s="17"/>
      <c r="E284" s="117"/>
      <c r="F284" s="4" t="str">
        <f t="shared" si="133"/>
        <v/>
      </c>
      <c r="G284" s="4" t="str">
        <f t="shared" si="134"/>
        <v/>
      </c>
      <c r="H284" s="4" t="str">
        <f t="shared" si="135"/>
        <v/>
      </c>
      <c r="I284" s="4" t="str">
        <f t="shared" si="136"/>
        <v/>
      </c>
      <c r="J284" s="247"/>
      <c r="K284" s="117"/>
      <c r="L284" s="4" t="str">
        <f t="shared" si="137"/>
        <v/>
      </c>
      <c r="M284" s="4" t="str">
        <f t="shared" si="138"/>
        <v/>
      </c>
      <c r="N284" s="4" t="str">
        <f t="shared" si="139"/>
        <v/>
      </c>
      <c r="O284" s="4" t="str">
        <f t="shared" si="140"/>
        <v/>
      </c>
      <c r="P284" s="247"/>
      <c r="Q284" s="117"/>
      <c r="R284" s="4" t="str">
        <f t="shared" si="141"/>
        <v/>
      </c>
      <c r="S284" s="4" t="str">
        <f t="shared" si="142"/>
        <v/>
      </c>
      <c r="T284" s="4" t="str">
        <f t="shared" si="143"/>
        <v/>
      </c>
      <c r="U284" s="4" t="str">
        <f t="shared" si="144"/>
        <v/>
      </c>
      <c r="V284" s="247"/>
      <c r="W284" s="67" t="str">
        <f t="shared" si="145"/>
        <v/>
      </c>
      <c r="X284" s="118"/>
      <c r="Z284" s="67" t="str">
        <f t="shared" si="146"/>
        <v/>
      </c>
      <c r="AA284" s="13">
        <f t="shared" si="147"/>
        <v>0</v>
      </c>
      <c r="AB284" s="17">
        <f t="shared" si="148"/>
        <v>0</v>
      </c>
      <c r="AC284" s="163" t="str">
        <f t="shared" si="149"/>
        <v/>
      </c>
      <c r="AD284" s="119"/>
      <c r="AE284" s="120"/>
      <c r="AF284" s="121"/>
      <c r="AG284" s="122"/>
      <c r="AH284" s="83"/>
      <c r="AI284" s="115"/>
      <c r="AJ284" s="116"/>
      <c r="AK284" s="83"/>
      <c r="AL284" s="85"/>
      <c r="AM284" s="254"/>
      <c r="AN284" s="254"/>
      <c r="AO284" s="255"/>
    </row>
    <row r="285" spans="2:41" x14ac:dyDescent="0.25">
      <c r="B285" s="321"/>
      <c r="C285" s="17"/>
      <c r="E285" s="117"/>
      <c r="F285" s="4" t="str">
        <f t="shared" si="133"/>
        <v/>
      </c>
      <c r="G285" s="4" t="str">
        <f t="shared" si="134"/>
        <v/>
      </c>
      <c r="H285" s="4" t="str">
        <f t="shared" si="135"/>
        <v/>
      </c>
      <c r="I285" s="4" t="str">
        <f t="shared" si="136"/>
        <v/>
      </c>
      <c r="J285" s="247"/>
      <c r="K285" s="117"/>
      <c r="L285" s="4" t="str">
        <f t="shared" si="137"/>
        <v/>
      </c>
      <c r="M285" s="4" t="str">
        <f t="shared" si="138"/>
        <v/>
      </c>
      <c r="N285" s="4" t="str">
        <f t="shared" si="139"/>
        <v/>
      </c>
      <c r="O285" s="4" t="str">
        <f t="shared" si="140"/>
        <v/>
      </c>
      <c r="P285" s="247"/>
      <c r="Q285" s="117"/>
      <c r="R285" s="4" t="str">
        <f t="shared" si="141"/>
        <v/>
      </c>
      <c r="S285" s="4" t="str">
        <f t="shared" si="142"/>
        <v/>
      </c>
      <c r="T285" s="4" t="str">
        <f t="shared" si="143"/>
        <v/>
      </c>
      <c r="U285" s="4" t="str">
        <f t="shared" si="144"/>
        <v/>
      </c>
      <c r="V285" s="247"/>
      <c r="W285" s="67" t="str">
        <f t="shared" si="145"/>
        <v/>
      </c>
      <c r="X285" s="118"/>
      <c r="Z285" s="67" t="str">
        <f t="shared" si="146"/>
        <v/>
      </c>
      <c r="AA285" s="13">
        <f t="shared" si="147"/>
        <v>0</v>
      </c>
      <c r="AB285" s="17">
        <f t="shared" si="148"/>
        <v>0</v>
      </c>
      <c r="AC285" s="163" t="str">
        <f t="shared" si="149"/>
        <v/>
      </c>
      <c r="AD285" s="119"/>
      <c r="AE285" s="120"/>
      <c r="AF285" s="121"/>
      <c r="AG285" s="122"/>
      <c r="AH285" s="83"/>
      <c r="AI285" s="115"/>
      <c r="AJ285" s="116"/>
      <c r="AK285" s="83"/>
      <c r="AL285" s="85"/>
      <c r="AM285" s="254"/>
      <c r="AN285" s="254"/>
      <c r="AO285" s="255"/>
    </row>
    <row r="286" spans="2:41" x14ac:dyDescent="0.25">
      <c r="B286" s="321"/>
      <c r="C286" s="17"/>
      <c r="E286" s="117"/>
      <c r="F286" s="4" t="str">
        <f t="shared" si="133"/>
        <v/>
      </c>
      <c r="G286" s="4" t="str">
        <f t="shared" si="134"/>
        <v/>
      </c>
      <c r="H286" s="4" t="str">
        <f t="shared" si="135"/>
        <v/>
      </c>
      <c r="I286" s="4" t="str">
        <f t="shared" si="136"/>
        <v/>
      </c>
      <c r="J286" s="247"/>
      <c r="K286" s="117"/>
      <c r="L286" s="4" t="str">
        <f t="shared" si="137"/>
        <v/>
      </c>
      <c r="M286" s="4" t="str">
        <f t="shared" si="138"/>
        <v/>
      </c>
      <c r="N286" s="4" t="str">
        <f t="shared" si="139"/>
        <v/>
      </c>
      <c r="O286" s="4" t="str">
        <f t="shared" si="140"/>
        <v/>
      </c>
      <c r="P286" s="247"/>
      <c r="Q286" s="117"/>
      <c r="R286" s="4" t="str">
        <f t="shared" si="141"/>
        <v/>
      </c>
      <c r="S286" s="4" t="str">
        <f t="shared" si="142"/>
        <v/>
      </c>
      <c r="T286" s="4" t="str">
        <f t="shared" si="143"/>
        <v/>
      </c>
      <c r="U286" s="4" t="str">
        <f t="shared" si="144"/>
        <v/>
      </c>
      <c r="V286" s="247"/>
      <c r="W286" s="67" t="str">
        <f t="shared" si="145"/>
        <v/>
      </c>
      <c r="X286" s="118"/>
      <c r="Z286" s="67" t="str">
        <f t="shared" si="146"/>
        <v/>
      </c>
      <c r="AA286" s="13">
        <f t="shared" si="147"/>
        <v>0</v>
      </c>
      <c r="AB286" s="17">
        <f t="shared" si="148"/>
        <v>0</v>
      </c>
      <c r="AC286" s="163" t="str">
        <f t="shared" si="149"/>
        <v/>
      </c>
      <c r="AD286" s="119"/>
      <c r="AE286" s="120"/>
      <c r="AF286" s="121"/>
      <c r="AG286" s="122"/>
      <c r="AH286" s="83"/>
      <c r="AI286" s="115"/>
      <c r="AJ286" s="116"/>
      <c r="AK286" s="83"/>
      <c r="AL286" s="85"/>
      <c r="AM286" s="254"/>
      <c r="AN286" s="254"/>
      <c r="AO286" s="255"/>
    </row>
    <row r="287" spans="2:41" x14ac:dyDescent="0.25">
      <c r="B287" s="321"/>
      <c r="C287" s="17"/>
      <c r="E287" s="117"/>
      <c r="F287" s="4" t="str">
        <f t="shared" si="133"/>
        <v/>
      </c>
      <c r="G287" s="4" t="str">
        <f t="shared" si="134"/>
        <v/>
      </c>
      <c r="H287" s="4" t="str">
        <f t="shared" si="135"/>
        <v/>
      </c>
      <c r="I287" s="4" t="str">
        <f t="shared" si="136"/>
        <v/>
      </c>
      <c r="J287" s="247"/>
      <c r="K287" s="117"/>
      <c r="L287" s="4" t="str">
        <f t="shared" si="137"/>
        <v/>
      </c>
      <c r="M287" s="4" t="str">
        <f t="shared" si="138"/>
        <v/>
      </c>
      <c r="N287" s="4" t="str">
        <f t="shared" si="139"/>
        <v/>
      </c>
      <c r="O287" s="4" t="str">
        <f t="shared" si="140"/>
        <v/>
      </c>
      <c r="P287" s="247"/>
      <c r="Q287" s="117"/>
      <c r="R287" s="4" t="str">
        <f t="shared" si="141"/>
        <v/>
      </c>
      <c r="S287" s="4" t="str">
        <f t="shared" si="142"/>
        <v/>
      </c>
      <c r="T287" s="4" t="str">
        <f t="shared" si="143"/>
        <v/>
      </c>
      <c r="U287" s="4" t="str">
        <f t="shared" si="144"/>
        <v/>
      </c>
      <c r="V287" s="247"/>
      <c r="W287" s="67" t="str">
        <f t="shared" si="145"/>
        <v/>
      </c>
      <c r="X287" s="118"/>
      <c r="Z287" s="67" t="str">
        <f t="shared" si="146"/>
        <v/>
      </c>
      <c r="AA287" s="13">
        <f t="shared" si="147"/>
        <v>0</v>
      </c>
      <c r="AB287" s="17">
        <f t="shared" si="148"/>
        <v>0</v>
      </c>
      <c r="AC287" s="163" t="str">
        <f t="shared" si="149"/>
        <v/>
      </c>
      <c r="AD287" s="119"/>
      <c r="AE287" s="120"/>
      <c r="AF287" s="121"/>
      <c r="AG287" s="122"/>
      <c r="AH287" s="83"/>
      <c r="AI287" s="115"/>
      <c r="AJ287" s="116"/>
      <c r="AK287" s="83"/>
      <c r="AL287" s="85"/>
      <c r="AM287" s="254"/>
      <c r="AN287" s="254"/>
      <c r="AO287" s="255"/>
    </row>
    <row r="288" spans="2:41" x14ac:dyDescent="0.25">
      <c r="B288" s="321"/>
      <c r="C288" s="17"/>
      <c r="E288" s="117"/>
      <c r="F288" s="4" t="str">
        <f t="shared" si="133"/>
        <v/>
      </c>
      <c r="G288" s="4" t="str">
        <f t="shared" si="134"/>
        <v/>
      </c>
      <c r="H288" s="4" t="str">
        <f t="shared" si="135"/>
        <v/>
      </c>
      <c r="I288" s="4" t="str">
        <f t="shared" si="136"/>
        <v/>
      </c>
      <c r="J288" s="247"/>
      <c r="K288" s="117"/>
      <c r="L288" s="4" t="str">
        <f t="shared" si="137"/>
        <v/>
      </c>
      <c r="M288" s="4" t="str">
        <f t="shared" si="138"/>
        <v/>
      </c>
      <c r="N288" s="4" t="str">
        <f t="shared" si="139"/>
        <v/>
      </c>
      <c r="O288" s="4" t="str">
        <f t="shared" si="140"/>
        <v/>
      </c>
      <c r="P288" s="247"/>
      <c r="Q288" s="117"/>
      <c r="R288" s="4" t="str">
        <f t="shared" si="141"/>
        <v/>
      </c>
      <c r="S288" s="4" t="str">
        <f t="shared" si="142"/>
        <v/>
      </c>
      <c r="T288" s="4" t="str">
        <f t="shared" si="143"/>
        <v/>
      </c>
      <c r="U288" s="4" t="str">
        <f t="shared" si="144"/>
        <v/>
      </c>
      <c r="V288" s="247"/>
      <c r="W288" s="67" t="str">
        <f t="shared" si="145"/>
        <v/>
      </c>
      <c r="X288" s="118"/>
      <c r="Z288" s="67" t="str">
        <f t="shared" si="146"/>
        <v/>
      </c>
      <c r="AA288" s="13">
        <f t="shared" si="147"/>
        <v>0</v>
      </c>
      <c r="AB288" s="17">
        <f t="shared" si="148"/>
        <v>0</v>
      </c>
      <c r="AC288" s="163" t="str">
        <f t="shared" si="149"/>
        <v/>
      </c>
      <c r="AD288" s="119"/>
      <c r="AE288" s="120"/>
      <c r="AF288" s="121"/>
      <c r="AG288" s="122"/>
      <c r="AH288" s="83"/>
      <c r="AI288" s="115"/>
      <c r="AJ288" s="116"/>
      <c r="AK288" s="83"/>
      <c r="AL288" s="85"/>
      <c r="AM288" s="254"/>
      <c r="AN288" s="254"/>
      <c r="AO288" s="255"/>
    </row>
    <row r="289" spans="2:42" x14ac:dyDescent="0.25">
      <c r="B289" s="321"/>
      <c r="C289" s="17"/>
      <c r="E289" s="117"/>
      <c r="F289" s="4" t="str">
        <f t="shared" si="133"/>
        <v/>
      </c>
      <c r="G289" s="4" t="str">
        <f t="shared" si="134"/>
        <v/>
      </c>
      <c r="H289" s="4" t="str">
        <f t="shared" si="135"/>
        <v/>
      </c>
      <c r="I289" s="4" t="str">
        <f t="shared" si="136"/>
        <v/>
      </c>
      <c r="J289" s="247"/>
      <c r="K289" s="117"/>
      <c r="L289" s="4" t="str">
        <f t="shared" si="137"/>
        <v/>
      </c>
      <c r="M289" s="4" t="str">
        <f t="shared" si="138"/>
        <v/>
      </c>
      <c r="N289" s="4" t="str">
        <f t="shared" si="139"/>
        <v/>
      </c>
      <c r="O289" s="4" t="str">
        <f t="shared" si="140"/>
        <v/>
      </c>
      <c r="P289" s="247"/>
      <c r="Q289" s="117"/>
      <c r="R289" s="4" t="str">
        <f t="shared" si="141"/>
        <v/>
      </c>
      <c r="S289" s="4" t="str">
        <f t="shared" si="142"/>
        <v/>
      </c>
      <c r="T289" s="4" t="str">
        <f t="shared" si="143"/>
        <v/>
      </c>
      <c r="U289" s="4" t="str">
        <f t="shared" si="144"/>
        <v/>
      </c>
      <c r="V289" s="247"/>
      <c r="W289" s="67" t="str">
        <f t="shared" si="145"/>
        <v/>
      </c>
      <c r="X289" s="118"/>
      <c r="Z289" s="67" t="str">
        <f t="shared" si="146"/>
        <v/>
      </c>
      <c r="AA289" s="13">
        <f t="shared" si="147"/>
        <v>0</v>
      </c>
      <c r="AB289" s="17">
        <f t="shared" si="148"/>
        <v>0</v>
      </c>
      <c r="AC289" s="163" t="str">
        <f t="shared" si="149"/>
        <v/>
      </c>
      <c r="AD289" s="119"/>
      <c r="AE289" s="120"/>
      <c r="AF289" s="121"/>
      <c r="AG289" s="122"/>
      <c r="AH289" s="83"/>
      <c r="AI289" s="115"/>
      <c r="AJ289" s="116"/>
      <c r="AK289" s="83"/>
      <c r="AL289" s="85"/>
      <c r="AM289" s="254"/>
      <c r="AN289" s="254"/>
      <c r="AO289" s="255"/>
    </row>
    <row r="290" spans="2:42" x14ac:dyDescent="0.25">
      <c r="B290" s="321"/>
      <c r="C290" s="17"/>
      <c r="E290" s="117"/>
      <c r="F290" s="4" t="str">
        <f t="shared" si="133"/>
        <v/>
      </c>
      <c r="G290" s="4" t="str">
        <f t="shared" si="134"/>
        <v/>
      </c>
      <c r="H290" s="4" t="str">
        <f t="shared" si="135"/>
        <v/>
      </c>
      <c r="I290" s="4" t="str">
        <f t="shared" si="136"/>
        <v/>
      </c>
      <c r="J290" s="247"/>
      <c r="K290" s="117"/>
      <c r="L290" s="4" t="str">
        <f t="shared" si="137"/>
        <v/>
      </c>
      <c r="M290" s="4" t="str">
        <f t="shared" si="138"/>
        <v/>
      </c>
      <c r="N290" s="4" t="str">
        <f t="shared" si="139"/>
        <v/>
      </c>
      <c r="O290" s="4" t="str">
        <f t="shared" si="140"/>
        <v/>
      </c>
      <c r="P290" s="247"/>
      <c r="Q290" s="117"/>
      <c r="R290" s="4" t="str">
        <f t="shared" si="141"/>
        <v/>
      </c>
      <c r="S290" s="4" t="str">
        <f t="shared" si="142"/>
        <v/>
      </c>
      <c r="T290" s="4" t="str">
        <f t="shared" si="143"/>
        <v/>
      </c>
      <c r="U290" s="4" t="str">
        <f t="shared" si="144"/>
        <v/>
      </c>
      <c r="V290" s="247"/>
      <c r="W290" s="67" t="str">
        <f t="shared" si="145"/>
        <v/>
      </c>
      <c r="X290" s="118"/>
      <c r="Z290" s="67" t="str">
        <f t="shared" si="146"/>
        <v/>
      </c>
      <c r="AA290" s="13">
        <f t="shared" si="147"/>
        <v>0</v>
      </c>
      <c r="AB290" s="17">
        <f t="shared" si="148"/>
        <v>0</v>
      </c>
      <c r="AC290" s="163" t="str">
        <f t="shared" si="149"/>
        <v/>
      </c>
      <c r="AD290" s="119"/>
      <c r="AE290" s="120"/>
      <c r="AF290" s="121"/>
      <c r="AG290" s="122"/>
      <c r="AH290" s="83"/>
      <c r="AI290" s="115"/>
      <c r="AJ290" s="116"/>
      <c r="AK290" s="83"/>
      <c r="AL290" s="85"/>
      <c r="AM290" s="254"/>
      <c r="AN290" s="254"/>
      <c r="AO290" s="255"/>
    </row>
    <row r="291" spans="2:42" x14ac:dyDescent="0.25">
      <c r="B291" s="321"/>
      <c r="C291" s="17"/>
      <c r="E291" s="117"/>
      <c r="F291" s="4" t="str">
        <f t="shared" si="133"/>
        <v/>
      </c>
      <c r="G291" s="4" t="str">
        <f t="shared" si="134"/>
        <v/>
      </c>
      <c r="H291" s="4" t="str">
        <f t="shared" si="135"/>
        <v/>
      </c>
      <c r="I291" s="4" t="str">
        <f t="shared" si="136"/>
        <v/>
      </c>
      <c r="J291" s="247"/>
      <c r="K291" s="117"/>
      <c r="L291" s="4" t="str">
        <f t="shared" si="137"/>
        <v/>
      </c>
      <c r="M291" s="4" t="str">
        <f t="shared" si="138"/>
        <v/>
      </c>
      <c r="N291" s="4" t="str">
        <f t="shared" si="139"/>
        <v/>
      </c>
      <c r="O291" s="4" t="str">
        <f t="shared" si="140"/>
        <v/>
      </c>
      <c r="P291" s="247"/>
      <c r="Q291" s="117"/>
      <c r="R291" s="4" t="str">
        <f t="shared" si="141"/>
        <v/>
      </c>
      <c r="S291" s="4" t="str">
        <f t="shared" si="142"/>
        <v/>
      </c>
      <c r="T291" s="4" t="str">
        <f t="shared" si="143"/>
        <v/>
      </c>
      <c r="U291" s="4" t="str">
        <f t="shared" si="144"/>
        <v/>
      </c>
      <c r="V291" s="247"/>
      <c r="W291" s="67" t="str">
        <f t="shared" si="145"/>
        <v/>
      </c>
      <c r="X291" s="118"/>
      <c r="Z291" s="67" t="str">
        <f t="shared" si="146"/>
        <v/>
      </c>
      <c r="AA291" s="13">
        <f t="shared" si="147"/>
        <v>0</v>
      </c>
      <c r="AB291" s="17">
        <f t="shared" si="148"/>
        <v>0</v>
      </c>
      <c r="AC291" s="163" t="str">
        <f t="shared" si="149"/>
        <v/>
      </c>
      <c r="AD291" s="119"/>
      <c r="AE291" s="120"/>
      <c r="AF291" s="121"/>
      <c r="AG291" s="122"/>
      <c r="AH291" s="83"/>
      <c r="AI291" s="115"/>
      <c r="AJ291" s="116"/>
      <c r="AK291" s="83"/>
      <c r="AL291" s="85"/>
      <c r="AO291" s="255"/>
      <c r="AP291" t="s">
        <v>524</v>
      </c>
    </row>
    <row r="292" spans="2:42" x14ac:dyDescent="0.25">
      <c r="B292" s="321"/>
      <c r="C292" s="17"/>
      <c r="E292" s="117"/>
      <c r="F292" s="4" t="str">
        <f t="shared" si="133"/>
        <v/>
      </c>
      <c r="G292" s="4" t="str">
        <f t="shared" si="134"/>
        <v/>
      </c>
      <c r="H292" s="4" t="str">
        <f t="shared" si="135"/>
        <v/>
      </c>
      <c r="I292" s="4" t="str">
        <f t="shared" si="136"/>
        <v/>
      </c>
      <c r="J292" s="247"/>
      <c r="K292" s="117"/>
      <c r="L292" s="4" t="str">
        <f t="shared" si="137"/>
        <v/>
      </c>
      <c r="M292" s="4" t="str">
        <f t="shared" si="138"/>
        <v/>
      </c>
      <c r="N292" s="4" t="str">
        <f t="shared" si="139"/>
        <v/>
      </c>
      <c r="O292" s="4" t="str">
        <f t="shared" si="140"/>
        <v/>
      </c>
      <c r="P292" s="247"/>
      <c r="Q292" s="117"/>
      <c r="R292" s="4" t="str">
        <f t="shared" si="141"/>
        <v/>
      </c>
      <c r="S292" s="4" t="str">
        <f t="shared" si="142"/>
        <v/>
      </c>
      <c r="T292" s="4" t="str">
        <f t="shared" si="143"/>
        <v/>
      </c>
      <c r="U292" s="4" t="str">
        <f t="shared" si="144"/>
        <v/>
      </c>
      <c r="V292" s="247"/>
      <c r="W292" s="67" t="str">
        <f t="shared" si="145"/>
        <v/>
      </c>
      <c r="X292" s="118"/>
      <c r="Z292" s="67" t="str">
        <f t="shared" si="146"/>
        <v/>
      </c>
      <c r="AA292" s="13">
        <f t="shared" si="147"/>
        <v>0</v>
      </c>
      <c r="AB292" s="17">
        <f t="shared" si="148"/>
        <v>0</v>
      </c>
      <c r="AC292" s="163" t="str">
        <f t="shared" si="149"/>
        <v/>
      </c>
      <c r="AD292" s="119"/>
      <c r="AE292" s="120"/>
      <c r="AF292" s="121"/>
      <c r="AG292" s="122"/>
      <c r="AH292" s="83"/>
      <c r="AI292" s="115"/>
      <c r="AJ292" s="116"/>
      <c r="AK292" s="83"/>
      <c r="AL292" s="85"/>
      <c r="AO292" s="255"/>
      <c r="AP292" t="s">
        <v>524</v>
      </c>
    </row>
    <row r="293" spans="2:42" x14ac:dyDescent="0.25">
      <c r="B293" s="321"/>
      <c r="C293" s="17"/>
      <c r="E293" s="117"/>
      <c r="F293" s="4" t="str">
        <f t="shared" si="133"/>
        <v/>
      </c>
      <c r="G293" s="4" t="str">
        <f t="shared" si="134"/>
        <v/>
      </c>
      <c r="H293" s="4" t="str">
        <f t="shared" si="135"/>
        <v/>
      </c>
      <c r="I293" s="4" t="str">
        <f t="shared" si="136"/>
        <v/>
      </c>
      <c r="J293" s="247"/>
      <c r="K293" s="117"/>
      <c r="L293" s="4" t="str">
        <f t="shared" si="137"/>
        <v/>
      </c>
      <c r="M293" s="4" t="str">
        <f t="shared" si="138"/>
        <v/>
      </c>
      <c r="N293" s="4" t="str">
        <f t="shared" si="139"/>
        <v/>
      </c>
      <c r="O293" s="4" t="str">
        <f t="shared" si="140"/>
        <v/>
      </c>
      <c r="P293" s="247"/>
      <c r="Q293" s="117"/>
      <c r="R293" s="4" t="str">
        <f t="shared" si="141"/>
        <v/>
      </c>
      <c r="S293" s="4" t="str">
        <f t="shared" si="142"/>
        <v/>
      </c>
      <c r="T293" s="4" t="str">
        <f t="shared" si="143"/>
        <v/>
      </c>
      <c r="U293" s="4" t="str">
        <f t="shared" si="144"/>
        <v/>
      </c>
      <c r="V293" s="247"/>
      <c r="W293" s="67" t="str">
        <f t="shared" si="145"/>
        <v/>
      </c>
      <c r="X293" s="118"/>
      <c r="Z293" s="67" t="str">
        <f t="shared" si="146"/>
        <v/>
      </c>
      <c r="AA293" s="13">
        <f t="shared" si="147"/>
        <v>0</v>
      </c>
      <c r="AB293" s="17">
        <f t="shared" si="148"/>
        <v>0</v>
      </c>
      <c r="AC293" s="163" t="str">
        <f t="shared" si="149"/>
        <v/>
      </c>
      <c r="AD293" s="119"/>
      <c r="AE293" s="120"/>
      <c r="AF293" s="121"/>
      <c r="AG293" s="122"/>
      <c r="AH293" s="83"/>
      <c r="AI293" s="115"/>
      <c r="AJ293" s="116"/>
      <c r="AK293" s="83"/>
      <c r="AL293" s="303"/>
      <c r="AO293" s="255"/>
    </row>
    <row r="294" spans="2:42" x14ac:dyDescent="0.25">
      <c r="B294" s="321"/>
      <c r="C294" s="17"/>
      <c r="E294" s="117"/>
      <c r="F294" s="4" t="str">
        <f t="shared" si="133"/>
        <v/>
      </c>
      <c r="G294" s="4" t="str">
        <f t="shared" si="134"/>
        <v/>
      </c>
      <c r="H294" s="4" t="str">
        <f t="shared" si="135"/>
        <v/>
      </c>
      <c r="I294" s="4" t="str">
        <f t="shared" si="136"/>
        <v/>
      </c>
      <c r="J294" s="247"/>
      <c r="K294" s="117"/>
      <c r="L294" s="4" t="str">
        <f t="shared" si="137"/>
        <v/>
      </c>
      <c r="M294" s="4" t="str">
        <f t="shared" si="138"/>
        <v/>
      </c>
      <c r="N294" s="4" t="str">
        <f t="shared" si="139"/>
        <v/>
      </c>
      <c r="O294" s="4" t="str">
        <f t="shared" si="140"/>
        <v/>
      </c>
      <c r="P294" s="247"/>
      <c r="Q294" s="117"/>
      <c r="R294" s="4" t="str">
        <f t="shared" si="141"/>
        <v/>
      </c>
      <c r="S294" s="4" t="str">
        <f t="shared" si="142"/>
        <v/>
      </c>
      <c r="T294" s="4" t="str">
        <f t="shared" si="143"/>
        <v/>
      </c>
      <c r="U294" s="4" t="str">
        <f t="shared" si="144"/>
        <v/>
      </c>
      <c r="V294" s="247"/>
      <c r="W294" s="67" t="str">
        <f t="shared" si="145"/>
        <v/>
      </c>
      <c r="X294" s="118"/>
      <c r="Z294" s="67" t="str">
        <f t="shared" si="146"/>
        <v/>
      </c>
      <c r="AA294" s="13">
        <f t="shared" si="147"/>
        <v>0</v>
      </c>
      <c r="AB294" s="17">
        <f t="shared" si="148"/>
        <v>0</v>
      </c>
      <c r="AC294" s="163" t="str">
        <f t="shared" si="149"/>
        <v/>
      </c>
      <c r="AD294" s="119"/>
      <c r="AE294" s="120"/>
      <c r="AF294" s="121"/>
      <c r="AG294" s="122"/>
      <c r="AH294" s="83"/>
      <c r="AI294" s="115"/>
      <c r="AJ294" s="116"/>
      <c r="AK294" s="83"/>
      <c r="AL294" s="85"/>
      <c r="AO294" s="255"/>
    </row>
    <row r="295" spans="2:42" x14ac:dyDescent="0.25">
      <c r="B295" s="321"/>
      <c r="C295" s="17"/>
      <c r="E295" s="117"/>
      <c r="F295" s="4" t="str">
        <f t="shared" si="133"/>
        <v/>
      </c>
      <c r="G295" s="4" t="str">
        <f t="shared" si="134"/>
        <v/>
      </c>
      <c r="H295" s="4" t="str">
        <f t="shared" si="135"/>
        <v/>
      </c>
      <c r="I295" s="4" t="str">
        <f t="shared" si="136"/>
        <v/>
      </c>
      <c r="J295" s="247"/>
      <c r="K295" s="117"/>
      <c r="L295" s="4" t="str">
        <f t="shared" si="137"/>
        <v/>
      </c>
      <c r="M295" s="4" t="str">
        <f t="shared" si="138"/>
        <v/>
      </c>
      <c r="N295" s="4" t="str">
        <f t="shared" si="139"/>
        <v/>
      </c>
      <c r="O295" s="4" t="str">
        <f t="shared" si="140"/>
        <v/>
      </c>
      <c r="P295" s="247"/>
      <c r="Q295" s="117"/>
      <c r="R295" s="4" t="str">
        <f t="shared" si="141"/>
        <v/>
      </c>
      <c r="S295" s="4" t="str">
        <f t="shared" si="142"/>
        <v/>
      </c>
      <c r="T295" s="4" t="str">
        <f t="shared" si="143"/>
        <v/>
      </c>
      <c r="U295" s="4" t="str">
        <f t="shared" si="144"/>
        <v/>
      </c>
      <c r="V295" s="247"/>
      <c r="W295" s="67" t="str">
        <f t="shared" si="145"/>
        <v/>
      </c>
      <c r="X295" s="118"/>
      <c r="Z295" s="67" t="str">
        <f t="shared" si="146"/>
        <v/>
      </c>
      <c r="AA295" s="13">
        <f t="shared" si="147"/>
        <v>0</v>
      </c>
      <c r="AB295" s="17">
        <f t="shared" si="148"/>
        <v>0</v>
      </c>
      <c r="AC295" s="163" t="str">
        <f t="shared" si="149"/>
        <v/>
      </c>
      <c r="AD295" s="119"/>
      <c r="AE295" s="120"/>
      <c r="AF295" s="121"/>
      <c r="AG295" s="122"/>
      <c r="AH295" s="83"/>
      <c r="AI295" s="115"/>
      <c r="AJ295" s="116"/>
      <c r="AK295" s="83"/>
      <c r="AL295" s="85"/>
      <c r="AO295" s="255"/>
    </row>
    <row r="296" spans="2:42" x14ac:dyDescent="0.25">
      <c r="B296" s="321"/>
      <c r="C296" s="17"/>
      <c r="E296" s="117"/>
      <c r="F296" s="4" t="str">
        <f t="shared" si="133"/>
        <v/>
      </c>
      <c r="G296" s="4" t="str">
        <f t="shared" si="134"/>
        <v/>
      </c>
      <c r="H296" s="4" t="str">
        <f t="shared" si="135"/>
        <v/>
      </c>
      <c r="I296" s="4" t="str">
        <f t="shared" si="136"/>
        <v/>
      </c>
      <c r="J296" s="247"/>
      <c r="K296" s="117"/>
      <c r="L296" s="4" t="str">
        <f t="shared" si="137"/>
        <v/>
      </c>
      <c r="M296" s="4" t="str">
        <f t="shared" si="138"/>
        <v/>
      </c>
      <c r="N296" s="4" t="str">
        <f t="shared" si="139"/>
        <v/>
      </c>
      <c r="O296" s="4" t="str">
        <f t="shared" si="140"/>
        <v/>
      </c>
      <c r="P296" s="247"/>
      <c r="Q296" s="117"/>
      <c r="R296" s="4" t="str">
        <f t="shared" si="141"/>
        <v/>
      </c>
      <c r="S296" s="4" t="str">
        <f t="shared" si="142"/>
        <v/>
      </c>
      <c r="T296" s="4" t="str">
        <f t="shared" si="143"/>
        <v/>
      </c>
      <c r="U296" s="4" t="str">
        <f t="shared" si="144"/>
        <v/>
      </c>
      <c r="V296" s="247"/>
      <c r="W296" s="67" t="str">
        <f t="shared" si="145"/>
        <v/>
      </c>
      <c r="X296" s="118"/>
      <c r="Z296" s="67" t="str">
        <f t="shared" si="146"/>
        <v/>
      </c>
      <c r="AA296" s="13">
        <f t="shared" si="147"/>
        <v>0</v>
      </c>
      <c r="AB296" s="17">
        <f t="shared" si="148"/>
        <v>0</v>
      </c>
      <c r="AC296" s="163" t="str">
        <f t="shared" si="149"/>
        <v/>
      </c>
      <c r="AD296" s="119"/>
      <c r="AE296" s="120"/>
      <c r="AF296" s="121"/>
      <c r="AG296" s="122"/>
      <c r="AH296" s="83"/>
      <c r="AI296" s="115"/>
      <c r="AJ296" s="116"/>
      <c r="AK296" s="83"/>
      <c r="AL296" s="85"/>
      <c r="AO296" s="255"/>
      <c r="AP296" t="s">
        <v>525</v>
      </c>
    </row>
    <row r="297" spans="2:42" x14ac:dyDescent="0.25">
      <c r="B297" s="321"/>
      <c r="C297" s="17"/>
      <c r="E297" s="117"/>
      <c r="F297" s="4" t="str">
        <f t="shared" si="133"/>
        <v/>
      </c>
      <c r="G297" s="4" t="str">
        <f t="shared" si="134"/>
        <v/>
      </c>
      <c r="H297" s="4" t="str">
        <f t="shared" si="135"/>
        <v/>
      </c>
      <c r="I297" s="4" t="str">
        <f t="shared" si="136"/>
        <v/>
      </c>
      <c r="J297" s="247"/>
      <c r="K297" s="117"/>
      <c r="L297" s="4" t="str">
        <f t="shared" si="137"/>
        <v/>
      </c>
      <c r="M297" s="4" t="str">
        <f t="shared" si="138"/>
        <v/>
      </c>
      <c r="N297" s="4" t="str">
        <f t="shared" si="139"/>
        <v/>
      </c>
      <c r="O297" s="4" t="str">
        <f t="shared" si="140"/>
        <v/>
      </c>
      <c r="P297" s="247"/>
      <c r="Q297" s="117"/>
      <c r="R297" s="4" t="str">
        <f t="shared" si="141"/>
        <v/>
      </c>
      <c r="S297" s="4" t="str">
        <f t="shared" si="142"/>
        <v/>
      </c>
      <c r="T297" s="4" t="str">
        <f t="shared" si="143"/>
        <v/>
      </c>
      <c r="U297" s="4" t="str">
        <f t="shared" si="144"/>
        <v/>
      </c>
      <c r="V297" s="247"/>
      <c r="W297" s="67" t="str">
        <f t="shared" si="145"/>
        <v/>
      </c>
      <c r="X297" s="118"/>
      <c r="Z297" s="67" t="str">
        <f t="shared" si="146"/>
        <v/>
      </c>
      <c r="AA297" s="13">
        <f t="shared" si="147"/>
        <v>0</v>
      </c>
      <c r="AB297" s="17">
        <f t="shared" si="148"/>
        <v>0</v>
      </c>
      <c r="AC297" s="163" t="str">
        <f t="shared" si="149"/>
        <v/>
      </c>
      <c r="AD297" s="119"/>
      <c r="AE297" s="120"/>
      <c r="AF297" s="121"/>
      <c r="AG297" s="122"/>
      <c r="AH297" s="83"/>
      <c r="AI297" s="115"/>
      <c r="AJ297" s="116"/>
      <c r="AK297" s="83"/>
      <c r="AL297" s="85"/>
      <c r="AO297" s="255"/>
    </row>
    <row r="298" spans="2:42" x14ac:dyDescent="0.25">
      <c r="B298" s="321"/>
      <c r="C298" s="17"/>
      <c r="E298" s="117"/>
      <c r="F298" s="4" t="str">
        <f t="shared" si="133"/>
        <v/>
      </c>
      <c r="G298" s="4" t="str">
        <f t="shared" si="134"/>
        <v/>
      </c>
      <c r="H298" s="4" t="str">
        <f t="shared" si="135"/>
        <v/>
      </c>
      <c r="I298" s="4" t="str">
        <f t="shared" si="136"/>
        <v/>
      </c>
      <c r="J298" s="247"/>
      <c r="K298" s="117"/>
      <c r="L298" s="4" t="str">
        <f t="shared" si="137"/>
        <v/>
      </c>
      <c r="M298" s="4" t="str">
        <f t="shared" si="138"/>
        <v/>
      </c>
      <c r="N298" s="4" t="str">
        <f t="shared" si="139"/>
        <v/>
      </c>
      <c r="O298" s="4" t="str">
        <f t="shared" si="140"/>
        <v/>
      </c>
      <c r="P298" s="247"/>
      <c r="Q298" s="117"/>
      <c r="R298" s="4" t="str">
        <f t="shared" si="141"/>
        <v/>
      </c>
      <c r="S298" s="4" t="str">
        <f t="shared" si="142"/>
        <v/>
      </c>
      <c r="T298" s="4" t="str">
        <f t="shared" si="143"/>
        <v/>
      </c>
      <c r="U298" s="4" t="str">
        <f t="shared" si="144"/>
        <v/>
      </c>
      <c r="V298" s="247"/>
      <c r="W298" s="67" t="str">
        <f t="shared" si="145"/>
        <v/>
      </c>
      <c r="X298" s="118"/>
      <c r="Z298" s="67" t="str">
        <f t="shared" si="146"/>
        <v/>
      </c>
      <c r="AA298" s="13">
        <f t="shared" si="147"/>
        <v>0</v>
      </c>
      <c r="AB298" s="17">
        <f t="shared" si="148"/>
        <v>0</v>
      </c>
      <c r="AC298" s="163" t="str">
        <f t="shared" si="149"/>
        <v/>
      </c>
      <c r="AD298" s="119"/>
      <c r="AE298" s="120"/>
      <c r="AF298" s="121"/>
      <c r="AG298" s="122"/>
      <c r="AH298" s="83"/>
      <c r="AI298" s="115"/>
      <c r="AJ298" s="116"/>
      <c r="AK298" s="83"/>
      <c r="AL298" s="85"/>
      <c r="AO298" s="255"/>
    </row>
    <row r="299" spans="2:42" x14ac:dyDescent="0.25">
      <c r="B299" s="321"/>
      <c r="C299" s="17"/>
      <c r="E299" s="117"/>
      <c r="F299" s="4" t="str">
        <f t="shared" si="133"/>
        <v/>
      </c>
      <c r="G299" s="4" t="str">
        <f t="shared" si="134"/>
        <v/>
      </c>
      <c r="H299" s="4" t="str">
        <f t="shared" si="135"/>
        <v/>
      </c>
      <c r="I299" s="4" t="str">
        <f t="shared" si="136"/>
        <v/>
      </c>
      <c r="J299" s="247"/>
      <c r="K299" s="117"/>
      <c r="L299" s="4" t="str">
        <f t="shared" si="137"/>
        <v/>
      </c>
      <c r="M299" s="4" t="str">
        <f t="shared" si="138"/>
        <v/>
      </c>
      <c r="N299" s="4" t="str">
        <f t="shared" si="139"/>
        <v/>
      </c>
      <c r="O299" s="4" t="str">
        <f t="shared" si="140"/>
        <v/>
      </c>
      <c r="P299" s="247"/>
      <c r="Q299" s="117"/>
      <c r="R299" s="4" t="str">
        <f t="shared" si="141"/>
        <v/>
      </c>
      <c r="S299" s="4" t="str">
        <f t="shared" si="142"/>
        <v/>
      </c>
      <c r="T299" s="4" t="str">
        <f t="shared" si="143"/>
        <v/>
      </c>
      <c r="U299" s="4" t="str">
        <f t="shared" si="144"/>
        <v/>
      </c>
      <c r="V299" s="247"/>
      <c r="W299" s="67" t="str">
        <f t="shared" si="145"/>
        <v/>
      </c>
      <c r="X299" s="118"/>
      <c r="Z299" s="67" t="str">
        <f t="shared" si="146"/>
        <v/>
      </c>
      <c r="AA299" s="13">
        <f t="shared" si="147"/>
        <v>0</v>
      </c>
      <c r="AB299" s="17">
        <f t="shared" si="148"/>
        <v>0</v>
      </c>
      <c r="AC299" s="163" t="str">
        <f t="shared" si="149"/>
        <v/>
      </c>
      <c r="AD299" s="119"/>
      <c r="AE299" s="120"/>
      <c r="AF299" s="121"/>
      <c r="AG299" s="122"/>
      <c r="AH299" s="83"/>
      <c r="AI299" s="115"/>
      <c r="AJ299" s="116"/>
      <c r="AK299" s="83"/>
      <c r="AL299" s="85"/>
      <c r="AO299" s="255"/>
    </row>
    <row r="300" spans="2:42" x14ac:dyDescent="0.25">
      <c r="B300" s="321"/>
      <c r="C300" s="17"/>
      <c r="E300" s="117"/>
      <c r="F300" s="4" t="str">
        <f t="shared" si="133"/>
        <v/>
      </c>
      <c r="G300" s="4" t="str">
        <f t="shared" si="134"/>
        <v/>
      </c>
      <c r="H300" s="4" t="str">
        <f t="shared" si="135"/>
        <v/>
      </c>
      <c r="I300" s="4" t="str">
        <f t="shared" si="136"/>
        <v/>
      </c>
      <c r="J300" s="247"/>
      <c r="K300" s="117"/>
      <c r="L300" s="4" t="str">
        <f t="shared" si="137"/>
        <v/>
      </c>
      <c r="M300" s="4" t="str">
        <f t="shared" si="138"/>
        <v/>
      </c>
      <c r="N300" s="4" t="str">
        <f t="shared" si="139"/>
        <v/>
      </c>
      <c r="O300" s="4" t="str">
        <f t="shared" si="140"/>
        <v/>
      </c>
      <c r="P300" s="247"/>
      <c r="Q300" s="117"/>
      <c r="R300" s="4" t="str">
        <f t="shared" si="141"/>
        <v/>
      </c>
      <c r="S300" s="4" t="str">
        <f t="shared" si="142"/>
        <v/>
      </c>
      <c r="T300" s="4" t="str">
        <f t="shared" si="143"/>
        <v/>
      </c>
      <c r="U300" s="4" t="str">
        <f t="shared" si="144"/>
        <v/>
      </c>
      <c r="V300" s="247"/>
      <c r="W300" s="67" t="str">
        <f t="shared" si="145"/>
        <v/>
      </c>
      <c r="X300" s="118"/>
      <c r="Z300" s="67" t="str">
        <f t="shared" si="146"/>
        <v/>
      </c>
      <c r="AA300" s="13">
        <f t="shared" si="147"/>
        <v>0</v>
      </c>
      <c r="AB300" s="17">
        <f t="shared" si="148"/>
        <v>0</v>
      </c>
      <c r="AC300" s="163" t="str">
        <f t="shared" si="149"/>
        <v/>
      </c>
      <c r="AD300" s="119"/>
      <c r="AE300" s="120"/>
      <c r="AF300" s="121"/>
      <c r="AG300" s="122"/>
      <c r="AH300" s="83"/>
      <c r="AI300" s="115"/>
      <c r="AJ300" s="116"/>
      <c r="AK300" s="83"/>
      <c r="AL300" s="85"/>
      <c r="AO300" s="255"/>
    </row>
    <row r="301" spans="2:42" x14ac:dyDescent="0.25">
      <c r="B301" s="321"/>
      <c r="C301" s="17"/>
      <c r="E301" s="117"/>
      <c r="F301" s="4" t="str">
        <f t="shared" si="133"/>
        <v/>
      </c>
      <c r="G301" s="4" t="str">
        <f t="shared" si="134"/>
        <v/>
      </c>
      <c r="H301" s="4" t="str">
        <f t="shared" si="135"/>
        <v/>
      </c>
      <c r="I301" s="4" t="str">
        <f t="shared" si="136"/>
        <v/>
      </c>
      <c r="J301" s="247"/>
      <c r="K301" s="117"/>
      <c r="L301" s="4" t="str">
        <f t="shared" si="137"/>
        <v/>
      </c>
      <c r="M301" s="4" t="str">
        <f t="shared" si="138"/>
        <v/>
      </c>
      <c r="N301" s="4" t="str">
        <f t="shared" si="139"/>
        <v/>
      </c>
      <c r="O301" s="4" t="str">
        <f t="shared" si="140"/>
        <v/>
      </c>
      <c r="P301" s="247"/>
      <c r="Q301" s="117"/>
      <c r="R301" s="4" t="str">
        <f t="shared" si="141"/>
        <v/>
      </c>
      <c r="S301" s="4" t="str">
        <f t="shared" si="142"/>
        <v/>
      </c>
      <c r="T301" s="4" t="str">
        <f t="shared" si="143"/>
        <v/>
      </c>
      <c r="U301" s="4" t="str">
        <f t="shared" si="144"/>
        <v/>
      </c>
      <c r="V301" s="247"/>
      <c r="W301" s="67" t="str">
        <f t="shared" si="145"/>
        <v/>
      </c>
      <c r="X301" s="118"/>
      <c r="Z301" s="67" t="str">
        <f t="shared" si="146"/>
        <v/>
      </c>
      <c r="AA301" s="13">
        <f t="shared" si="147"/>
        <v>0</v>
      </c>
      <c r="AB301" s="17">
        <f t="shared" si="148"/>
        <v>0</v>
      </c>
      <c r="AC301" s="163" t="str">
        <f t="shared" si="149"/>
        <v/>
      </c>
      <c r="AD301" s="119"/>
      <c r="AE301" s="120"/>
      <c r="AF301" s="121"/>
      <c r="AG301" s="122"/>
      <c r="AH301" s="83"/>
      <c r="AI301" s="115"/>
      <c r="AJ301" s="116"/>
      <c r="AK301" s="83"/>
      <c r="AL301" s="85"/>
      <c r="AO301" s="255"/>
    </row>
    <row r="302" spans="2:42" x14ac:dyDescent="0.25">
      <c r="B302" s="321"/>
      <c r="C302" s="17"/>
      <c r="E302" s="117"/>
      <c r="F302" s="4" t="str">
        <f t="shared" si="133"/>
        <v/>
      </c>
      <c r="G302" s="4" t="str">
        <f t="shared" si="134"/>
        <v/>
      </c>
      <c r="H302" s="4" t="str">
        <f t="shared" si="135"/>
        <v/>
      </c>
      <c r="I302" s="4" t="str">
        <f t="shared" si="136"/>
        <v/>
      </c>
      <c r="J302" s="247"/>
      <c r="K302" s="117"/>
      <c r="L302" s="4" t="str">
        <f t="shared" si="137"/>
        <v/>
      </c>
      <c r="M302" s="4" t="str">
        <f t="shared" si="138"/>
        <v/>
      </c>
      <c r="N302" s="4" t="str">
        <f t="shared" si="139"/>
        <v/>
      </c>
      <c r="O302" s="4" t="str">
        <f t="shared" si="140"/>
        <v/>
      </c>
      <c r="P302" s="247"/>
      <c r="Q302" s="117"/>
      <c r="R302" s="4" t="str">
        <f t="shared" si="141"/>
        <v/>
      </c>
      <c r="S302" s="4" t="str">
        <f t="shared" si="142"/>
        <v/>
      </c>
      <c r="T302" s="4" t="str">
        <f t="shared" si="143"/>
        <v/>
      </c>
      <c r="U302" s="4" t="str">
        <f t="shared" si="144"/>
        <v/>
      </c>
      <c r="V302" s="247"/>
      <c r="W302" s="67" t="str">
        <f t="shared" si="145"/>
        <v/>
      </c>
      <c r="X302" s="118"/>
      <c r="Z302" s="67" t="str">
        <f t="shared" si="146"/>
        <v/>
      </c>
      <c r="AA302" s="13">
        <f t="shared" si="147"/>
        <v>0</v>
      </c>
      <c r="AB302" s="17">
        <f t="shared" si="148"/>
        <v>0</v>
      </c>
      <c r="AC302" s="163" t="str">
        <f t="shared" si="149"/>
        <v/>
      </c>
      <c r="AD302" s="119"/>
      <c r="AE302" s="120"/>
      <c r="AF302" s="121"/>
      <c r="AG302" s="122"/>
      <c r="AH302" s="83"/>
      <c r="AI302" s="115"/>
      <c r="AJ302" s="116"/>
      <c r="AK302" s="83"/>
      <c r="AL302" s="85"/>
      <c r="AO302" s="255"/>
    </row>
    <row r="303" spans="2:42" x14ac:dyDescent="0.25">
      <c r="B303" s="321"/>
      <c r="C303" s="17"/>
      <c r="E303" s="117"/>
      <c r="F303" s="4" t="str">
        <f t="shared" si="133"/>
        <v/>
      </c>
      <c r="G303" s="4" t="str">
        <f t="shared" si="134"/>
        <v/>
      </c>
      <c r="H303" s="4" t="str">
        <f t="shared" si="135"/>
        <v/>
      </c>
      <c r="I303" s="4" t="str">
        <f t="shared" si="136"/>
        <v/>
      </c>
      <c r="J303" s="247"/>
      <c r="K303" s="117"/>
      <c r="L303" s="4" t="str">
        <f t="shared" si="137"/>
        <v/>
      </c>
      <c r="M303" s="4" t="str">
        <f t="shared" si="138"/>
        <v/>
      </c>
      <c r="N303" s="4" t="str">
        <f t="shared" si="139"/>
        <v/>
      </c>
      <c r="O303" s="4" t="str">
        <f t="shared" si="140"/>
        <v/>
      </c>
      <c r="P303" s="247"/>
      <c r="Q303" s="117"/>
      <c r="R303" s="4" t="str">
        <f t="shared" si="141"/>
        <v/>
      </c>
      <c r="S303" s="4" t="str">
        <f t="shared" si="142"/>
        <v/>
      </c>
      <c r="T303" s="4" t="str">
        <f t="shared" si="143"/>
        <v/>
      </c>
      <c r="U303" s="4" t="str">
        <f t="shared" si="144"/>
        <v/>
      </c>
      <c r="V303" s="247"/>
      <c r="W303" s="67" t="str">
        <f t="shared" si="145"/>
        <v/>
      </c>
      <c r="X303" s="118"/>
      <c r="Z303" s="67" t="str">
        <f t="shared" si="146"/>
        <v/>
      </c>
      <c r="AA303" s="13">
        <f t="shared" si="147"/>
        <v>0</v>
      </c>
      <c r="AB303" s="17">
        <f t="shared" si="148"/>
        <v>0</v>
      </c>
      <c r="AC303" s="163" t="str">
        <f t="shared" si="149"/>
        <v/>
      </c>
      <c r="AD303" s="119"/>
      <c r="AE303" s="120"/>
      <c r="AF303" s="121"/>
      <c r="AG303" s="122"/>
      <c r="AH303" s="83"/>
      <c r="AI303" s="115"/>
      <c r="AJ303" s="116"/>
      <c r="AK303" s="83"/>
      <c r="AL303" s="85"/>
      <c r="AO303" s="255"/>
    </row>
    <row r="304" spans="2:42" x14ac:dyDescent="0.25">
      <c r="B304" s="321"/>
      <c r="C304" s="17"/>
      <c r="E304" s="117"/>
      <c r="F304" s="4" t="str">
        <f t="shared" si="133"/>
        <v/>
      </c>
      <c r="G304" s="4" t="str">
        <f t="shared" si="134"/>
        <v/>
      </c>
      <c r="H304" s="4" t="str">
        <f t="shared" si="135"/>
        <v/>
      </c>
      <c r="I304" s="4" t="str">
        <f t="shared" si="136"/>
        <v/>
      </c>
      <c r="J304" s="247"/>
      <c r="K304" s="117"/>
      <c r="L304" s="4" t="str">
        <f t="shared" si="137"/>
        <v/>
      </c>
      <c r="M304" s="4" t="str">
        <f t="shared" si="138"/>
        <v/>
      </c>
      <c r="N304" s="4" t="str">
        <f t="shared" si="139"/>
        <v/>
      </c>
      <c r="O304" s="4" t="str">
        <f t="shared" si="140"/>
        <v/>
      </c>
      <c r="P304" s="247"/>
      <c r="Q304" s="117"/>
      <c r="R304" s="4" t="str">
        <f t="shared" si="141"/>
        <v/>
      </c>
      <c r="S304" s="4" t="str">
        <f t="shared" si="142"/>
        <v/>
      </c>
      <c r="T304" s="4" t="str">
        <f t="shared" si="143"/>
        <v/>
      </c>
      <c r="U304" s="4" t="str">
        <f t="shared" si="144"/>
        <v/>
      </c>
      <c r="V304" s="247"/>
      <c r="W304" s="67" t="str">
        <f t="shared" si="145"/>
        <v/>
      </c>
      <c r="X304" s="118"/>
      <c r="Z304" s="67" t="str">
        <f t="shared" si="146"/>
        <v/>
      </c>
      <c r="AA304" s="13">
        <f t="shared" si="147"/>
        <v>0</v>
      </c>
      <c r="AB304" s="17">
        <f t="shared" si="148"/>
        <v>0</v>
      </c>
      <c r="AC304" s="163" t="str">
        <f t="shared" si="149"/>
        <v/>
      </c>
      <c r="AD304" s="119"/>
      <c r="AE304" s="120"/>
      <c r="AF304" s="121"/>
      <c r="AG304" s="122"/>
      <c r="AH304" s="83"/>
      <c r="AI304" s="115"/>
      <c r="AJ304" s="116"/>
      <c r="AK304" s="83"/>
      <c r="AL304" s="85"/>
      <c r="AO304" s="255"/>
    </row>
    <row r="305" spans="2:41" x14ac:dyDescent="0.25">
      <c r="B305" s="321"/>
      <c r="C305" s="17"/>
      <c r="E305" s="117"/>
      <c r="F305" s="4" t="str">
        <f t="shared" si="133"/>
        <v/>
      </c>
      <c r="G305" s="4" t="str">
        <f t="shared" si="134"/>
        <v/>
      </c>
      <c r="H305" s="4" t="str">
        <f t="shared" si="135"/>
        <v/>
      </c>
      <c r="I305" s="4" t="str">
        <f t="shared" si="136"/>
        <v/>
      </c>
      <c r="J305" s="247"/>
      <c r="K305" s="117"/>
      <c r="L305" s="4" t="str">
        <f t="shared" si="137"/>
        <v/>
      </c>
      <c r="M305" s="4" t="str">
        <f t="shared" si="138"/>
        <v/>
      </c>
      <c r="N305" s="4" t="str">
        <f t="shared" si="139"/>
        <v/>
      </c>
      <c r="O305" s="4" t="str">
        <f t="shared" si="140"/>
        <v/>
      </c>
      <c r="P305" s="247"/>
      <c r="Q305" s="117"/>
      <c r="R305" s="4" t="str">
        <f t="shared" si="141"/>
        <v/>
      </c>
      <c r="S305" s="4" t="str">
        <f t="shared" si="142"/>
        <v/>
      </c>
      <c r="T305" s="4" t="str">
        <f t="shared" si="143"/>
        <v/>
      </c>
      <c r="U305" s="4" t="str">
        <f t="shared" si="144"/>
        <v/>
      </c>
      <c r="V305" s="247"/>
      <c r="W305" s="67" t="str">
        <f t="shared" si="145"/>
        <v/>
      </c>
      <c r="X305" s="118"/>
      <c r="Z305" s="67" t="str">
        <f t="shared" si="146"/>
        <v/>
      </c>
      <c r="AA305" s="13">
        <f t="shared" si="147"/>
        <v>0</v>
      </c>
      <c r="AB305" s="17">
        <f t="shared" si="148"/>
        <v>0</v>
      </c>
      <c r="AC305" s="163" t="str">
        <f t="shared" si="149"/>
        <v/>
      </c>
      <c r="AD305" s="119"/>
      <c r="AE305" s="120"/>
      <c r="AF305" s="121"/>
      <c r="AG305" s="122"/>
      <c r="AH305" s="83"/>
      <c r="AI305" s="115"/>
      <c r="AJ305" s="116"/>
      <c r="AK305" s="83"/>
      <c r="AL305" s="85"/>
      <c r="AM305" s="109"/>
      <c r="AO305" s="255"/>
    </row>
    <row r="306" spans="2:41" x14ac:dyDescent="0.25">
      <c r="B306" s="321"/>
      <c r="C306" s="17"/>
      <c r="E306" s="117"/>
      <c r="F306" s="4" t="str">
        <f t="shared" si="133"/>
        <v/>
      </c>
      <c r="G306" s="4" t="str">
        <f t="shared" si="134"/>
        <v/>
      </c>
      <c r="H306" s="4" t="str">
        <f t="shared" si="135"/>
        <v/>
      </c>
      <c r="I306" s="4" t="str">
        <f t="shared" si="136"/>
        <v/>
      </c>
      <c r="J306" s="247"/>
      <c r="K306" s="117"/>
      <c r="L306" s="4" t="str">
        <f t="shared" si="137"/>
        <v/>
      </c>
      <c r="M306" s="4" t="str">
        <f t="shared" si="138"/>
        <v/>
      </c>
      <c r="N306" s="4" t="str">
        <f t="shared" si="139"/>
        <v/>
      </c>
      <c r="O306" s="4" t="str">
        <f t="shared" si="140"/>
        <v/>
      </c>
      <c r="P306" s="247"/>
      <c r="Q306" s="117"/>
      <c r="R306" s="4" t="str">
        <f t="shared" si="141"/>
        <v/>
      </c>
      <c r="S306" s="4" t="str">
        <f t="shared" si="142"/>
        <v/>
      </c>
      <c r="T306" s="4" t="str">
        <f t="shared" si="143"/>
        <v/>
      </c>
      <c r="U306" s="4" t="str">
        <f t="shared" si="144"/>
        <v/>
      </c>
      <c r="V306" s="247"/>
      <c r="W306" s="67" t="str">
        <f t="shared" si="145"/>
        <v/>
      </c>
      <c r="X306" s="118"/>
      <c r="Z306" s="67" t="str">
        <f t="shared" si="146"/>
        <v/>
      </c>
      <c r="AA306" s="13">
        <f t="shared" si="147"/>
        <v>0</v>
      </c>
      <c r="AB306" s="17">
        <f t="shared" si="148"/>
        <v>0</v>
      </c>
      <c r="AC306" s="163" t="str">
        <f t="shared" si="149"/>
        <v/>
      </c>
      <c r="AD306" s="119"/>
      <c r="AE306" s="120"/>
      <c r="AF306" s="121"/>
      <c r="AG306" s="122"/>
      <c r="AH306" s="83"/>
      <c r="AI306" s="115"/>
      <c r="AJ306" s="116"/>
      <c r="AK306" s="83"/>
      <c r="AL306" s="85"/>
      <c r="AM306" s="109"/>
      <c r="AO306" s="255"/>
    </row>
    <row r="307" spans="2:41" x14ac:dyDescent="0.25">
      <c r="B307" s="321"/>
      <c r="C307" s="17"/>
      <c r="E307" s="117"/>
      <c r="F307" s="4" t="str">
        <f t="shared" si="133"/>
        <v/>
      </c>
      <c r="G307" s="4" t="str">
        <f t="shared" si="134"/>
        <v/>
      </c>
      <c r="H307" s="4" t="str">
        <f t="shared" si="135"/>
        <v/>
      </c>
      <c r="I307" s="4" t="str">
        <f t="shared" si="136"/>
        <v/>
      </c>
      <c r="J307" s="247"/>
      <c r="K307" s="117"/>
      <c r="L307" s="4" t="str">
        <f t="shared" si="137"/>
        <v/>
      </c>
      <c r="M307" s="4" t="str">
        <f t="shared" si="138"/>
        <v/>
      </c>
      <c r="N307" s="4" t="str">
        <f t="shared" si="139"/>
        <v/>
      </c>
      <c r="O307" s="4" t="str">
        <f t="shared" si="140"/>
        <v/>
      </c>
      <c r="P307" s="247"/>
      <c r="Q307" s="117"/>
      <c r="R307" s="4" t="str">
        <f t="shared" si="141"/>
        <v/>
      </c>
      <c r="S307" s="4" t="str">
        <f t="shared" si="142"/>
        <v/>
      </c>
      <c r="T307" s="4" t="str">
        <f t="shared" si="143"/>
        <v/>
      </c>
      <c r="U307" s="4" t="str">
        <f t="shared" si="144"/>
        <v/>
      </c>
      <c r="V307" s="247"/>
      <c r="W307" s="67" t="str">
        <f t="shared" si="145"/>
        <v/>
      </c>
      <c r="X307" s="118"/>
      <c r="Z307" s="67" t="str">
        <f t="shared" si="146"/>
        <v/>
      </c>
      <c r="AA307" s="13">
        <f t="shared" si="147"/>
        <v>0</v>
      </c>
      <c r="AB307" s="17">
        <f t="shared" si="148"/>
        <v>0</v>
      </c>
      <c r="AC307" s="163" t="str">
        <f t="shared" si="149"/>
        <v/>
      </c>
      <c r="AD307" s="119"/>
      <c r="AE307" s="120"/>
      <c r="AF307" s="121"/>
      <c r="AG307" s="122"/>
      <c r="AH307" s="83"/>
      <c r="AI307" s="115"/>
      <c r="AJ307" s="116"/>
      <c r="AK307" s="83"/>
      <c r="AL307" s="85"/>
      <c r="AO307" s="255"/>
    </row>
    <row r="308" spans="2:41" x14ac:dyDescent="0.25">
      <c r="B308" s="321"/>
      <c r="C308" s="17"/>
      <c r="E308" s="117"/>
      <c r="F308" s="4" t="str">
        <f t="shared" si="133"/>
        <v/>
      </c>
      <c r="G308" s="4" t="str">
        <f t="shared" si="134"/>
        <v/>
      </c>
      <c r="H308" s="4" t="str">
        <f t="shared" si="135"/>
        <v/>
      </c>
      <c r="I308" s="4" t="str">
        <f t="shared" si="136"/>
        <v/>
      </c>
      <c r="J308" s="247"/>
      <c r="K308" s="117"/>
      <c r="L308" s="4" t="str">
        <f t="shared" si="137"/>
        <v/>
      </c>
      <c r="M308" s="4" t="str">
        <f t="shared" si="138"/>
        <v/>
      </c>
      <c r="N308" s="4" t="str">
        <f t="shared" si="139"/>
        <v/>
      </c>
      <c r="O308" s="4" t="str">
        <f t="shared" si="140"/>
        <v/>
      </c>
      <c r="P308" s="247"/>
      <c r="Q308" s="117"/>
      <c r="R308" s="4" t="str">
        <f t="shared" si="141"/>
        <v/>
      </c>
      <c r="S308" s="4" t="str">
        <f t="shared" si="142"/>
        <v/>
      </c>
      <c r="T308" s="4" t="str">
        <f t="shared" si="143"/>
        <v/>
      </c>
      <c r="U308" s="4" t="str">
        <f t="shared" si="144"/>
        <v/>
      </c>
      <c r="V308" s="247"/>
      <c r="W308" s="67" t="str">
        <f t="shared" si="145"/>
        <v/>
      </c>
      <c r="X308" s="118"/>
      <c r="Z308" s="67" t="str">
        <f t="shared" si="146"/>
        <v/>
      </c>
      <c r="AA308" s="13">
        <f t="shared" si="147"/>
        <v>0</v>
      </c>
      <c r="AB308" s="17">
        <f t="shared" si="148"/>
        <v>0</v>
      </c>
      <c r="AC308" s="163" t="str">
        <f t="shared" si="149"/>
        <v/>
      </c>
      <c r="AD308" s="119"/>
      <c r="AE308" s="120"/>
      <c r="AF308" s="121"/>
      <c r="AG308" s="122"/>
      <c r="AH308" s="83"/>
      <c r="AI308" s="115"/>
      <c r="AJ308" s="116"/>
      <c r="AK308" s="83"/>
      <c r="AL308" s="85"/>
      <c r="AM308" s="254"/>
      <c r="AN308" s="254"/>
      <c r="AO308" s="255"/>
    </row>
    <row r="309" spans="2:41" x14ac:dyDescent="0.25">
      <c r="B309" s="321"/>
      <c r="C309" s="17"/>
      <c r="E309" s="117"/>
      <c r="F309" s="4" t="str">
        <f t="shared" si="133"/>
        <v/>
      </c>
      <c r="G309" s="4" t="str">
        <f t="shared" si="134"/>
        <v/>
      </c>
      <c r="H309" s="4" t="str">
        <f t="shared" si="135"/>
        <v/>
      </c>
      <c r="I309" s="4" t="str">
        <f t="shared" si="136"/>
        <v/>
      </c>
      <c r="J309" s="247"/>
      <c r="K309" s="117"/>
      <c r="L309" s="4" t="str">
        <f t="shared" si="137"/>
        <v/>
      </c>
      <c r="M309" s="4" t="str">
        <f t="shared" si="138"/>
        <v/>
      </c>
      <c r="N309" s="4" t="str">
        <f t="shared" si="139"/>
        <v/>
      </c>
      <c r="O309" s="4" t="str">
        <f t="shared" si="140"/>
        <v/>
      </c>
      <c r="P309" s="247"/>
      <c r="Q309" s="117"/>
      <c r="R309" s="4" t="str">
        <f t="shared" si="141"/>
        <v/>
      </c>
      <c r="S309" s="4" t="str">
        <f t="shared" si="142"/>
        <v/>
      </c>
      <c r="T309" s="4" t="str">
        <f t="shared" si="143"/>
        <v/>
      </c>
      <c r="U309" s="4" t="str">
        <f t="shared" si="144"/>
        <v/>
      </c>
      <c r="V309" s="247"/>
      <c r="W309" s="67" t="str">
        <f t="shared" si="145"/>
        <v/>
      </c>
      <c r="X309" s="118"/>
      <c r="Z309" s="67" t="str">
        <f t="shared" si="146"/>
        <v/>
      </c>
      <c r="AA309" s="13">
        <f t="shared" si="147"/>
        <v>0</v>
      </c>
      <c r="AB309" s="17">
        <f t="shared" si="148"/>
        <v>0</v>
      </c>
      <c r="AC309" s="163" t="str">
        <f t="shared" si="149"/>
        <v/>
      </c>
      <c r="AD309" s="119"/>
      <c r="AE309" s="120"/>
      <c r="AF309" s="121"/>
      <c r="AG309" s="122"/>
      <c r="AH309" s="83"/>
      <c r="AI309" s="115"/>
      <c r="AJ309" s="116"/>
      <c r="AK309" s="83"/>
      <c r="AL309" s="85"/>
      <c r="AM309" s="254"/>
      <c r="AN309" s="254"/>
      <c r="AO309" s="255"/>
    </row>
    <row r="310" spans="2:41" x14ac:dyDescent="0.25">
      <c r="B310" s="321"/>
      <c r="C310" s="17"/>
      <c r="E310" s="117"/>
      <c r="F310" s="4" t="str">
        <f t="shared" si="133"/>
        <v/>
      </c>
      <c r="G310" s="4" t="str">
        <f t="shared" si="134"/>
        <v/>
      </c>
      <c r="H310" s="4" t="str">
        <f t="shared" si="135"/>
        <v/>
      </c>
      <c r="I310" s="4" t="str">
        <f t="shared" si="136"/>
        <v/>
      </c>
      <c r="J310" s="247"/>
      <c r="K310" s="117"/>
      <c r="L310" s="4" t="str">
        <f t="shared" si="137"/>
        <v/>
      </c>
      <c r="M310" s="4" t="str">
        <f t="shared" si="138"/>
        <v/>
      </c>
      <c r="N310" s="4" t="str">
        <f t="shared" si="139"/>
        <v/>
      </c>
      <c r="O310" s="4" t="str">
        <f t="shared" si="140"/>
        <v/>
      </c>
      <c r="P310" s="247"/>
      <c r="Q310" s="117"/>
      <c r="R310" s="4" t="str">
        <f t="shared" si="141"/>
        <v/>
      </c>
      <c r="S310" s="4" t="str">
        <f t="shared" si="142"/>
        <v/>
      </c>
      <c r="T310" s="4" t="str">
        <f t="shared" si="143"/>
        <v/>
      </c>
      <c r="U310" s="4" t="str">
        <f t="shared" si="144"/>
        <v/>
      </c>
      <c r="V310" s="247"/>
      <c r="W310" s="67" t="str">
        <f t="shared" si="145"/>
        <v/>
      </c>
      <c r="X310" s="118"/>
      <c r="Z310" s="67" t="str">
        <f t="shared" si="146"/>
        <v/>
      </c>
      <c r="AA310" s="13">
        <f t="shared" si="147"/>
        <v>0</v>
      </c>
      <c r="AB310" s="17">
        <f t="shared" si="148"/>
        <v>0</v>
      </c>
      <c r="AC310" s="163" t="str">
        <f t="shared" si="149"/>
        <v/>
      </c>
      <c r="AD310" s="119"/>
      <c r="AE310" s="120"/>
      <c r="AF310" s="121"/>
      <c r="AG310" s="122"/>
      <c r="AH310" s="83"/>
      <c r="AI310" s="115"/>
      <c r="AJ310" s="116"/>
      <c r="AK310" s="83"/>
      <c r="AL310" s="85"/>
      <c r="AM310" s="254"/>
      <c r="AN310" s="254"/>
      <c r="AO310" s="255"/>
    </row>
    <row r="311" spans="2:41" x14ac:dyDescent="0.25">
      <c r="B311" s="321"/>
      <c r="C311" s="17"/>
      <c r="E311" s="117"/>
      <c r="F311" s="4" t="str">
        <f t="shared" si="133"/>
        <v/>
      </c>
      <c r="G311" s="4" t="str">
        <f t="shared" si="134"/>
        <v/>
      </c>
      <c r="H311" s="4" t="str">
        <f t="shared" si="135"/>
        <v/>
      </c>
      <c r="I311" s="4" t="str">
        <f t="shared" si="136"/>
        <v/>
      </c>
      <c r="J311" s="247"/>
      <c r="K311" s="117"/>
      <c r="L311" s="4" t="str">
        <f t="shared" si="137"/>
        <v/>
      </c>
      <c r="M311" s="4" t="str">
        <f t="shared" si="138"/>
        <v/>
      </c>
      <c r="N311" s="4" t="str">
        <f t="shared" si="139"/>
        <v/>
      </c>
      <c r="O311" s="4" t="str">
        <f t="shared" si="140"/>
        <v/>
      </c>
      <c r="P311" s="247"/>
      <c r="Q311" s="117"/>
      <c r="R311" s="4" t="str">
        <f t="shared" si="141"/>
        <v/>
      </c>
      <c r="S311" s="4" t="str">
        <f t="shared" si="142"/>
        <v/>
      </c>
      <c r="T311" s="4" t="str">
        <f t="shared" si="143"/>
        <v/>
      </c>
      <c r="U311" s="4" t="str">
        <f t="shared" si="144"/>
        <v/>
      </c>
      <c r="V311" s="247"/>
      <c r="W311" s="67" t="str">
        <f t="shared" si="145"/>
        <v/>
      </c>
      <c r="X311" s="118"/>
      <c r="Z311" s="67" t="str">
        <f t="shared" si="146"/>
        <v/>
      </c>
      <c r="AA311" s="13">
        <f t="shared" si="147"/>
        <v>0</v>
      </c>
      <c r="AB311" s="17">
        <f t="shared" si="148"/>
        <v>0</v>
      </c>
      <c r="AC311" s="163" t="str">
        <f t="shared" si="149"/>
        <v/>
      </c>
      <c r="AD311" s="119"/>
      <c r="AE311" s="120"/>
      <c r="AF311" s="121"/>
      <c r="AG311" s="122"/>
      <c r="AH311" s="83"/>
      <c r="AI311" s="115"/>
      <c r="AJ311" s="116"/>
      <c r="AK311" s="83"/>
      <c r="AL311" s="85"/>
      <c r="AM311" s="254"/>
      <c r="AN311" s="254"/>
      <c r="AO311" s="255"/>
    </row>
    <row r="312" spans="2:41" x14ac:dyDescent="0.25">
      <c r="B312" s="321"/>
      <c r="C312" s="17"/>
      <c r="E312" s="117"/>
      <c r="F312" s="4" t="str">
        <f t="shared" si="133"/>
        <v/>
      </c>
      <c r="G312" s="4" t="str">
        <f t="shared" si="134"/>
        <v/>
      </c>
      <c r="H312" s="4" t="str">
        <f t="shared" si="135"/>
        <v/>
      </c>
      <c r="I312" s="4" t="str">
        <f t="shared" si="136"/>
        <v/>
      </c>
      <c r="J312" s="247"/>
      <c r="K312" s="117"/>
      <c r="L312" s="4" t="str">
        <f t="shared" si="137"/>
        <v/>
      </c>
      <c r="M312" s="4" t="str">
        <f t="shared" si="138"/>
        <v/>
      </c>
      <c r="N312" s="4" t="str">
        <f t="shared" si="139"/>
        <v/>
      </c>
      <c r="O312" s="4" t="str">
        <f t="shared" si="140"/>
        <v/>
      </c>
      <c r="P312" s="247"/>
      <c r="Q312" s="117"/>
      <c r="R312" s="4" t="str">
        <f t="shared" si="141"/>
        <v/>
      </c>
      <c r="S312" s="4" t="str">
        <f t="shared" si="142"/>
        <v/>
      </c>
      <c r="T312" s="4" t="str">
        <f t="shared" si="143"/>
        <v/>
      </c>
      <c r="U312" s="4" t="str">
        <f t="shared" si="144"/>
        <v/>
      </c>
      <c r="V312" s="247"/>
      <c r="W312" s="67" t="str">
        <f t="shared" si="145"/>
        <v/>
      </c>
      <c r="X312" s="118"/>
      <c r="Z312" s="67" t="str">
        <f t="shared" si="146"/>
        <v/>
      </c>
      <c r="AA312" s="13">
        <f t="shared" si="147"/>
        <v>0</v>
      </c>
      <c r="AB312" s="17">
        <f t="shared" si="148"/>
        <v>0</v>
      </c>
      <c r="AC312" s="163" t="str">
        <f t="shared" si="149"/>
        <v/>
      </c>
      <c r="AD312" s="119"/>
      <c r="AE312" s="21"/>
      <c r="AF312" s="121"/>
      <c r="AG312" s="122"/>
      <c r="AH312" s="83"/>
      <c r="AI312" s="115"/>
      <c r="AJ312" s="116"/>
      <c r="AK312" s="83"/>
      <c r="AL312" s="85"/>
      <c r="AM312" s="254"/>
      <c r="AN312" s="254"/>
      <c r="AO312" s="255"/>
    </row>
    <row r="313" spans="2:41" x14ac:dyDescent="0.25">
      <c r="B313" s="321"/>
      <c r="C313" s="17"/>
      <c r="E313" s="117"/>
      <c r="F313" s="4" t="str">
        <f t="shared" si="133"/>
        <v/>
      </c>
      <c r="G313" s="4" t="str">
        <f t="shared" si="134"/>
        <v/>
      </c>
      <c r="H313" s="4" t="str">
        <f t="shared" si="135"/>
        <v/>
      </c>
      <c r="I313" s="4" t="str">
        <f t="shared" si="136"/>
        <v/>
      </c>
      <c r="J313" s="247"/>
      <c r="K313" s="117"/>
      <c r="L313" s="4" t="str">
        <f t="shared" si="137"/>
        <v/>
      </c>
      <c r="M313" s="4" t="str">
        <f t="shared" si="138"/>
        <v/>
      </c>
      <c r="N313" s="4" t="str">
        <f t="shared" si="139"/>
        <v/>
      </c>
      <c r="O313" s="4" t="str">
        <f t="shared" si="140"/>
        <v/>
      </c>
      <c r="P313" s="247"/>
      <c r="Q313" s="117"/>
      <c r="R313" s="4" t="str">
        <f t="shared" si="141"/>
        <v/>
      </c>
      <c r="S313" s="4" t="str">
        <f t="shared" si="142"/>
        <v/>
      </c>
      <c r="T313" s="4" t="str">
        <f t="shared" si="143"/>
        <v/>
      </c>
      <c r="U313" s="4" t="str">
        <f t="shared" si="144"/>
        <v/>
      </c>
      <c r="V313" s="247"/>
      <c r="W313" s="67" t="str">
        <f t="shared" si="145"/>
        <v/>
      </c>
      <c r="X313" s="118"/>
      <c r="Z313" s="67" t="str">
        <f t="shared" si="146"/>
        <v/>
      </c>
      <c r="AA313" s="13">
        <f t="shared" si="147"/>
        <v>0</v>
      </c>
      <c r="AB313" s="17">
        <f t="shared" si="148"/>
        <v>0</v>
      </c>
      <c r="AC313" s="163" t="str">
        <f t="shared" si="149"/>
        <v/>
      </c>
      <c r="AD313" s="119"/>
      <c r="AE313" s="21"/>
      <c r="AF313" s="121"/>
      <c r="AG313" s="122"/>
      <c r="AH313" s="83"/>
      <c r="AI313" s="115"/>
      <c r="AJ313" s="116"/>
      <c r="AK313" s="83"/>
      <c r="AL313" s="85"/>
      <c r="AM313" s="254"/>
      <c r="AN313" s="254"/>
      <c r="AO313" s="255"/>
    </row>
    <row r="314" spans="2:41" x14ac:dyDescent="0.25">
      <c r="B314" s="321"/>
      <c r="C314" s="17"/>
      <c r="E314" s="117"/>
      <c r="F314" s="4" t="str">
        <f t="shared" si="133"/>
        <v/>
      </c>
      <c r="G314" s="4" t="str">
        <f t="shared" si="134"/>
        <v/>
      </c>
      <c r="H314" s="4" t="str">
        <f t="shared" si="135"/>
        <v/>
      </c>
      <c r="I314" s="4" t="str">
        <f t="shared" si="136"/>
        <v/>
      </c>
      <c r="J314" s="247"/>
      <c r="K314" s="117"/>
      <c r="L314" s="4" t="str">
        <f t="shared" si="137"/>
        <v/>
      </c>
      <c r="M314" s="4" t="str">
        <f t="shared" si="138"/>
        <v/>
      </c>
      <c r="N314" s="4" t="str">
        <f t="shared" si="139"/>
        <v/>
      </c>
      <c r="O314" s="4" t="str">
        <f t="shared" si="140"/>
        <v/>
      </c>
      <c r="P314" s="247"/>
      <c r="Q314" s="117"/>
      <c r="R314" s="4" t="str">
        <f t="shared" si="141"/>
        <v/>
      </c>
      <c r="S314" s="4" t="str">
        <f t="shared" si="142"/>
        <v/>
      </c>
      <c r="T314" s="4" t="str">
        <f t="shared" si="143"/>
        <v/>
      </c>
      <c r="U314" s="4" t="str">
        <f t="shared" si="144"/>
        <v/>
      </c>
      <c r="V314" s="247"/>
      <c r="W314" s="67" t="str">
        <f t="shared" si="145"/>
        <v/>
      </c>
      <c r="X314" s="118"/>
      <c r="Z314" s="67" t="str">
        <f t="shared" si="146"/>
        <v/>
      </c>
      <c r="AA314" s="13">
        <f t="shared" si="147"/>
        <v>0</v>
      </c>
      <c r="AB314" s="17">
        <f t="shared" si="148"/>
        <v>0</v>
      </c>
      <c r="AC314" s="163" t="str">
        <f t="shared" si="149"/>
        <v/>
      </c>
      <c r="AD314" s="119"/>
      <c r="AE314" s="21"/>
      <c r="AF314" s="121"/>
      <c r="AG314" s="122"/>
      <c r="AH314" s="83"/>
      <c r="AI314" s="115"/>
      <c r="AJ314" s="116"/>
      <c r="AK314" s="83"/>
      <c r="AL314" s="85"/>
      <c r="AM314" s="254"/>
      <c r="AN314" s="254"/>
      <c r="AO314" s="255"/>
    </row>
    <row r="315" spans="2:41" x14ac:dyDescent="0.25">
      <c r="B315" s="321"/>
      <c r="C315" s="17"/>
      <c r="E315" s="117"/>
      <c r="F315" s="4" t="str">
        <f t="shared" si="133"/>
        <v/>
      </c>
      <c r="G315" s="4" t="str">
        <f t="shared" si="134"/>
        <v/>
      </c>
      <c r="H315" s="4" t="str">
        <f t="shared" si="135"/>
        <v/>
      </c>
      <c r="I315" s="4" t="str">
        <f t="shared" si="136"/>
        <v/>
      </c>
      <c r="J315" s="247"/>
      <c r="K315" s="117"/>
      <c r="L315" s="4" t="str">
        <f t="shared" si="137"/>
        <v/>
      </c>
      <c r="M315" s="4" t="str">
        <f t="shared" si="138"/>
        <v/>
      </c>
      <c r="N315" s="4" t="str">
        <f t="shared" si="139"/>
        <v/>
      </c>
      <c r="O315" s="4" t="str">
        <f t="shared" si="140"/>
        <v/>
      </c>
      <c r="P315" s="247"/>
      <c r="Q315" s="117"/>
      <c r="R315" s="4" t="str">
        <f t="shared" si="141"/>
        <v/>
      </c>
      <c r="S315" s="4" t="str">
        <f t="shared" si="142"/>
        <v/>
      </c>
      <c r="T315" s="4" t="str">
        <f t="shared" si="143"/>
        <v/>
      </c>
      <c r="U315" s="4" t="str">
        <f t="shared" si="144"/>
        <v/>
      </c>
      <c r="V315" s="247"/>
      <c r="W315" s="67" t="str">
        <f t="shared" si="145"/>
        <v/>
      </c>
      <c r="X315" s="118"/>
      <c r="Z315" s="67" t="str">
        <f t="shared" si="146"/>
        <v/>
      </c>
      <c r="AA315" s="13">
        <f t="shared" si="147"/>
        <v>0</v>
      </c>
      <c r="AB315" s="17">
        <f t="shared" si="148"/>
        <v>0</v>
      </c>
      <c r="AC315" s="163" t="str">
        <f t="shared" si="149"/>
        <v/>
      </c>
      <c r="AD315" s="119"/>
      <c r="AE315" s="21"/>
      <c r="AF315" s="121"/>
      <c r="AG315" s="122"/>
      <c r="AH315" s="83"/>
      <c r="AI315" s="115"/>
      <c r="AJ315" s="116"/>
      <c r="AK315" s="83"/>
      <c r="AL315" s="85"/>
      <c r="AM315" s="254"/>
      <c r="AN315" s="254"/>
      <c r="AO315" s="255"/>
    </row>
    <row r="316" spans="2:41" x14ac:dyDescent="0.25">
      <c r="B316" s="321"/>
      <c r="C316" s="17"/>
      <c r="E316" s="117"/>
      <c r="F316" s="4" t="str">
        <f t="shared" ref="F316:F379" si="150">IFERROR(IF(VLOOKUP($E316,Inward,2,FALSE)&gt;0,VLOOKUP($E316,Inward,2,FALSE),""),"")</f>
        <v/>
      </c>
      <c r="G316" s="4" t="str">
        <f t="shared" ref="G316:G379" si="151">IFERROR(IF(VLOOKUP($E316,Inward,7,FALSE)&gt;0,VLOOKUP($E316,Inward,7,FALSE),""),"")</f>
        <v/>
      </c>
      <c r="H316" s="4" t="str">
        <f t="shared" ref="H316:H379" si="152">IFERROR(IF(VLOOKUP($E316,Inward,8,FALSE)&gt;0,VLOOKUP($E316,Inward,8,FALSE),""),"")</f>
        <v/>
      </c>
      <c r="I316" s="4" t="str">
        <f t="shared" ref="I316:I379" si="153">IFERROR(IF(VLOOKUP($E316,Inward,11,FALSE)&gt;0,VLOOKUP($E316,Inward,11,FALSE),""),"")</f>
        <v/>
      </c>
      <c r="J316" s="247"/>
      <c r="K316" s="117"/>
      <c r="L316" s="4" t="str">
        <f t="shared" ref="L316:L379" si="154">IFERROR(IF(VLOOKUP($K316,Inward,2,FALSE)&gt;0,VLOOKUP($K316,Inward,2,FALSE),""),"")</f>
        <v/>
      </c>
      <c r="M316" s="4" t="str">
        <f t="shared" ref="M316:M379" si="155">IFERROR(IF(VLOOKUP($K316,Inward,7,FALSE)&gt;0,VLOOKUP($K316,Inward,7,FALSE),""),"")</f>
        <v/>
      </c>
      <c r="N316" s="4" t="str">
        <f t="shared" ref="N316:N379" si="156">IFERROR(IF(VLOOKUP($K316,Inward,8,FALSE)&gt;0,VLOOKUP($K316,Inward,8,FALSE),""),"")</f>
        <v/>
      </c>
      <c r="O316" s="4" t="str">
        <f t="shared" ref="O316:O379" si="157">IFERROR(IF(VLOOKUP($K316,Inward,11,FALSE)&gt;0,VLOOKUP($K316,Inward,11,FALSE),""),"")</f>
        <v/>
      </c>
      <c r="P316" s="247"/>
      <c r="Q316" s="117"/>
      <c r="R316" s="4" t="str">
        <f t="shared" ref="R316:R379" si="158">IFERROR(IF(VLOOKUP($Q316,Inward,2,FALSE)&gt;0,VLOOKUP($Q316,Inward,2,FALSE),""),"")</f>
        <v/>
      </c>
      <c r="S316" s="4" t="str">
        <f t="shared" ref="S316:S379" si="159">IFERROR(IF(VLOOKUP($Q316,Inward,7,FALSE)&gt;0,VLOOKUP($Q316,Inward,7,FALSE),""),"")</f>
        <v/>
      </c>
      <c r="T316" s="4" t="str">
        <f t="shared" ref="T316:T379" si="160">IFERROR(IF(VLOOKUP($Q316,Inward,8,FALSE)&gt;0,VLOOKUP($Q316,Inward,8,FALSE),""),"")</f>
        <v/>
      </c>
      <c r="U316" s="4" t="str">
        <f t="shared" ref="U316:U379" si="161">IFERROR(IF(VLOOKUP($Q316,Inward,11,FALSE)&gt;0,VLOOKUP($Q316,Inward,11,FALSE),""),"")</f>
        <v/>
      </c>
      <c r="V316" s="247"/>
      <c r="W316" s="67" t="str">
        <f t="shared" ref="W316:W379" si="162">IF(SUM(I316,O316,U316)&gt;0,(SUM(I316,O316,U316)),"")</f>
        <v/>
      </c>
      <c r="X316" s="118"/>
      <c r="Z316" s="67" t="str">
        <f t="shared" ref="Z316:Z379" si="163">IF(SUM(W316,Y316)&gt;0,(SUM(W316,Y316)),"")</f>
        <v/>
      </c>
      <c r="AA316" s="13">
        <f t="shared" ref="AA316:AA379" si="164">B316</f>
        <v>0</v>
      </c>
      <c r="AB316" s="17">
        <f t="shared" ref="AB316:AB379" si="165">C316</f>
        <v>0</v>
      </c>
      <c r="AC316" s="163" t="str">
        <f t="shared" ref="AC316:AC379" si="166">F316</f>
        <v/>
      </c>
      <c r="AD316" s="119"/>
      <c r="AE316" s="21"/>
      <c r="AF316" s="121"/>
      <c r="AG316" s="122"/>
      <c r="AH316" s="83"/>
      <c r="AI316" s="115"/>
      <c r="AJ316" s="116"/>
      <c r="AK316" s="83"/>
      <c r="AL316" s="85"/>
      <c r="AM316" s="254"/>
      <c r="AN316" s="254"/>
      <c r="AO316" s="255"/>
    </row>
    <row r="317" spans="2:41" x14ac:dyDescent="0.25">
      <c r="B317" s="321"/>
      <c r="C317" s="17"/>
      <c r="E317" s="117"/>
      <c r="F317" s="4" t="str">
        <f t="shared" si="150"/>
        <v/>
      </c>
      <c r="G317" s="4" t="str">
        <f t="shared" si="151"/>
        <v/>
      </c>
      <c r="H317" s="4" t="str">
        <f t="shared" si="152"/>
        <v/>
      </c>
      <c r="I317" s="4" t="str">
        <f t="shared" si="153"/>
        <v/>
      </c>
      <c r="J317" s="247"/>
      <c r="K317" s="117"/>
      <c r="L317" s="4" t="str">
        <f t="shared" si="154"/>
        <v/>
      </c>
      <c r="M317" s="4" t="str">
        <f t="shared" si="155"/>
        <v/>
      </c>
      <c r="N317" s="4" t="str">
        <f t="shared" si="156"/>
        <v/>
      </c>
      <c r="O317" s="4" t="str">
        <f t="shared" si="157"/>
        <v/>
      </c>
      <c r="P317" s="247"/>
      <c r="Q317" s="117"/>
      <c r="R317" s="4" t="str">
        <f t="shared" si="158"/>
        <v/>
      </c>
      <c r="S317" s="4" t="str">
        <f t="shared" si="159"/>
        <v/>
      </c>
      <c r="T317" s="4" t="str">
        <f t="shared" si="160"/>
        <v/>
      </c>
      <c r="U317" s="4" t="str">
        <f t="shared" si="161"/>
        <v/>
      </c>
      <c r="V317" s="247"/>
      <c r="W317" s="67" t="str">
        <f t="shared" si="162"/>
        <v/>
      </c>
      <c r="X317" s="118"/>
      <c r="Z317" s="67" t="str">
        <f t="shared" si="163"/>
        <v/>
      </c>
      <c r="AA317" s="13">
        <f t="shared" si="164"/>
        <v>0</v>
      </c>
      <c r="AB317" s="17">
        <f t="shared" si="165"/>
        <v>0</v>
      </c>
      <c r="AC317" s="163" t="str">
        <f t="shared" si="166"/>
        <v/>
      </c>
      <c r="AD317" s="119"/>
      <c r="AE317" s="21"/>
      <c r="AF317" s="121"/>
      <c r="AG317" s="122"/>
      <c r="AH317" s="83"/>
      <c r="AI317" s="115"/>
      <c r="AJ317" s="116"/>
      <c r="AK317" s="83"/>
      <c r="AL317" s="85"/>
      <c r="AM317" s="254"/>
      <c r="AN317" s="254"/>
      <c r="AO317" s="255"/>
    </row>
    <row r="318" spans="2:41" x14ac:dyDescent="0.25">
      <c r="B318" s="321"/>
      <c r="C318" s="17"/>
      <c r="E318" s="117"/>
      <c r="F318" s="4" t="str">
        <f t="shared" si="150"/>
        <v/>
      </c>
      <c r="G318" s="4" t="str">
        <f t="shared" si="151"/>
        <v/>
      </c>
      <c r="H318" s="4" t="str">
        <f t="shared" si="152"/>
        <v/>
      </c>
      <c r="I318" s="4" t="str">
        <f t="shared" si="153"/>
        <v/>
      </c>
      <c r="J318" s="247"/>
      <c r="K318" s="117"/>
      <c r="L318" s="4" t="str">
        <f t="shared" si="154"/>
        <v/>
      </c>
      <c r="M318" s="4" t="str">
        <f t="shared" si="155"/>
        <v/>
      </c>
      <c r="N318" s="4" t="str">
        <f t="shared" si="156"/>
        <v/>
      </c>
      <c r="O318" s="4" t="str">
        <f t="shared" si="157"/>
        <v/>
      </c>
      <c r="P318" s="247"/>
      <c r="Q318" s="117"/>
      <c r="R318" s="4" t="str">
        <f t="shared" si="158"/>
        <v/>
      </c>
      <c r="S318" s="4" t="str">
        <f t="shared" si="159"/>
        <v/>
      </c>
      <c r="T318" s="4" t="str">
        <f t="shared" si="160"/>
        <v/>
      </c>
      <c r="U318" s="4" t="str">
        <f t="shared" si="161"/>
        <v/>
      </c>
      <c r="V318" s="247"/>
      <c r="W318" s="67" t="str">
        <f t="shared" si="162"/>
        <v/>
      </c>
      <c r="X318" s="118"/>
      <c r="Z318" s="67" t="str">
        <f t="shared" si="163"/>
        <v/>
      </c>
      <c r="AA318" s="13">
        <f t="shared" si="164"/>
        <v>0</v>
      </c>
      <c r="AB318" s="17">
        <f t="shared" si="165"/>
        <v>0</v>
      </c>
      <c r="AC318" s="163" t="str">
        <f t="shared" si="166"/>
        <v/>
      </c>
      <c r="AD318" s="119"/>
      <c r="AE318" s="21"/>
      <c r="AF318" s="121"/>
      <c r="AG318" s="122"/>
      <c r="AH318" s="83"/>
      <c r="AI318" s="115"/>
      <c r="AJ318" s="116"/>
      <c r="AK318" s="83"/>
      <c r="AL318" s="85"/>
      <c r="AM318" s="254"/>
      <c r="AN318" s="254"/>
      <c r="AO318" s="255"/>
    </row>
    <row r="319" spans="2:41" x14ac:dyDescent="0.25">
      <c r="B319" s="321"/>
      <c r="C319" s="17"/>
      <c r="E319" s="117"/>
      <c r="F319" s="4" t="str">
        <f t="shared" si="150"/>
        <v/>
      </c>
      <c r="G319" s="4" t="str">
        <f t="shared" si="151"/>
        <v/>
      </c>
      <c r="H319" s="4" t="str">
        <f t="shared" si="152"/>
        <v/>
      </c>
      <c r="I319" s="4" t="str">
        <f t="shared" si="153"/>
        <v/>
      </c>
      <c r="J319" s="247"/>
      <c r="K319" s="117"/>
      <c r="L319" s="4" t="str">
        <f t="shared" si="154"/>
        <v/>
      </c>
      <c r="M319" s="4" t="str">
        <f t="shared" si="155"/>
        <v/>
      </c>
      <c r="N319" s="4" t="str">
        <f t="shared" si="156"/>
        <v/>
      </c>
      <c r="O319" s="4" t="str">
        <f t="shared" si="157"/>
        <v/>
      </c>
      <c r="P319" s="247"/>
      <c r="Q319" s="117"/>
      <c r="R319" s="4" t="str">
        <f t="shared" si="158"/>
        <v/>
      </c>
      <c r="S319" s="4" t="str">
        <f t="shared" si="159"/>
        <v/>
      </c>
      <c r="T319" s="4" t="str">
        <f t="shared" si="160"/>
        <v/>
      </c>
      <c r="U319" s="4" t="str">
        <f t="shared" si="161"/>
        <v/>
      </c>
      <c r="V319" s="247"/>
      <c r="W319" s="67" t="str">
        <f t="shared" si="162"/>
        <v/>
      </c>
      <c r="X319" s="118"/>
      <c r="Z319" s="67" t="str">
        <f t="shared" si="163"/>
        <v/>
      </c>
      <c r="AA319" s="13">
        <f t="shared" si="164"/>
        <v>0</v>
      </c>
      <c r="AB319" s="17">
        <f t="shared" si="165"/>
        <v>0</v>
      </c>
      <c r="AC319" s="163" t="str">
        <f t="shared" si="166"/>
        <v/>
      </c>
      <c r="AD319" s="119"/>
      <c r="AE319" s="21"/>
      <c r="AF319" s="121"/>
      <c r="AG319" s="122"/>
      <c r="AH319" s="83"/>
      <c r="AI319" s="115"/>
      <c r="AJ319" s="116"/>
      <c r="AK319" s="83"/>
      <c r="AL319" s="85"/>
      <c r="AM319" s="254"/>
      <c r="AN319" s="254"/>
      <c r="AO319" s="255"/>
    </row>
    <row r="320" spans="2:41" x14ac:dyDescent="0.25">
      <c r="B320" s="321"/>
      <c r="C320" s="17"/>
      <c r="E320" s="117"/>
      <c r="F320" s="4" t="str">
        <f t="shared" si="150"/>
        <v/>
      </c>
      <c r="G320" s="4" t="str">
        <f t="shared" si="151"/>
        <v/>
      </c>
      <c r="H320" s="4" t="str">
        <f t="shared" si="152"/>
        <v/>
      </c>
      <c r="I320" s="4" t="str">
        <f t="shared" si="153"/>
        <v/>
      </c>
      <c r="J320" s="247"/>
      <c r="K320" s="117"/>
      <c r="L320" s="4" t="str">
        <f t="shared" si="154"/>
        <v/>
      </c>
      <c r="M320" s="4" t="str">
        <f t="shared" si="155"/>
        <v/>
      </c>
      <c r="N320" s="4" t="str">
        <f t="shared" si="156"/>
        <v/>
      </c>
      <c r="O320" s="4" t="str">
        <f t="shared" si="157"/>
        <v/>
      </c>
      <c r="P320" s="247"/>
      <c r="Q320" s="117"/>
      <c r="R320" s="4" t="str">
        <f t="shared" si="158"/>
        <v/>
      </c>
      <c r="S320" s="4" t="str">
        <f t="shared" si="159"/>
        <v/>
      </c>
      <c r="T320" s="4" t="str">
        <f t="shared" si="160"/>
        <v/>
      </c>
      <c r="U320" s="4" t="str">
        <f t="shared" si="161"/>
        <v/>
      </c>
      <c r="V320" s="247"/>
      <c r="W320" s="67" t="str">
        <f t="shared" si="162"/>
        <v/>
      </c>
      <c r="X320" s="118"/>
      <c r="Z320" s="67" t="str">
        <f t="shared" si="163"/>
        <v/>
      </c>
      <c r="AA320" s="13">
        <f t="shared" si="164"/>
        <v>0</v>
      </c>
      <c r="AB320" s="17">
        <f t="shared" si="165"/>
        <v>0</v>
      </c>
      <c r="AC320" s="163" t="str">
        <f t="shared" si="166"/>
        <v/>
      </c>
      <c r="AD320" s="119"/>
      <c r="AE320" s="21"/>
      <c r="AF320" s="121"/>
      <c r="AG320" s="122"/>
      <c r="AH320" s="83"/>
      <c r="AI320" s="115"/>
      <c r="AJ320" s="116"/>
      <c r="AK320" s="83"/>
      <c r="AL320" s="85"/>
      <c r="AM320" s="254"/>
      <c r="AN320" s="254"/>
      <c r="AO320" s="255"/>
    </row>
    <row r="321" spans="2:41" x14ac:dyDescent="0.25">
      <c r="B321" s="321"/>
      <c r="C321" s="17"/>
      <c r="E321" s="117"/>
      <c r="F321" s="4" t="str">
        <f t="shared" si="150"/>
        <v/>
      </c>
      <c r="G321" s="4" t="str">
        <f t="shared" si="151"/>
        <v/>
      </c>
      <c r="H321" s="4" t="str">
        <f t="shared" si="152"/>
        <v/>
      </c>
      <c r="I321" s="4" t="str">
        <f t="shared" si="153"/>
        <v/>
      </c>
      <c r="J321" s="247"/>
      <c r="K321" s="117"/>
      <c r="L321" s="4" t="str">
        <f t="shared" si="154"/>
        <v/>
      </c>
      <c r="M321" s="4" t="str">
        <f t="shared" si="155"/>
        <v/>
      </c>
      <c r="N321" s="4" t="str">
        <f t="shared" si="156"/>
        <v/>
      </c>
      <c r="O321" s="4" t="str">
        <f t="shared" si="157"/>
        <v/>
      </c>
      <c r="P321" s="247"/>
      <c r="Q321" s="117"/>
      <c r="R321" s="4" t="str">
        <f t="shared" si="158"/>
        <v/>
      </c>
      <c r="S321" s="4" t="str">
        <f t="shared" si="159"/>
        <v/>
      </c>
      <c r="T321" s="4" t="str">
        <f t="shared" si="160"/>
        <v/>
      </c>
      <c r="U321" s="4" t="str">
        <f t="shared" si="161"/>
        <v/>
      </c>
      <c r="V321" s="247"/>
      <c r="W321" s="67" t="str">
        <f t="shared" si="162"/>
        <v/>
      </c>
      <c r="X321" s="118"/>
      <c r="Z321" s="67" t="str">
        <f t="shared" si="163"/>
        <v/>
      </c>
      <c r="AA321" s="13">
        <f t="shared" si="164"/>
        <v>0</v>
      </c>
      <c r="AB321" s="17">
        <f t="shared" si="165"/>
        <v>0</v>
      </c>
      <c r="AC321" s="163" t="str">
        <f t="shared" si="166"/>
        <v/>
      </c>
      <c r="AD321" s="119"/>
      <c r="AE321" s="21"/>
      <c r="AF321" s="121"/>
      <c r="AG321" s="122"/>
      <c r="AH321" s="83"/>
      <c r="AI321" s="115"/>
      <c r="AJ321" s="116"/>
      <c r="AK321" s="83"/>
      <c r="AL321" s="85"/>
      <c r="AM321" s="254"/>
      <c r="AN321" s="254"/>
      <c r="AO321" s="255"/>
    </row>
    <row r="322" spans="2:41" x14ac:dyDescent="0.25">
      <c r="B322" s="321"/>
      <c r="C322" s="17"/>
      <c r="E322" s="117"/>
      <c r="F322" s="4" t="str">
        <f t="shared" si="150"/>
        <v/>
      </c>
      <c r="G322" s="4" t="str">
        <f t="shared" si="151"/>
        <v/>
      </c>
      <c r="H322" s="4" t="str">
        <f t="shared" si="152"/>
        <v/>
      </c>
      <c r="I322" s="4" t="str">
        <f t="shared" si="153"/>
        <v/>
      </c>
      <c r="J322" s="247"/>
      <c r="K322" s="117"/>
      <c r="L322" s="4" t="str">
        <f t="shared" si="154"/>
        <v/>
      </c>
      <c r="M322" s="4" t="str">
        <f t="shared" si="155"/>
        <v/>
      </c>
      <c r="N322" s="4" t="str">
        <f t="shared" si="156"/>
        <v/>
      </c>
      <c r="O322" s="4" t="str">
        <f t="shared" si="157"/>
        <v/>
      </c>
      <c r="P322" s="247"/>
      <c r="Q322" s="117"/>
      <c r="R322" s="4" t="str">
        <f t="shared" si="158"/>
        <v/>
      </c>
      <c r="S322" s="4" t="str">
        <f t="shared" si="159"/>
        <v/>
      </c>
      <c r="T322" s="4" t="str">
        <f t="shared" si="160"/>
        <v/>
      </c>
      <c r="U322" s="4" t="str">
        <f t="shared" si="161"/>
        <v/>
      </c>
      <c r="V322" s="247"/>
      <c r="W322" s="67" t="str">
        <f t="shared" si="162"/>
        <v/>
      </c>
      <c r="X322" s="118"/>
      <c r="Z322" s="67" t="str">
        <f t="shared" si="163"/>
        <v/>
      </c>
      <c r="AA322" s="13">
        <f t="shared" si="164"/>
        <v>0</v>
      </c>
      <c r="AB322" s="17">
        <f t="shared" si="165"/>
        <v>0</v>
      </c>
      <c r="AC322" s="163" t="str">
        <f t="shared" si="166"/>
        <v/>
      </c>
      <c r="AD322" s="119"/>
      <c r="AE322" s="21"/>
      <c r="AF322" s="121"/>
      <c r="AG322" s="122"/>
      <c r="AH322" s="83"/>
      <c r="AI322" s="115"/>
      <c r="AJ322" s="116"/>
      <c r="AK322" s="83"/>
      <c r="AL322" s="85"/>
      <c r="AM322" s="254"/>
      <c r="AN322" s="254"/>
      <c r="AO322" s="255"/>
    </row>
    <row r="323" spans="2:41" x14ac:dyDescent="0.25">
      <c r="B323" s="321"/>
      <c r="C323" s="17"/>
      <c r="E323" s="117"/>
      <c r="F323" s="4" t="str">
        <f t="shared" si="150"/>
        <v/>
      </c>
      <c r="G323" s="4" t="str">
        <f t="shared" si="151"/>
        <v/>
      </c>
      <c r="H323" s="4" t="str">
        <f t="shared" si="152"/>
        <v/>
      </c>
      <c r="I323" s="4" t="str">
        <f t="shared" si="153"/>
        <v/>
      </c>
      <c r="J323" s="247"/>
      <c r="K323" s="117"/>
      <c r="L323" s="4" t="str">
        <f t="shared" si="154"/>
        <v/>
      </c>
      <c r="M323" s="4" t="str">
        <f t="shared" si="155"/>
        <v/>
      </c>
      <c r="N323" s="4" t="str">
        <f t="shared" si="156"/>
        <v/>
      </c>
      <c r="O323" s="4" t="str">
        <f t="shared" si="157"/>
        <v/>
      </c>
      <c r="P323" s="247"/>
      <c r="Q323" s="117"/>
      <c r="R323" s="4" t="str">
        <f t="shared" si="158"/>
        <v/>
      </c>
      <c r="S323" s="4" t="str">
        <f t="shared" si="159"/>
        <v/>
      </c>
      <c r="T323" s="4" t="str">
        <f t="shared" si="160"/>
        <v/>
      </c>
      <c r="U323" s="4" t="str">
        <f t="shared" si="161"/>
        <v/>
      </c>
      <c r="V323" s="247"/>
      <c r="W323" s="67" t="str">
        <f t="shared" si="162"/>
        <v/>
      </c>
      <c r="X323" s="118"/>
      <c r="Z323" s="67" t="str">
        <f t="shared" si="163"/>
        <v/>
      </c>
      <c r="AA323" s="13">
        <f t="shared" si="164"/>
        <v>0</v>
      </c>
      <c r="AB323" s="17">
        <f t="shared" si="165"/>
        <v>0</v>
      </c>
      <c r="AC323" s="163" t="str">
        <f t="shared" si="166"/>
        <v/>
      </c>
      <c r="AD323" s="119"/>
      <c r="AE323" s="21"/>
      <c r="AF323" s="121"/>
      <c r="AG323" s="122"/>
      <c r="AH323" s="83"/>
      <c r="AI323" s="115"/>
      <c r="AJ323" s="116"/>
      <c r="AK323" s="83"/>
      <c r="AL323" s="85"/>
      <c r="AM323" s="254"/>
      <c r="AN323" s="254"/>
      <c r="AO323" s="255"/>
    </row>
    <row r="324" spans="2:41" x14ac:dyDescent="0.25">
      <c r="B324" s="321"/>
      <c r="C324" s="17"/>
      <c r="E324" s="117"/>
      <c r="F324" s="4" t="str">
        <f t="shared" si="150"/>
        <v/>
      </c>
      <c r="G324" s="4" t="str">
        <f t="shared" si="151"/>
        <v/>
      </c>
      <c r="H324" s="4" t="str">
        <f t="shared" si="152"/>
        <v/>
      </c>
      <c r="I324" s="4" t="str">
        <f t="shared" si="153"/>
        <v/>
      </c>
      <c r="J324" s="247"/>
      <c r="K324" s="117"/>
      <c r="L324" s="4" t="str">
        <f t="shared" si="154"/>
        <v/>
      </c>
      <c r="M324" s="4" t="str">
        <f t="shared" si="155"/>
        <v/>
      </c>
      <c r="N324" s="4" t="str">
        <f t="shared" si="156"/>
        <v/>
      </c>
      <c r="O324" s="4" t="str">
        <f t="shared" si="157"/>
        <v/>
      </c>
      <c r="P324" s="247"/>
      <c r="Q324" s="117"/>
      <c r="R324" s="4" t="str">
        <f t="shared" si="158"/>
        <v/>
      </c>
      <c r="S324" s="4" t="str">
        <f t="shared" si="159"/>
        <v/>
      </c>
      <c r="T324" s="4" t="str">
        <f t="shared" si="160"/>
        <v/>
      </c>
      <c r="U324" s="4" t="str">
        <f t="shared" si="161"/>
        <v/>
      </c>
      <c r="V324" s="247"/>
      <c r="W324" s="67" t="str">
        <f t="shared" si="162"/>
        <v/>
      </c>
      <c r="X324" s="118"/>
      <c r="Z324" s="67" t="str">
        <f t="shared" si="163"/>
        <v/>
      </c>
      <c r="AA324" s="13">
        <f t="shared" si="164"/>
        <v>0</v>
      </c>
      <c r="AB324" s="17">
        <f t="shared" si="165"/>
        <v>0</v>
      </c>
      <c r="AC324" s="163" t="str">
        <f t="shared" si="166"/>
        <v/>
      </c>
      <c r="AD324" s="119"/>
      <c r="AE324" s="21"/>
      <c r="AF324" s="121"/>
      <c r="AG324" s="122"/>
      <c r="AH324" s="83"/>
      <c r="AI324" s="115"/>
      <c r="AJ324" s="116"/>
      <c r="AK324" s="83"/>
      <c r="AL324" s="85"/>
      <c r="AM324" s="254"/>
      <c r="AN324" s="254"/>
      <c r="AO324" s="255"/>
    </row>
    <row r="325" spans="2:41" x14ac:dyDescent="0.25">
      <c r="B325" s="321"/>
      <c r="C325" s="17"/>
      <c r="E325" s="117"/>
      <c r="F325" s="4" t="str">
        <f t="shared" si="150"/>
        <v/>
      </c>
      <c r="G325" s="4" t="str">
        <f t="shared" si="151"/>
        <v/>
      </c>
      <c r="H325" s="4" t="str">
        <f t="shared" si="152"/>
        <v/>
      </c>
      <c r="I325" s="4" t="str">
        <f t="shared" si="153"/>
        <v/>
      </c>
      <c r="J325" s="247"/>
      <c r="K325" s="117"/>
      <c r="L325" s="4" t="str">
        <f t="shared" si="154"/>
        <v/>
      </c>
      <c r="M325" s="4" t="str">
        <f t="shared" si="155"/>
        <v/>
      </c>
      <c r="N325" s="4" t="str">
        <f t="shared" si="156"/>
        <v/>
      </c>
      <c r="O325" s="4" t="str">
        <f t="shared" si="157"/>
        <v/>
      </c>
      <c r="P325" s="247"/>
      <c r="Q325" s="117"/>
      <c r="R325" s="4" t="str">
        <f t="shared" si="158"/>
        <v/>
      </c>
      <c r="S325" s="4" t="str">
        <f t="shared" si="159"/>
        <v/>
      </c>
      <c r="T325" s="4" t="str">
        <f t="shared" si="160"/>
        <v/>
      </c>
      <c r="U325" s="4" t="str">
        <f t="shared" si="161"/>
        <v/>
      </c>
      <c r="V325" s="247"/>
      <c r="W325" s="67" t="str">
        <f t="shared" si="162"/>
        <v/>
      </c>
      <c r="X325" s="118"/>
      <c r="Z325" s="67" t="str">
        <f t="shared" si="163"/>
        <v/>
      </c>
      <c r="AA325" s="13">
        <f t="shared" si="164"/>
        <v>0</v>
      </c>
      <c r="AB325" s="17">
        <f t="shared" si="165"/>
        <v>0</v>
      </c>
      <c r="AC325" s="163" t="str">
        <f t="shared" si="166"/>
        <v/>
      </c>
      <c r="AD325" s="119"/>
      <c r="AE325" s="21"/>
      <c r="AF325" s="121"/>
      <c r="AG325" s="122"/>
      <c r="AH325" s="83"/>
      <c r="AI325" s="115"/>
      <c r="AJ325" s="116"/>
      <c r="AK325" s="83"/>
      <c r="AL325" s="85"/>
      <c r="AM325" s="254"/>
      <c r="AN325" s="254"/>
      <c r="AO325" s="255"/>
    </row>
    <row r="326" spans="2:41" x14ac:dyDescent="0.25">
      <c r="B326" s="321"/>
      <c r="C326" s="17"/>
      <c r="E326" s="117"/>
      <c r="F326" s="4" t="str">
        <f t="shared" si="150"/>
        <v/>
      </c>
      <c r="G326" s="4" t="str">
        <f t="shared" si="151"/>
        <v/>
      </c>
      <c r="H326" s="4" t="str">
        <f t="shared" si="152"/>
        <v/>
      </c>
      <c r="I326" s="4" t="str">
        <f t="shared" si="153"/>
        <v/>
      </c>
      <c r="J326" s="247"/>
      <c r="K326" s="117"/>
      <c r="L326" s="4" t="str">
        <f t="shared" si="154"/>
        <v/>
      </c>
      <c r="M326" s="4" t="str">
        <f t="shared" si="155"/>
        <v/>
      </c>
      <c r="N326" s="4" t="str">
        <f t="shared" si="156"/>
        <v/>
      </c>
      <c r="O326" s="4" t="str">
        <f t="shared" si="157"/>
        <v/>
      </c>
      <c r="P326" s="247"/>
      <c r="Q326" s="117"/>
      <c r="R326" s="4" t="str">
        <f t="shared" si="158"/>
        <v/>
      </c>
      <c r="S326" s="4" t="str">
        <f t="shared" si="159"/>
        <v/>
      </c>
      <c r="T326" s="4" t="str">
        <f t="shared" si="160"/>
        <v/>
      </c>
      <c r="U326" s="4" t="str">
        <f t="shared" si="161"/>
        <v/>
      </c>
      <c r="V326" s="247"/>
      <c r="W326" s="67" t="str">
        <f t="shared" si="162"/>
        <v/>
      </c>
      <c r="X326" s="118"/>
      <c r="Z326" s="67" t="str">
        <f t="shared" si="163"/>
        <v/>
      </c>
      <c r="AA326" s="13">
        <f t="shared" si="164"/>
        <v>0</v>
      </c>
      <c r="AB326" s="17">
        <f t="shared" si="165"/>
        <v>0</v>
      </c>
      <c r="AC326" s="163" t="str">
        <f t="shared" si="166"/>
        <v/>
      </c>
      <c r="AD326" s="119"/>
      <c r="AE326" s="21"/>
      <c r="AF326" s="121"/>
      <c r="AG326" s="122"/>
      <c r="AH326" s="83"/>
      <c r="AI326" s="115"/>
      <c r="AJ326" s="116"/>
      <c r="AK326" s="83"/>
      <c r="AL326" s="85"/>
      <c r="AM326" s="254"/>
      <c r="AN326" s="254"/>
      <c r="AO326" s="255"/>
    </row>
    <row r="327" spans="2:41" x14ac:dyDescent="0.25">
      <c r="B327" s="321"/>
      <c r="C327" s="17"/>
      <c r="E327" s="117"/>
      <c r="F327" s="4" t="str">
        <f t="shared" si="150"/>
        <v/>
      </c>
      <c r="G327" s="4" t="str">
        <f t="shared" si="151"/>
        <v/>
      </c>
      <c r="H327" s="4" t="str">
        <f t="shared" si="152"/>
        <v/>
      </c>
      <c r="I327" s="4" t="str">
        <f t="shared" si="153"/>
        <v/>
      </c>
      <c r="J327" s="247"/>
      <c r="K327" s="117"/>
      <c r="L327" s="4" t="str">
        <f t="shared" si="154"/>
        <v/>
      </c>
      <c r="M327" s="4" t="str">
        <f t="shared" si="155"/>
        <v/>
      </c>
      <c r="N327" s="4" t="str">
        <f t="shared" si="156"/>
        <v/>
      </c>
      <c r="O327" s="4" t="str">
        <f t="shared" si="157"/>
        <v/>
      </c>
      <c r="P327" s="247"/>
      <c r="Q327" s="117"/>
      <c r="R327" s="4" t="str">
        <f t="shared" si="158"/>
        <v/>
      </c>
      <c r="S327" s="4" t="str">
        <f t="shared" si="159"/>
        <v/>
      </c>
      <c r="T327" s="4" t="str">
        <f t="shared" si="160"/>
        <v/>
      </c>
      <c r="U327" s="4" t="str">
        <f t="shared" si="161"/>
        <v/>
      </c>
      <c r="V327" s="247"/>
      <c r="W327" s="67" t="str">
        <f t="shared" si="162"/>
        <v/>
      </c>
      <c r="X327" s="118"/>
      <c r="Z327" s="67" t="str">
        <f t="shared" si="163"/>
        <v/>
      </c>
      <c r="AA327" s="13">
        <f t="shared" si="164"/>
        <v>0</v>
      </c>
      <c r="AB327" s="17">
        <f t="shared" si="165"/>
        <v>0</v>
      </c>
      <c r="AC327" s="163" t="str">
        <f t="shared" si="166"/>
        <v/>
      </c>
      <c r="AD327" s="119"/>
      <c r="AE327" s="21"/>
      <c r="AF327" s="121"/>
      <c r="AG327" s="122"/>
      <c r="AH327" s="83"/>
      <c r="AI327" s="115"/>
      <c r="AJ327" s="116"/>
      <c r="AK327" s="83"/>
      <c r="AL327" s="85"/>
      <c r="AM327" s="254"/>
      <c r="AN327" s="254"/>
      <c r="AO327" s="255"/>
    </row>
    <row r="328" spans="2:41" x14ac:dyDescent="0.25">
      <c r="B328" s="321"/>
      <c r="C328" s="17"/>
      <c r="E328" s="117"/>
      <c r="F328" s="4" t="str">
        <f t="shared" si="150"/>
        <v/>
      </c>
      <c r="G328" s="4" t="str">
        <f t="shared" si="151"/>
        <v/>
      </c>
      <c r="H328" s="4" t="str">
        <f t="shared" si="152"/>
        <v/>
      </c>
      <c r="I328" s="4" t="str">
        <f t="shared" si="153"/>
        <v/>
      </c>
      <c r="J328" s="247"/>
      <c r="K328" s="117"/>
      <c r="L328" s="4" t="str">
        <f t="shared" si="154"/>
        <v/>
      </c>
      <c r="M328" s="4" t="str">
        <f t="shared" si="155"/>
        <v/>
      </c>
      <c r="N328" s="4" t="str">
        <f t="shared" si="156"/>
        <v/>
      </c>
      <c r="O328" s="4" t="str">
        <f t="shared" si="157"/>
        <v/>
      </c>
      <c r="P328" s="247"/>
      <c r="Q328" s="117"/>
      <c r="R328" s="4" t="str">
        <f t="shared" si="158"/>
        <v/>
      </c>
      <c r="S328" s="4" t="str">
        <f t="shared" si="159"/>
        <v/>
      </c>
      <c r="T328" s="4" t="str">
        <f t="shared" si="160"/>
        <v/>
      </c>
      <c r="U328" s="4" t="str">
        <f t="shared" si="161"/>
        <v/>
      </c>
      <c r="V328" s="247"/>
      <c r="W328" s="67" t="str">
        <f t="shared" si="162"/>
        <v/>
      </c>
      <c r="X328" s="118"/>
      <c r="Z328" s="67" t="str">
        <f t="shared" si="163"/>
        <v/>
      </c>
      <c r="AA328" s="13">
        <f t="shared" si="164"/>
        <v>0</v>
      </c>
      <c r="AB328" s="17">
        <f t="shared" si="165"/>
        <v>0</v>
      </c>
      <c r="AC328" s="163" t="str">
        <f t="shared" si="166"/>
        <v/>
      </c>
      <c r="AD328" s="119"/>
      <c r="AE328" s="21"/>
      <c r="AF328" s="121"/>
      <c r="AG328" s="122"/>
      <c r="AH328" s="83"/>
      <c r="AI328" s="115"/>
      <c r="AJ328" s="116"/>
      <c r="AK328" s="83"/>
      <c r="AL328" s="85"/>
      <c r="AM328" s="254"/>
      <c r="AN328" s="254"/>
      <c r="AO328" s="255"/>
    </row>
    <row r="329" spans="2:41" x14ac:dyDescent="0.25">
      <c r="B329" s="321"/>
      <c r="C329" s="17"/>
      <c r="E329" s="117"/>
      <c r="F329" s="4" t="str">
        <f t="shared" si="150"/>
        <v/>
      </c>
      <c r="G329" s="4" t="str">
        <f t="shared" si="151"/>
        <v/>
      </c>
      <c r="H329" s="4" t="str">
        <f t="shared" si="152"/>
        <v/>
      </c>
      <c r="I329" s="4" t="str">
        <f t="shared" si="153"/>
        <v/>
      </c>
      <c r="J329" s="247"/>
      <c r="K329" s="117"/>
      <c r="L329" s="4" t="str">
        <f t="shared" si="154"/>
        <v/>
      </c>
      <c r="M329" s="4" t="str">
        <f t="shared" si="155"/>
        <v/>
      </c>
      <c r="N329" s="4" t="str">
        <f t="shared" si="156"/>
        <v/>
      </c>
      <c r="O329" s="4" t="str">
        <f t="shared" si="157"/>
        <v/>
      </c>
      <c r="P329" s="247"/>
      <c r="Q329" s="117"/>
      <c r="R329" s="4" t="str">
        <f t="shared" si="158"/>
        <v/>
      </c>
      <c r="S329" s="4" t="str">
        <f t="shared" si="159"/>
        <v/>
      </c>
      <c r="T329" s="4" t="str">
        <f t="shared" si="160"/>
        <v/>
      </c>
      <c r="U329" s="4" t="str">
        <f t="shared" si="161"/>
        <v/>
      </c>
      <c r="V329" s="247"/>
      <c r="W329" s="67" t="str">
        <f t="shared" si="162"/>
        <v/>
      </c>
      <c r="X329" s="118"/>
      <c r="Z329" s="67" t="str">
        <f t="shared" si="163"/>
        <v/>
      </c>
      <c r="AA329" s="13">
        <f t="shared" si="164"/>
        <v>0</v>
      </c>
      <c r="AB329" s="17">
        <f t="shared" si="165"/>
        <v>0</v>
      </c>
      <c r="AC329" s="163" t="str">
        <f t="shared" si="166"/>
        <v/>
      </c>
      <c r="AD329" s="119"/>
      <c r="AE329" s="21"/>
      <c r="AF329" s="121"/>
      <c r="AG329" s="122"/>
      <c r="AH329" s="83"/>
      <c r="AI329" s="115"/>
      <c r="AJ329" s="116"/>
      <c r="AK329" s="83"/>
      <c r="AL329" s="85"/>
      <c r="AM329" s="254"/>
      <c r="AN329" s="254"/>
      <c r="AO329" s="255"/>
    </row>
    <row r="330" spans="2:41" x14ac:dyDescent="0.25">
      <c r="B330" s="321"/>
      <c r="C330" s="17"/>
      <c r="E330" s="117"/>
      <c r="F330" s="4" t="str">
        <f t="shared" si="150"/>
        <v/>
      </c>
      <c r="G330" s="4" t="str">
        <f t="shared" si="151"/>
        <v/>
      </c>
      <c r="H330" s="4" t="str">
        <f t="shared" si="152"/>
        <v/>
      </c>
      <c r="I330" s="4" t="str">
        <f t="shared" si="153"/>
        <v/>
      </c>
      <c r="J330" s="247"/>
      <c r="K330" s="117"/>
      <c r="L330" s="4" t="str">
        <f t="shared" si="154"/>
        <v/>
      </c>
      <c r="M330" s="4" t="str">
        <f t="shared" si="155"/>
        <v/>
      </c>
      <c r="N330" s="4" t="str">
        <f t="shared" si="156"/>
        <v/>
      </c>
      <c r="O330" s="4" t="str">
        <f t="shared" si="157"/>
        <v/>
      </c>
      <c r="P330" s="247"/>
      <c r="Q330" s="117"/>
      <c r="R330" s="4" t="str">
        <f t="shared" si="158"/>
        <v/>
      </c>
      <c r="S330" s="4" t="str">
        <f t="shared" si="159"/>
        <v/>
      </c>
      <c r="T330" s="4" t="str">
        <f t="shared" si="160"/>
        <v/>
      </c>
      <c r="U330" s="4" t="str">
        <f t="shared" si="161"/>
        <v/>
      </c>
      <c r="V330" s="247"/>
      <c r="W330" s="67" t="str">
        <f t="shared" si="162"/>
        <v/>
      </c>
      <c r="X330" s="118"/>
      <c r="Z330" s="67" t="str">
        <f t="shared" si="163"/>
        <v/>
      </c>
      <c r="AA330" s="13">
        <f t="shared" si="164"/>
        <v>0</v>
      </c>
      <c r="AB330" s="17">
        <f t="shared" si="165"/>
        <v>0</v>
      </c>
      <c r="AC330" s="163" t="str">
        <f t="shared" si="166"/>
        <v/>
      </c>
      <c r="AD330" s="119"/>
      <c r="AE330" s="21"/>
      <c r="AF330" s="121"/>
      <c r="AG330" s="122"/>
      <c r="AH330" s="83"/>
      <c r="AI330" s="115"/>
      <c r="AJ330" s="116"/>
      <c r="AK330" s="83"/>
      <c r="AL330" s="85"/>
      <c r="AM330" s="254"/>
      <c r="AN330" s="254"/>
      <c r="AO330" s="255"/>
    </row>
    <row r="331" spans="2:41" x14ac:dyDescent="0.25">
      <c r="B331" s="321"/>
      <c r="C331" s="17"/>
      <c r="E331" s="117"/>
      <c r="F331" s="4" t="str">
        <f t="shared" si="150"/>
        <v/>
      </c>
      <c r="G331" s="4" t="str">
        <f t="shared" si="151"/>
        <v/>
      </c>
      <c r="H331" s="4" t="str">
        <f t="shared" si="152"/>
        <v/>
      </c>
      <c r="I331" s="4" t="str">
        <f t="shared" si="153"/>
        <v/>
      </c>
      <c r="J331" s="247"/>
      <c r="K331" s="117"/>
      <c r="L331" s="4" t="str">
        <f t="shared" si="154"/>
        <v/>
      </c>
      <c r="M331" s="4" t="str">
        <f t="shared" si="155"/>
        <v/>
      </c>
      <c r="N331" s="4" t="str">
        <f t="shared" si="156"/>
        <v/>
      </c>
      <c r="O331" s="4" t="str">
        <f t="shared" si="157"/>
        <v/>
      </c>
      <c r="P331" s="247"/>
      <c r="Q331" s="117"/>
      <c r="R331" s="4" t="str">
        <f t="shared" si="158"/>
        <v/>
      </c>
      <c r="S331" s="4" t="str">
        <f t="shared" si="159"/>
        <v/>
      </c>
      <c r="T331" s="4" t="str">
        <f t="shared" si="160"/>
        <v/>
      </c>
      <c r="U331" s="4" t="str">
        <f t="shared" si="161"/>
        <v/>
      </c>
      <c r="V331" s="247"/>
      <c r="W331" s="67" t="str">
        <f t="shared" si="162"/>
        <v/>
      </c>
      <c r="X331" s="118"/>
      <c r="Z331" s="67" t="str">
        <f t="shared" si="163"/>
        <v/>
      </c>
      <c r="AA331" s="13">
        <f t="shared" si="164"/>
        <v>0</v>
      </c>
      <c r="AB331" s="17">
        <f t="shared" si="165"/>
        <v>0</v>
      </c>
      <c r="AC331" s="163" t="str">
        <f t="shared" si="166"/>
        <v/>
      </c>
      <c r="AD331" s="119"/>
      <c r="AE331" s="21"/>
      <c r="AF331" s="121"/>
      <c r="AG331" s="122"/>
      <c r="AH331" s="83"/>
      <c r="AI331" s="115"/>
      <c r="AJ331" s="116"/>
      <c r="AK331" s="83"/>
      <c r="AL331" s="85"/>
      <c r="AM331" s="254"/>
      <c r="AN331" s="254"/>
      <c r="AO331" s="255"/>
    </row>
    <row r="332" spans="2:41" x14ac:dyDescent="0.25">
      <c r="B332" s="321"/>
      <c r="C332" s="17"/>
      <c r="E332" s="117"/>
      <c r="F332" s="4" t="str">
        <f t="shared" si="150"/>
        <v/>
      </c>
      <c r="G332" s="4" t="str">
        <f t="shared" si="151"/>
        <v/>
      </c>
      <c r="H332" s="4" t="str">
        <f t="shared" si="152"/>
        <v/>
      </c>
      <c r="I332" s="4" t="str">
        <f t="shared" si="153"/>
        <v/>
      </c>
      <c r="J332" s="247"/>
      <c r="K332" s="117"/>
      <c r="L332" s="4" t="str">
        <f t="shared" si="154"/>
        <v/>
      </c>
      <c r="M332" s="4" t="str">
        <f t="shared" si="155"/>
        <v/>
      </c>
      <c r="N332" s="4" t="str">
        <f t="shared" si="156"/>
        <v/>
      </c>
      <c r="O332" s="4" t="str">
        <f t="shared" si="157"/>
        <v/>
      </c>
      <c r="P332" s="247"/>
      <c r="Q332" s="117"/>
      <c r="R332" s="4" t="str">
        <f t="shared" si="158"/>
        <v/>
      </c>
      <c r="S332" s="4" t="str">
        <f t="shared" si="159"/>
        <v/>
      </c>
      <c r="T332" s="4" t="str">
        <f t="shared" si="160"/>
        <v/>
      </c>
      <c r="U332" s="4" t="str">
        <f t="shared" si="161"/>
        <v/>
      </c>
      <c r="V332" s="247"/>
      <c r="W332" s="67" t="str">
        <f t="shared" si="162"/>
        <v/>
      </c>
      <c r="X332" s="118"/>
      <c r="Z332" s="67" t="str">
        <f t="shared" si="163"/>
        <v/>
      </c>
      <c r="AA332" s="13">
        <f t="shared" si="164"/>
        <v>0</v>
      </c>
      <c r="AB332" s="17">
        <f t="shared" si="165"/>
        <v>0</v>
      </c>
      <c r="AC332" s="163" t="str">
        <f t="shared" si="166"/>
        <v/>
      </c>
      <c r="AD332" s="119"/>
      <c r="AE332" s="21"/>
      <c r="AF332" s="121"/>
      <c r="AG332" s="122"/>
      <c r="AH332" s="83"/>
      <c r="AI332" s="115"/>
      <c r="AJ332" s="116"/>
      <c r="AK332" s="83"/>
      <c r="AL332" s="85"/>
      <c r="AM332" s="254"/>
      <c r="AN332" s="254"/>
      <c r="AO332" s="255"/>
    </row>
    <row r="333" spans="2:41" x14ac:dyDescent="0.25">
      <c r="B333" s="321"/>
      <c r="C333" s="17"/>
      <c r="E333" s="117"/>
      <c r="F333" s="4" t="str">
        <f t="shared" si="150"/>
        <v/>
      </c>
      <c r="G333" s="4" t="str">
        <f t="shared" si="151"/>
        <v/>
      </c>
      <c r="H333" s="4" t="str">
        <f t="shared" si="152"/>
        <v/>
      </c>
      <c r="I333" s="4" t="str">
        <f t="shared" si="153"/>
        <v/>
      </c>
      <c r="J333" s="247"/>
      <c r="K333" s="117"/>
      <c r="L333" s="4" t="str">
        <f t="shared" si="154"/>
        <v/>
      </c>
      <c r="M333" s="4" t="str">
        <f t="shared" si="155"/>
        <v/>
      </c>
      <c r="N333" s="4" t="str">
        <f t="shared" si="156"/>
        <v/>
      </c>
      <c r="O333" s="4" t="str">
        <f t="shared" si="157"/>
        <v/>
      </c>
      <c r="P333" s="247"/>
      <c r="Q333" s="117"/>
      <c r="R333" s="4" t="str">
        <f t="shared" si="158"/>
        <v/>
      </c>
      <c r="S333" s="4" t="str">
        <f t="shared" si="159"/>
        <v/>
      </c>
      <c r="T333" s="4" t="str">
        <f t="shared" si="160"/>
        <v/>
      </c>
      <c r="U333" s="4" t="str">
        <f t="shared" si="161"/>
        <v/>
      </c>
      <c r="V333" s="247"/>
      <c r="W333" s="67" t="str">
        <f t="shared" si="162"/>
        <v/>
      </c>
      <c r="X333" s="118"/>
      <c r="Z333" s="67" t="str">
        <f t="shared" si="163"/>
        <v/>
      </c>
      <c r="AA333" s="13">
        <f t="shared" si="164"/>
        <v>0</v>
      </c>
      <c r="AB333" s="17">
        <f t="shared" si="165"/>
        <v>0</v>
      </c>
      <c r="AC333" s="163" t="str">
        <f t="shared" si="166"/>
        <v/>
      </c>
      <c r="AD333" s="119"/>
      <c r="AE333" s="21"/>
      <c r="AF333" s="121"/>
      <c r="AG333" s="122"/>
      <c r="AH333" s="83"/>
      <c r="AI333" s="115"/>
      <c r="AJ333" s="116"/>
      <c r="AK333" s="83"/>
      <c r="AL333" s="85"/>
      <c r="AM333" s="254"/>
      <c r="AN333" s="254"/>
      <c r="AO333" s="255"/>
    </row>
    <row r="334" spans="2:41" x14ac:dyDescent="0.25">
      <c r="B334" s="321"/>
      <c r="C334" s="17"/>
      <c r="E334" s="117"/>
      <c r="F334" s="4" t="str">
        <f t="shared" si="150"/>
        <v/>
      </c>
      <c r="G334" s="4" t="str">
        <f t="shared" si="151"/>
        <v/>
      </c>
      <c r="H334" s="4" t="str">
        <f t="shared" si="152"/>
        <v/>
      </c>
      <c r="I334" s="4" t="str">
        <f t="shared" si="153"/>
        <v/>
      </c>
      <c r="J334" s="247"/>
      <c r="K334" s="117"/>
      <c r="L334" s="4" t="str">
        <f t="shared" si="154"/>
        <v/>
      </c>
      <c r="M334" s="4" t="str">
        <f t="shared" si="155"/>
        <v/>
      </c>
      <c r="N334" s="4" t="str">
        <f t="shared" si="156"/>
        <v/>
      </c>
      <c r="O334" s="4" t="str">
        <f t="shared" si="157"/>
        <v/>
      </c>
      <c r="P334" s="247"/>
      <c r="Q334" s="117"/>
      <c r="R334" s="4" t="str">
        <f t="shared" si="158"/>
        <v/>
      </c>
      <c r="S334" s="4" t="str">
        <f t="shared" si="159"/>
        <v/>
      </c>
      <c r="T334" s="4" t="str">
        <f t="shared" si="160"/>
        <v/>
      </c>
      <c r="U334" s="4" t="str">
        <f t="shared" si="161"/>
        <v/>
      </c>
      <c r="V334" s="247"/>
      <c r="W334" s="67" t="str">
        <f t="shared" si="162"/>
        <v/>
      </c>
      <c r="X334" s="118"/>
      <c r="Z334" s="67" t="str">
        <f t="shared" si="163"/>
        <v/>
      </c>
      <c r="AA334" s="13">
        <f t="shared" si="164"/>
        <v>0</v>
      </c>
      <c r="AB334" s="17">
        <f t="shared" si="165"/>
        <v>0</v>
      </c>
      <c r="AC334" s="163" t="str">
        <f t="shared" si="166"/>
        <v/>
      </c>
      <c r="AD334" s="119"/>
      <c r="AE334" s="21"/>
      <c r="AF334" s="121"/>
      <c r="AG334" s="122"/>
      <c r="AH334" s="83"/>
      <c r="AI334" s="115"/>
      <c r="AJ334" s="116"/>
      <c r="AK334" s="83"/>
      <c r="AL334" s="85"/>
      <c r="AM334" s="254"/>
      <c r="AN334" s="254"/>
      <c r="AO334" s="255"/>
    </row>
    <row r="335" spans="2:41" x14ac:dyDescent="0.25">
      <c r="B335" s="321"/>
      <c r="C335" s="17"/>
      <c r="E335" s="117"/>
      <c r="F335" s="4" t="str">
        <f t="shared" si="150"/>
        <v/>
      </c>
      <c r="G335" s="4" t="str">
        <f t="shared" si="151"/>
        <v/>
      </c>
      <c r="H335" s="4" t="str">
        <f t="shared" si="152"/>
        <v/>
      </c>
      <c r="I335" s="4" t="str">
        <f t="shared" si="153"/>
        <v/>
      </c>
      <c r="J335" s="247"/>
      <c r="K335" s="117"/>
      <c r="L335" s="4" t="str">
        <f t="shared" si="154"/>
        <v/>
      </c>
      <c r="M335" s="4" t="str">
        <f t="shared" si="155"/>
        <v/>
      </c>
      <c r="N335" s="4" t="str">
        <f t="shared" si="156"/>
        <v/>
      </c>
      <c r="O335" s="4" t="str">
        <f t="shared" si="157"/>
        <v/>
      </c>
      <c r="P335" s="247"/>
      <c r="Q335" s="117"/>
      <c r="R335" s="4" t="str">
        <f t="shared" si="158"/>
        <v/>
      </c>
      <c r="S335" s="4" t="str">
        <f t="shared" si="159"/>
        <v/>
      </c>
      <c r="T335" s="4" t="str">
        <f t="shared" si="160"/>
        <v/>
      </c>
      <c r="U335" s="4" t="str">
        <f t="shared" si="161"/>
        <v/>
      </c>
      <c r="V335" s="247"/>
      <c r="W335" s="67" t="str">
        <f t="shared" si="162"/>
        <v/>
      </c>
      <c r="X335" s="118"/>
      <c r="Z335" s="67" t="str">
        <f t="shared" si="163"/>
        <v/>
      </c>
      <c r="AA335" s="13">
        <f t="shared" si="164"/>
        <v>0</v>
      </c>
      <c r="AB335" s="17">
        <f t="shared" si="165"/>
        <v>0</v>
      </c>
      <c r="AC335" s="163" t="str">
        <f t="shared" si="166"/>
        <v/>
      </c>
      <c r="AD335" s="119"/>
      <c r="AE335" s="21"/>
      <c r="AF335" s="121"/>
      <c r="AG335" s="122"/>
      <c r="AH335" s="83"/>
      <c r="AI335" s="115"/>
      <c r="AJ335" s="116"/>
      <c r="AK335" s="83"/>
      <c r="AL335" s="85"/>
      <c r="AM335" s="254"/>
      <c r="AN335" s="254"/>
      <c r="AO335" s="255"/>
    </row>
    <row r="336" spans="2:41" x14ac:dyDescent="0.25">
      <c r="B336" s="321"/>
      <c r="C336" s="17"/>
      <c r="E336" s="117"/>
      <c r="F336" s="4" t="str">
        <f t="shared" si="150"/>
        <v/>
      </c>
      <c r="G336" s="4" t="str">
        <f t="shared" si="151"/>
        <v/>
      </c>
      <c r="H336" s="4" t="str">
        <f t="shared" si="152"/>
        <v/>
      </c>
      <c r="I336" s="4" t="str">
        <f t="shared" si="153"/>
        <v/>
      </c>
      <c r="J336" s="247"/>
      <c r="K336" s="117"/>
      <c r="L336" s="4" t="str">
        <f t="shared" si="154"/>
        <v/>
      </c>
      <c r="M336" s="4" t="str">
        <f t="shared" si="155"/>
        <v/>
      </c>
      <c r="N336" s="4" t="str">
        <f t="shared" si="156"/>
        <v/>
      </c>
      <c r="O336" s="4" t="str">
        <f t="shared" si="157"/>
        <v/>
      </c>
      <c r="P336" s="247"/>
      <c r="Q336" s="117"/>
      <c r="R336" s="4" t="str">
        <f t="shared" si="158"/>
        <v/>
      </c>
      <c r="S336" s="4" t="str">
        <f t="shared" si="159"/>
        <v/>
      </c>
      <c r="T336" s="4" t="str">
        <f t="shared" si="160"/>
        <v/>
      </c>
      <c r="U336" s="4" t="str">
        <f t="shared" si="161"/>
        <v/>
      </c>
      <c r="V336" s="247"/>
      <c r="W336" s="67" t="str">
        <f t="shared" si="162"/>
        <v/>
      </c>
      <c r="X336" s="118"/>
      <c r="Z336" s="67" t="str">
        <f t="shared" si="163"/>
        <v/>
      </c>
      <c r="AA336" s="13">
        <f t="shared" si="164"/>
        <v>0</v>
      </c>
      <c r="AB336" s="17">
        <f t="shared" si="165"/>
        <v>0</v>
      </c>
      <c r="AC336" s="163" t="str">
        <f t="shared" si="166"/>
        <v/>
      </c>
      <c r="AD336" s="119"/>
      <c r="AE336" s="21"/>
      <c r="AF336" s="121"/>
      <c r="AG336" s="122"/>
      <c r="AH336" s="83"/>
      <c r="AI336" s="115"/>
      <c r="AJ336" s="116"/>
      <c r="AK336" s="83"/>
      <c r="AL336" s="85"/>
      <c r="AM336" s="254"/>
      <c r="AN336" s="254"/>
      <c r="AO336" s="255"/>
    </row>
    <row r="337" spans="2:41" x14ac:dyDescent="0.25">
      <c r="B337" s="321"/>
      <c r="C337" s="17"/>
      <c r="E337" s="117"/>
      <c r="F337" s="4" t="str">
        <f t="shared" si="150"/>
        <v/>
      </c>
      <c r="G337" s="4" t="str">
        <f t="shared" si="151"/>
        <v/>
      </c>
      <c r="H337" s="4" t="str">
        <f t="shared" si="152"/>
        <v/>
      </c>
      <c r="I337" s="4" t="str">
        <f t="shared" si="153"/>
        <v/>
      </c>
      <c r="J337" s="247"/>
      <c r="K337" s="117"/>
      <c r="L337" s="4" t="str">
        <f t="shared" si="154"/>
        <v/>
      </c>
      <c r="M337" s="4" t="str">
        <f t="shared" si="155"/>
        <v/>
      </c>
      <c r="N337" s="4" t="str">
        <f t="shared" si="156"/>
        <v/>
      </c>
      <c r="O337" s="4" t="str">
        <f t="shared" si="157"/>
        <v/>
      </c>
      <c r="P337" s="247"/>
      <c r="Q337" s="117"/>
      <c r="R337" s="4" t="str">
        <f t="shared" si="158"/>
        <v/>
      </c>
      <c r="S337" s="4" t="str">
        <f t="shared" si="159"/>
        <v/>
      </c>
      <c r="T337" s="4" t="str">
        <f t="shared" si="160"/>
        <v/>
      </c>
      <c r="U337" s="4" t="str">
        <f t="shared" si="161"/>
        <v/>
      </c>
      <c r="V337" s="247"/>
      <c r="W337" s="67" t="str">
        <f t="shared" si="162"/>
        <v/>
      </c>
      <c r="X337" s="118"/>
      <c r="Z337" s="67" t="str">
        <f t="shared" si="163"/>
        <v/>
      </c>
      <c r="AA337" s="13">
        <f t="shared" si="164"/>
        <v>0</v>
      </c>
      <c r="AB337" s="17">
        <f t="shared" si="165"/>
        <v>0</v>
      </c>
      <c r="AC337" s="163" t="str">
        <f t="shared" si="166"/>
        <v/>
      </c>
      <c r="AD337" s="119"/>
      <c r="AE337" s="21"/>
      <c r="AF337" s="121"/>
      <c r="AG337" s="122"/>
      <c r="AH337" s="83"/>
      <c r="AI337" s="115"/>
      <c r="AJ337" s="116"/>
      <c r="AK337" s="83"/>
      <c r="AL337" s="85"/>
      <c r="AM337" s="254"/>
      <c r="AN337" s="254"/>
      <c r="AO337" s="255"/>
    </row>
    <row r="338" spans="2:41" x14ac:dyDescent="0.25">
      <c r="B338" s="321"/>
      <c r="C338" s="17"/>
      <c r="E338" s="117"/>
      <c r="F338" s="4" t="str">
        <f t="shared" si="150"/>
        <v/>
      </c>
      <c r="G338" s="4" t="str">
        <f t="shared" si="151"/>
        <v/>
      </c>
      <c r="H338" s="4" t="str">
        <f t="shared" si="152"/>
        <v/>
      </c>
      <c r="I338" s="4" t="str">
        <f t="shared" si="153"/>
        <v/>
      </c>
      <c r="J338" s="247"/>
      <c r="K338" s="117"/>
      <c r="L338" s="4" t="str">
        <f t="shared" si="154"/>
        <v/>
      </c>
      <c r="M338" s="4" t="str">
        <f t="shared" si="155"/>
        <v/>
      </c>
      <c r="N338" s="4" t="str">
        <f t="shared" si="156"/>
        <v/>
      </c>
      <c r="O338" s="4" t="str">
        <f t="shared" si="157"/>
        <v/>
      </c>
      <c r="P338" s="247"/>
      <c r="Q338" s="117"/>
      <c r="R338" s="4" t="str">
        <f t="shared" si="158"/>
        <v/>
      </c>
      <c r="S338" s="4" t="str">
        <f t="shared" si="159"/>
        <v/>
      </c>
      <c r="T338" s="4" t="str">
        <f t="shared" si="160"/>
        <v/>
      </c>
      <c r="U338" s="4" t="str">
        <f t="shared" si="161"/>
        <v/>
      </c>
      <c r="V338" s="247"/>
      <c r="W338" s="67" t="str">
        <f t="shared" si="162"/>
        <v/>
      </c>
      <c r="X338" s="118"/>
      <c r="Z338" s="67" t="str">
        <f t="shared" si="163"/>
        <v/>
      </c>
      <c r="AA338" s="13">
        <f t="shared" si="164"/>
        <v>0</v>
      </c>
      <c r="AB338" s="17">
        <f t="shared" si="165"/>
        <v>0</v>
      </c>
      <c r="AC338" s="163" t="str">
        <f t="shared" si="166"/>
        <v/>
      </c>
      <c r="AD338" s="119"/>
      <c r="AE338" s="21"/>
      <c r="AF338" s="121"/>
      <c r="AG338" s="122"/>
      <c r="AH338" s="83"/>
      <c r="AI338" s="115"/>
      <c r="AJ338" s="116"/>
      <c r="AK338" s="83"/>
      <c r="AL338" s="85"/>
      <c r="AM338" s="254"/>
      <c r="AN338" s="254"/>
      <c r="AO338" s="255"/>
    </row>
    <row r="339" spans="2:41" x14ac:dyDescent="0.25">
      <c r="B339" s="321"/>
      <c r="C339" s="17"/>
      <c r="E339" s="117"/>
      <c r="F339" s="4" t="str">
        <f t="shared" si="150"/>
        <v/>
      </c>
      <c r="G339" s="4" t="str">
        <f t="shared" si="151"/>
        <v/>
      </c>
      <c r="H339" s="4" t="str">
        <f t="shared" si="152"/>
        <v/>
      </c>
      <c r="I339" s="4" t="str">
        <f t="shared" si="153"/>
        <v/>
      </c>
      <c r="J339" s="247"/>
      <c r="K339" s="117"/>
      <c r="L339" s="4" t="str">
        <f t="shared" si="154"/>
        <v/>
      </c>
      <c r="M339" s="4" t="str">
        <f t="shared" si="155"/>
        <v/>
      </c>
      <c r="N339" s="4" t="str">
        <f t="shared" si="156"/>
        <v/>
      </c>
      <c r="O339" s="4" t="str">
        <f t="shared" si="157"/>
        <v/>
      </c>
      <c r="P339" s="247"/>
      <c r="Q339" s="117"/>
      <c r="R339" s="4" t="str">
        <f t="shared" si="158"/>
        <v/>
      </c>
      <c r="S339" s="4" t="str">
        <f t="shared" si="159"/>
        <v/>
      </c>
      <c r="T339" s="4" t="str">
        <f t="shared" si="160"/>
        <v/>
      </c>
      <c r="U339" s="4" t="str">
        <f t="shared" si="161"/>
        <v/>
      </c>
      <c r="V339" s="247"/>
      <c r="W339" s="67" t="str">
        <f t="shared" si="162"/>
        <v/>
      </c>
      <c r="X339" s="118"/>
      <c r="Z339" s="67" t="str">
        <f t="shared" si="163"/>
        <v/>
      </c>
      <c r="AA339" s="13">
        <f t="shared" si="164"/>
        <v>0</v>
      </c>
      <c r="AB339" s="17">
        <f t="shared" si="165"/>
        <v>0</v>
      </c>
      <c r="AC339" s="163" t="str">
        <f t="shared" si="166"/>
        <v/>
      </c>
      <c r="AD339" s="119"/>
      <c r="AE339" s="21"/>
      <c r="AF339" s="121"/>
      <c r="AG339" s="122"/>
      <c r="AH339" s="83"/>
      <c r="AI339" s="115"/>
      <c r="AJ339" s="116"/>
      <c r="AK339" s="83"/>
      <c r="AL339" s="85"/>
      <c r="AM339" s="254"/>
      <c r="AN339" s="254"/>
      <c r="AO339" s="255"/>
    </row>
    <row r="340" spans="2:41" x14ac:dyDescent="0.25">
      <c r="B340" s="321"/>
      <c r="C340" s="17"/>
      <c r="E340" s="117"/>
      <c r="F340" s="4" t="str">
        <f t="shared" si="150"/>
        <v/>
      </c>
      <c r="G340" s="4" t="str">
        <f t="shared" si="151"/>
        <v/>
      </c>
      <c r="H340" s="4" t="str">
        <f t="shared" si="152"/>
        <v/>
      </c>
      <c r="I340" s="4" t="str">
        <f t="shared" si="153"/>
        <v/>
      </c>
      <c r="J340" s="247"/>
      <c r="K340" s="117"/>
      <c r="L340" s="4" t="str">
        <f t="shared" si="154"/>
        <v/>
      </c>
      <c r="M340" s="4" t="str">
        <f t="shared" si="155"/>
        <v/>
      </c>
      <c r="N340" s="4" t="str">
        <f t="shared" si="156"/>
        <v/>
      </c>
      <c r="O340" s="4" t="str">
        <f t="shared" si="157"/>
        <v/>
      </c>
      <c r="P340" s="247"/>
      <c r="Q340" s="117"/>
      <c r="R340" s="4" t="str">
        <f t="shared" si="158"/>
        <v/>
      </c>
      <c r="S340" s="4" t="str">
        <f t="shared" si="159"/>
        <v/>
      </c>
      <c r="T340" s="4" t="str">
        <f t="shared" si="160"/>
        <v/>
      </c>
      <c r="U340" s="4" t="str">
        <f t="shared" si="161"/>
        <v/>
      </c>
      <c r="V340" s="247"/>
      <c r="W340" s="67" t="str">
        <f t="shared" si="162"/>
        <v/>
      </c>
      <c r="X340" s="118"/>
      <c r="Z340" s="67" t="str">
        <f t="shared" si="163"/>
        <v/>
      </c>
      <c r="AA340" s="13">
        <f t="shared" si="164"/>
        <v>0</v>
      </c>
      <c r="AB340" s="17">
        <f t="shared" si="165"/>
        <v>0</v>
      </c>
      <c r="AC340" s="163" t="str">
        <f t="shared" si="166"/>
        <v/>
      </c>
      <c r="AD340" s="119"/>
      <c r="AE340" s="21"/>
      <c r="AF340" s="121"/>
      <c r="AG340" s="122"/>
      <c r="AH340" s="83"/>
      <c r="AI340" s="115"/>
      <c r="AJ340" s="116"/>
      <c r="AK340" s="83"/>
      <c r="AL340" s="85"/>
      <c r="AM340" s="254"/>
      <c r="AN340" s="254"/>
      <c r="AO340" s="255"/>
    </row>
    <row r="341" spans="2:41" x14ac:dyDescent="0.25">
      <c r="B341" s="321"/>
      <c r="C341" s="17"/>
      <c r="E341" s="117"/>
      <c r="F341" s="4" t="str">
        <f t="shared" si="150"/>
        <v/>
      </c>
      <c r="G341" s="4" t="str">
        <f t="shared" si="151"/>
        <v/>
      </c>
      <c r="H341" s="4" t="str">
        <f t="shared" si="152"/>
        <v/>
      </c>
      <c r="I341" s="4" t="str">
        <f t="shared" si="153"/>
        <v/>
      </c>
      <c r="J341" s="247"/>
      <c r="K341" s="117"/>
      <c r="L341" s="4" t="str">
        <f t="shared" si="154"/>
        <v/>
      </c>
      <c r="M341" s="4" t="str">
        <f t="shared" si="155"/>
        <v/>
      </c>
      <c r="N341" s="4" t="str">
        <f t="shared" si="156"/>
        <v/>
      </c>
      <c r="O341" s="4" t="str">
        <f t="shared" si="157"/>
        <v/>
      </c>
      <c r="P341" s="247"/>
      <c r="Q341" s="117"/>
      <c r="R341" s="4" t="str">
        <f t="shared" si="158"/>
        <v/>
      </c>
      <c r="S341" s="4" t="str">
        <f t="shared" si="159"/>
        <v/>
      </c>
      <c r="T341" s="4" t="str">
        <f t="shared" si="160"/>
        <v/>
      </c>
      <c r="U341" s="4" t="str">
        <f t="shared" si="161"/>
        <v/>
      </c>
      <c r="V341" s="247"/>
      <c r="W341" s="67" t="str">
        <f t="shared" si="162"/>
        <v/>
      </c>
      <c r="X341" s="118"/>
      <c r="Z341" s="67" t="str">
        <f t="shared" si="163"/>
        <v/>
      </c>
      <c r="AA341" s="13">
        <f t="shared" si="164"/>
        <v>0</v>
      </c>
      <c r="AB341" s="17">
        <f t="shared" si="165"/>
        <v>0</v>
      </c>
      <c r="AC341" s="163" t="str">
        <f t="shared" si="166"/>
        <v/>
      </c>
      <c r="AD341" s="119"/>
      <c r="AE341" s="21"/>
      <c r="AF341" s="121"/>
      <c r="AG341" s="122"/>
      <c r="AH341" s="83"/>
      <c r="AI341" s="115"/>
      <c r="AJ341" s="116"/>
      <c r="AK341" s="83"/>
      <c r="AL341" s="85"/>
      <c r="AM341" s="254"/>
      <c r="AN341" s="254"/>
      <c r="AO341" s="255"/>
    </row>
    <row r="342" spans="2:41" x14ac:dyDescent="0.25">
      <c r="B342" s="321"/>
      <c r="C342" s="17"/>
      <c r="E342" s="117"/>
      <c r="F342" s="4" t="str">
        <f t="shared" si="150"/>
        <v/>
      </c>
      <c r="G342" s="4" t="str">
        <f t="shared" si="151"/>
        <v/>
      </c>
      <c r="H342" s="4" t="str">
        <f t="shared" si="152"/>
        <v/>
      </c>
      <c r="I342" s="4" t="str">
        <f t="shared" si="153"/>
        <v/>
      </c>
      <c r="J342" s="247"/>
      <c r="K342" s="117"/>
      <c r="L342" s="4" t="str">
        <f t="shared" si="154"/>
        <v/>
      </c>
      <c r="M342" s="4" t="str">
        <f t="shared" si="155"/>
        <v/>
      </c>
      <c r="N342" s="4" t="str">
        <f t="shared" si="156"/>
        <v/>
      </c>
      <c r="O342" s="4" t="str">
        <f t="shared" si="157"/>
        <v/>
      </c>
      <c r="P342" s="247"/>
      <c r="Q342" s="117"/>
      <c r="R342" s="4" t="str">
        <f t="shared" si="158"/>
        <v/>
      </c>
      <c r="S342" s="4" t="str">
        <f t="shared" si="159"/>
        <v/>
      </c>
      <c r="T342" s="4" t="str">
        <f t="shared" si="160"/>
        <v/>
      </c>
      <c r="U342" s="4" t="str">
        <f t="shared" si="161"/>
        <v/>
      </c>
      <c r="V342" s="247"/>
      <c r="W342" s="67" t="str">
        <f t="shared" si="162"/>
        <v/>
      </c>
      <c r="X342" s="118"/>
      <c r="Z342" s="67" t="str">
        <f t="shared" si="163"/>
        <v/>
      </c>
      <c r="AA342" s="13">
        <f t="shared" si="164"/>
        <v>0</v>
      </c>
      <c r="AB342" s="17">
        <f t="shared" si="165"/>
        <v>0</v>
      </c>
      <c r="AC342" s="163" t="str">
        <f t="shared" si="166"/>
        <v/>
      </c>
      <c r="AD342" s="119"/>
      <c r="AE342" s="21"/>
      <c r="AF342" s="121"/>
      <c r="AG342" s="122"/>
      <c r="AH342" s="83"/>
      <c r="AI342" s="115"/>
      <c r="AJ342" s="116"/>
      <c r="AK342" s="83"/>
      <c r="AL342" s="85"/>
      <c r="AM342" s="254"/>
      <c r="AN342" s="254"/>
      <c r="AO342" s="255"/>
    </row>
    <row r="343" spans="2:41" x14ac:dyDescent="0.25">
      <c r="B343" s="321"/>
      <c r="C343" s="17"/>
      <c r="E343" s="117"/>
      <c r="F343" s="4" t="str">
        <f t="shared" si="150"/>
        <v/>
      </c>
      <c r="G343" s="4" t="str">
        <f t="shared" si="151"/>
        <v/>
      </c>
      <c r="H343" s="4" t="str">
        <f t="shared" si="152"/>
        <v/>
      </c>
      <c r="I343" s="4" t="str">
        <f t="shared" si="153"/>
        <v/>
      </c>
      <c r="J343" s="247"/>
      <c r="K343" s="117"/>
      <c r="L343" s="4" t="str">
        <f t="shared" si="154"/>
        <v/>
      </c>
      <c r="M343" s="4" t="str">
        <f t="shared" si="155"/>
        <v/>
      </c>
      <c r="N343" s="4" t="str">
        <f t="shared" si="156"/>
        <v/>
      </c>
      <c r="O343" s="4" t="str">
        <f t="shared" si="157"/>
        <v/>
      </c>
      <c r="P343" s="247"/>
      <c r="Q343" s="117"/>
      <c r="R343" s="4" t="str">
        <f t="shared" si="158"/>
        <v/>
      </c>
      <c r="S343" s="4" t="str">
        <f t="shared" si="159"/>
        <v/>
      </c>
      <c r="T343" s="4" t="str">
        <f t="shared" si="160"/>
        <v/>
      </c>
      <c r="U343" s="4" t="str">
        <f t="shared" si="161"/>
        <v/>
      </c>
      <c r="V343" s="247"/>
      <c r="W343" s="67" t="str">
        <f t="shared" si="162"/>
        <v/>
      </c>
      <c r="X343" s="118"/>
      <c r="Z343" s="67" t="str">
        <f t="shared" si="163"/>
        <v/>
      </c>
      <c r="AA343" s="13">
        <f t="shared" si="164"/>
        <v>0</v>
      </c>
      <c r="AB343" s="17">
        <f t="shared" si="165"/>
        <v>0</v>
      </c>
      <c r="AC343" s="163" t="str">
        <f t="shared" si="166"/>
        <v/>
      </c>
      <c r="AD343" s="119"/>
      <c r="AE343" s="21"/>
      <c r="AF343" s="121"/>
      <c r="AG343" s="122"/>
      <c r="AH343" s="83"/>
      <c r="AI343" s="115"/>
      <c r="AJ343" s="116"/>
      <c r="AK343" s="83"/>
      <c r="AL343" s="85"/>
      <c r="AM343" s="254"/>
      <c r="AN343" s="254"/>
      <c r="AO343" s="255"/>
    </row>
    <row r="344" spans="2:41" x14ac:dyDescent="0.25">
      <c r="B344" s="321"/>
      <c r="C344" s="17"/>
      <c r="E344" s="117"/>
      <c r="F344" s="4" t="str">
        <f t="shared" si="150"/>
        <v/>
      </c>
      <c r="G344" s="4" t="str">
        <f t="shared" si="151"/>
        <v/>
      </c>
      <c r="H344" s="4" t="str">
        <f t="shared" si="152"/>
        <v/>
      </c>
      <c r="I344" s="4" t="str">
        <f t="shared" si="153"/>
        <v/>
      </c>
      <c r="J344" s="247"/>
      <c r="K344" s="117"/>
      <c r="L344" s="4" t="str">
        <f t="shared" si="154"/>
        <v/>
      </c>
      <c r="M344" s="4" t="str">
        <f t="shared" si="155"/>
        <v/>
      </c>
      <c r="N344" s="4" t="str">
        <f t="shared" si="156"/>
        <v/>
      </c>
      <c r="O344" s="4" t="str">
        <f t="shared" si="157"/>
        <v/>
      </c>
      <c r="P344" s="247"/>
      <c r="Q344" s="117"/>
      <c r="R344" s="4" t="str">
        <f t="shared" si="158"/>
        <v/>
      </c>
      <c r="S344" s="4" t="str">
        <f t="shared" si="159"/>
        <v/>
      </c>
      <c r="T344" s="4" t="str">
        <f t="shared" si="160"/>
        <v/>
      </c>
      <c r="U344" s="4" t="str">
        <f t="shared" si="161"/>
        <v/>
      </c>
      <c r="V344" s="247"/>
      <c r="W344" s="67" t="str">
        <f t="shared" si="162"/>
        <v/>
      </c>
      <c r="X344" s="118"/>
      <c r="Z344" s="67" t="str">
        <f t="shared" si="163"/>
        <v/>
      </c>
      <c r="AA344" s="13">
        <f t="shared" si="164"/>
        <v>0</v>
      </c>
      <c r="AB344" s="17">
        <f t="shared" si="165"/>
        <v>0</v>
      </c>
      <c r="AC344" s="163" t="str">
        <f t="shared" si="166"/>
        <v/>
      </c>
      <c r="AD344" s="119"/>
      <c r="AE344" s="21"/>
      <c r="AF344" s="121"/>
      <c r="AG344" s="122"/>
      <c r="AH344" s="83"/>
      <c r="AI344" s="115"/>
      <c r="AJ344" s="116"/>
      <c r="AK344" s="83"/>
      <c r="AL344" s="85"/>
      <c r="AM344" s="254"/>
      <c r="AN344" s="254"/>
      <c r="AO344" s="255"/>
    </row>
    <row r="345" spans="2:41" x14ac:dyDescent="0.25">
      <c r="B345" s="321"/>
      <c r="C345" s="17"/>
      <c r="E345" s="117"/>
      <c r="F345" s="4" t="str">
        <f t="shared" si="150"/>
        <v/>
      </c>
      <c r="G345" s="4" t="str">
        <f t="shared" si="151"/>
        <v/>
      </c>
      <c r="H345" s="4" t="str">
        <f t="shared" si="152"/>
        <v/>
      </c>
      <c r="I345" s="4" t="str">
        <f t="shared" si="153"/>
        <v/>
      </c>
      <c r="J345" s="247"/>
      <c r="K345" s="117"/>
      <c r="L345" s="4" t="str">
        <f t="shared" si="154"/>
        <v/>
      </c>
      <c r="M345" s="4" t="str">
        <f t="shared" si="155"/>
        <v/>
      </c>
      <c r="N345" s="4" t="str">
        <f t="shared" si="156"/>
        <v/>
      </c>
      <c r="O345" s="4" t="str">
        <f t="shared" si="157"/>
        <v/>
      </c>
      <c r="P345" s="247"/>
      <c r="Q345" s="117"/>
      <c r="R345" s="4" t="str">
        <f t="shared" si="158"/>
        <v/>
      </c>
      <c r="S345" s="4" t="str">
        <f t="shared" si="159"/>
        <v/>
      </c>
      <c r="T345" s="4" t="str">
        <f t="shared" si="160"/>
        <v/>
      </c>
      <c r="U345" s="4" t="str">
        <f t="shared" si="161"/>
        <v/>
      </c>
      <c r="V345" s="247"/>
      <c r="W345" s="67" t="str">
        <f t="shared" si="162"/>
        <v/>
      </c>
      <c r="X345" s="118"/>
      <c r="Z345" s="67" t="str">
        <f t="shared" si="163"/>
        <v/>
      </c>
      <c r="AA345" s="13">
        <f t="shared" si="164"/>
        <v>0</v>
      </c>
      <c r="AB345" s="17">
        <f t="shared" si="165"/>
        <v>0</v>
      </c>
      <c r="AC345" s="163" t="str">
        <f t="shared" si="166"/>
        <v/>
      </c>
      <c r="AD345" s="119"/>
      <c r="AE345" s="21"/>
      <c r="AF345" s="121"/>
      <c r="AG345" s="122"/>
      <c r="AH345" s="83" t="str">
        <f t="shared" ref="AH345:AH374" si="167">IF(AG345&lt;&gt;0,((AF345+AG345)-(AD345+AE345)),"")</f>
        <v/>
      </c>
      <c r="AI345" s="115"/>
      <c r="AJ345" s="116"/>
      <c r="AK345" s="83" t="str">
        <f t="shared" ref="AK345:AK374" si="168">IF(AJ345&lt;&gt;0,((AI345+AJ345)-(AF345+AG345)),"")</f>
        <v/>
      </c>
      <c r="AL345" s="85" t="str">
        <f t="shared" ref="AL345:AL374" si="169">IFERROR((AH345+AK345),"")</f>
        <v/>
      </c>
      <c r="AM345" s="254" t="str">
        <f t="shared" ref="AM345:AM374" si="170">IF(AK345="","",AI345+AJ345)</f>
        <v/>
      </c>
      <c r="AN345" s="254" t="str">
        <f t="shared" ref="AN345:AN374" ca="1" si="171">IF(AK345="","",NOW())</f>
        <v/>
      </c>
      <c r="AO345" s="255" t="str">
        <f t="shared" ref="AO345:AO374" si="172">IF(AK345="","",AN345-AM345)</f>
        <v/>
      </c>
    </row>
    <row r="346" spans="2:41" x14ac:dyDescent="0.25">
      <c r="B346" s="321"/>
      <c r="C346" s="17"/>
      <c r="E346" s="117"/>
      <c r="F346" s="4" t="str">
        <f t="shared" si="150"/>
        <v/>
      </c>
      <c r="G346" s="4" t="str">
        <f t="shared" si="151"/>
        <v/>
      </c>
      <c r="H346" s="4" t="str">
        <f t="shared" si="152"/>
        <v/>
      </c>
      <c r="I346" s="4" t="str">
        <f t="shared" si="153"/>
        <v/>
      </c>
      <c r="J346" s="247"/>
      <c r="K346" s="117"/>
      <c r="L346" s="4" t="str">
        <f t="shared" si="154"/>
        <v/>
      </c>
      <c r="M346" s="4" t="str">
        <f t="shared" si="155"/>
        <v/>
      </c>
      <c r="N346" s="4" t="str">
        <f t="shared" si="156"/>
        <v/>
      </c>
      <c r="O346" s="4" t="str">
        <f t="shared" si="157"/>
        <v/>
      </c>
      <c r="P346" s="247"/>
      <c r="Q346" s="117"/>
      <c r="R346" s="4" t="str">
        <f t="shared" si="158"/>
        <v/>
      </c>
      <c r="S346" s="4" t="str">
        <f t="shared" si="159"/>
        <v/>
      </c>
      <c r="T346" s="4" t="str">
        <f t="shared" si="160"/>
        <v/>
      </c>
      <c r="U346" s="4" t="str">
        <f t="shared" si="161"/>
        <v/>
      </c>
      <c r="V346" s="247"/>
      <c r="W346" s="67" t="str">
        <f t="shared" si="162"/>
        <v/>
      </c>
      <c r="X346" s="118"/>
      <c r="Z346" s="67" t="str">
        <f t="shared" si="163"/>
        <v/>
      </c>
      <c r="AA346" s="13">
        <f t="shared" si="164"/>
        <v>0</v>
      </c>
      <c r="AB346" s="17">
        <f t="shared" si="165"/>
        <v>0</v>
      </c>
      <c r="AC346" s="163" t="str">
        <f t="shared" si="166"/>
        <v/>
      </c>
      <c r="AD346" s="119"/>
      <c r="AE346" s="21"/>
      <c r="AF346" s="121"/>
      <c r="AG346" s="122"/>
      <c r="AH346" s="83" t="str">
        <f t="shared" si="167"/>
        <v/>
      </c>
      <c r="AI346" s="115"/>
      <c r="AJ346" s="116"/>
      <c r="AK346" s="83" t="str">
        <f t="shared" si="168"/>
        <v/>
      </c>
      <c r="AL346" s="85" t="str">
        <f t="shared" si="169"/>
        <v/>
      </c>
      <c r="AM346" s="254" t="str">
        <f t="shared" si="170"/>
        <v/>
      </c>
      <c r="AN346" s="254" t="str">
        <f t="shared" ca="1" si="171"/>
        <v/>
      </c>
      <c r="AO346" s="255" t="str">
        <f t="shared" si="172"/>
        <v/>
      </c>
    </row>
    <row r="347" spans="2:41" x14ac:dyDescent="0.25">
      <c r="B347" s="321"/>
      <c r="C347" s="17"/>
      <c r="E347" s="117"/>
      <c r="F347" s="4" t="str">
        <f t="shared" si="150"/>
        <v/>
      </c>
      <c r="G347" s="4" t="str">
        <f t="shared" si="151"/>
        <v/>
      </c>
      <c r="H347" s="4" t="str">
        <f t="shared" si="152"/>
        <v/>
      </c>
      <c r="I347" s="4" t="str">
        <f t="shared" si="153"/>
        <v/>
      </c>
      <c r="J347" s="247"/>
      <c r="K347" s="117"/>
      <c r="L347" s="4" t="str">
        <f t="shared" si="154"/>
        <v/>
      </c>
      <c r="M347" s="4" t="str">
        <f t="shared" si="155"/>
        <v/>
      </c>
      <c r="N347" s="4" t="str">
        <f t="shared" si="156"/>
        <v/>
      </c>
      <c r="O347" s="4" t="str">
        <f t="shared" si="157"/>
        <v/>
      </c>
      <c r="P347" s="247"/>
      <c r="Q347" s="117"/>
      <c r="R347" s="4" t="str">
        <f t="shared" si="158"/>
        <v/>
      </c>
      <c r="S347" s="4" t="str">
        <f t="shared" si="159"/>
        <v/>
      </c>
      <c r="T347" s="4" t="str">
        <f t="shared" si="160"/>
        <v/>
      </c>
      <c r="U347" s="4" t="str">
        <f t="shared" si="161"/>
        <v/>
      </c>
      <c r="V347" s="247"/>
      <c r="W347" s="67" t="str">
        <f t="shared" si="162"/>
        <v/>
      </c>
      <c r="X347" s="118"/>
      <c r="Z347" s="67" t="str">
        <f t="shared" si="163"/>
        <v/>
      </c>
      <c r="AA347" s="13">
        <f t="shared" si="164"/>
        <v>0</v>
      </c>
      <c r="AB347" s="17">
        <f t="shared" si="165"/>
        <v>0</v>
      </c>
      <c r="AC347" s="163" t="str">
        <f t="shared" si="166"/>
        <v/>
      </c>
      <c r="AD347" s="119"/>
      <c r="AE347" s="21"/>
      <c r="AF347" s="121"/>
      <c r="AG347" s="122"/>
      <c r="AH347" s="83" t="str">
        <f t="shared" si="167"/>
        <v/>
      </c>
      <c r="AI347" s="115"/>
      <c r="AJ347" s="116"/>
      <c r="AK347" s="83" t="str">
        <f t="shared" si="168"/>
        <v/>
      </c>
      <c r="AL347" s="85" t="str">
        <f t="shared" si="169"/>
        <v/>
      </c>
      <c r="AM347" s="254" t="str">
        <f t="shared" si="170"/>
        <v/>
      </c>
      <c r="AN347" s="254" t="str">
        <f t="shared" ca="1" si="171"/>
        <v/>
      </c>
      <c r="AO347" s="255" t="str">
        <f t="shared" si="172"/>
        <v/>
      </c>
    </row>
    <row r="348" spans="2:41" x14ac:dyDescent="0.25">
      <c r="B348" s="321"/>
      <c r="C348" s="17"/>
      <c r="E348" s="117"/>
      <c r="F348" s="4" t="str">
        <f t="shared" si="150"/>
        <v/>
      </c>
      <c r="G348" s="4" t="str">
        <f t="shared" si="151"/>
        <v/>
      </c>
      <c r="H348" s="4" t="str">
        <f t="shared" si="152"/>
        <v/>
      </c>
      <c r="I348" s="4" t="str">
        <f t="shared" si="153"/>
        <v/>
      </c>
      <c r="J348" s="247"/>
      <c r="K348" s="117"/>
      <c r="L348" s="4" t="str">
        <f t="shared" si="154"/>
        <v/>
      </c>
      <c r="M348" s="4" t="str">
        <f t="shared" si="155"/>
        <v/>
      </c>
      <c r="N348" s="4" t="str">
        <f t="shared" si="156"/>
        <v/>
      </c>
      <c r="O348" s="4" t="str">
        <f t="shared" si="157"/>
        <v/>
      </c>
      <c r="P348" s="247"/>
      <c r="Q348" s="117"/>
      <c r="R348" s="4" t="str">
        <f t="shared" si="158"/>
        <v/>
      </c>
      <c r="S348" s="4" t="str">
        <f t="shared" si="159"/>
        <v/>
      </c>
      <c r="T348" s="4" t="str">
        <f t="shared" si="160"/>
        <v/>
      </c>
      <c r="U348" s="4" t="str">
        <f t="shared" si="161"/>
        <v/>
      </c>
      <c r="V348" s="247"/>
      <c r="W348" s="67" t="str">
        <f t="shared" si="162"/>
        <v/>
      </c>
      <c r="X348" s="118"/>
      <c r="Z348" s="67" t="str">
        <f t="shared" si="163"/>
        <v/>
      </c>
      <c r="AA348" s="13">
        <f t="shared" si="164"/>
        <v>0</v>
      </c>
      <c r="AB348" s="17">
        <f t="shared" si="165"/>
        <v>0</v>
      </c>
      <c r="AC348" s="163" t="str">
        <f t="shared" si="166"/>
        <v/>
      </c>
      <c r="AD348" s="119"/>
      <c r="AE348" s="21"/>
      <c r="AF348" s="121"/>
      <c r="AG348" s="122"/>
      <c r="AH348" s="83" t="str">
        <f t="shared" si="167"/>
        <v/>
      </c>
      <c r="AI348" s="115"/>
      <c r="AJ348" s="116"/>
      <c r="AK348" s="83" t="str">
        <f t="shared" si="168"/>
        <v/>
      </c>
      <c r="AL348" s="85" t="str">
        <f t="shared" si="169"/>
        <v/>
      </c>
      <c r="AM348" s="254" t="str">
        <f t="shared" si="170"/>
        <v/>
      </c>
      <c r="AN348" s="254" t="str">
        <f t="shared" ca="1" si="171"/>
        <v/>
      </c>
      <c r="AO348" s="255" t="str">
        <f t="shared" si="172"/>
        <v/>
      </c>
    </row>
    <row r="349" spans="2:41" x14ac:dyDescent="0.25">
      <c r="B349" s="321"/>
      <c r="C349" s="17"/>
      <c r="E349" s="117"/>
      <c r="F349" s="4" t="str">
        <f t="shared" si="150"/>
        <v/>
      </c>
      <c r="G349" s="4" t="str">
        <f t="shared" si="151"/>
        <v/>
      </c>
      <c r="H349" s="4" t="str">
        <f t="shared" si="152"/>
        <v/>
      </c>
      <c r="I349" s="4" t="str">
        <f t="shared" si="153"/>
        <v/>
      </c>
      <c r="J349" s="247"/>
      <c r="K349" s="117"/>
      <c r="L349" s="4" t="str">
        <f t="shared" si="154"/>
        <v/>
      </c>
      <c r="M349" s="4" t="str">
        <f t="shared" si="155"/>
        <v/>
      </c>
      <c r="N349" s="4" t="str">
        <f t="shared" si="156"/>
        <v/>
      </c>
      <c r="O349" s="4" t="str">
        <f t="shared" si="157"/>
        <v/>
      </c>
      <c r="P349" s="247"/>
      <c r="Q349" s="117"/>
      <c r="R349" s="4" t="str">
        <f t="shared" si="158"/>
        <v/>
      </c>
      <c r="S349" s="4" t="str">
        <f t="shared" si="159"/>
        <v/>
      </c>
      <c r="T349" s="4" t="str">
        <f t="shared" si="160"/>
        <v/>
      </c>
      <c r="U349" s="4" t="str">
        <f t="shared" si="161"/>
        <v/>
      </c>
      <c r="V349" s="247"/>
      <c r="W349" s="67" t="str">
        <f t="shared" si="162"/>
        <v/>
      </c>
      <c r="X349" s="118"/>
      <c r="Z349" s="67" t="str">
        <f t="shared" si="163"/>
        <v/>
      </c>
      <c r="AA349" s="13">
        <f t="shared" si="164"/>
        <v>0</v>
      </c>
      <c r="AB349" s="17">
        <f t="shared" si="165"/>
        <v>0</v>
      </c>
      <c r="AC349" s="163" t="str">
        <f t="shared" si="166"/>
        <v/>
      </c>
      <c r="AD349" s="119"/>
      <c r="AE349" s="21"/>
      <c r="AF349" s="121"/>
      <c r="AG349" s="122"/>
      <c r="AH349" s="83" t="str">
        <f t="shared" si="167"/>
        <v/>
      </c>
      <c r="AI349" s="115"/>
      <c r="AJ349" s="116"/>
      <c r="AK349" s="83" t="str">
        <f t="shared" si="168"/>
        <v/>
      </c>
      <c r="AL349" s="85" t="str">
        <f t="shared" si="169"/>
        <v/>
      </c>
      <c r="AM349" s="254" t="str">
        <f t="shared" si="170"/>
        <v/>
      </c>
      <c r="AN349" s="254" t="str">
        <f t="shared" ca="1" si="171"/>
        <v/>
      </c>
      <c r="AO349" s="255" t="str">
        <f t="shared" si="172"/>
        <v/>
      </c>
    </row>
    <row r="350" spans="2:41" x14ac:dyDescent="0.25">
      <c r="B350" s="321"/>
      <c r="C350" s="17"/>
      <c r="E350" s="117"/>
      <c r="F350" s="4" t="str">
        <f t="shared" si="150"/>
        <v/>
      </c>
      <c r="G350" s="4" t="str">
        <f t="shared" si="151"/>
        <v/>
      </c>
      <c r="H350" s="4" t="str">
        <f t="shared" si="152"/>
        <v/>
      </c>
      <c r="I350" s="4" t="str">
        <f t="shared" si="153"/>
        <v/>
      </c>
      <c r="J350" s="247"/>
      <c r="K350" s="117"/>
      <c r="L350" s="4" t="str">
        <f t="shared" si="154"/>
        <v/>
      </c>
      <c r="M350" s="4" t="str">
        <f t="shared" si="155"/>
        <v/>
      </c>
      <c r="N350" s="4" t="str">
        <f t="shared" si="156"/>
        <v/>
      </c>
      <c r="O350" s="4" t="str">
        <f t="shared" si="157"/>
        <v/>
      </c>
      <c r="P350" s="247"/>
      <c r="Q350" s="117"/>
      <c r="R350" s="4" t="str">
        <f t="shared" si="158"/>
        <v/>
      </c>
      <c r="S350" s="4" t="str">
        <f t="shared" si="159"/>
        <v/>
      </c>
      <c r="T350" s="4" t="str">
        <f t="shared" si="160"/>
        <v/>
      </c>
      <c r="U350" s="4" t="str">
        <f t="shared" si="161"/>
        <v/>
      </c>
      <c r="V350" s="247"/>
      <c r="W350" s="67" t="str">
        <f t="shared" si="162"/>
        <v/>
      </c>
      <c r="X350" s="118"/>
      <c r="Z350" s="67" t="str">
        <f t="shared" si="163"/>
        <v/>
      </c>
      <c r="AA350" s="13">
        <f t="shared" si="164"/>
        <v>0</v>
      </c>
      <c r="AB350" s="17">
        <f t="shared" si="165"/>
        <v>0</v>
      </c>
      <c r="AC350" s="163" t="str">
        <f t="shared" si="166"/>
        <v/>
      </c>
      <c r="AD350" s="119"/>
      <c r="AE350" s="21"/>
      <c r="AF350" s="121"/>
      <c r="AG350" s="122"/>
      <c r="AH350" s="83" t="str">
        <f t="shared" si="167"/>
        <v/>
      </c>
      <c r="AI350" s="115"/>
      <c r="AJ350" s="116"/>
      <c r="AK350" s="83" t="str">
        <f t="shared" si="168"/>
        <v/>
      </c>
      <c r="AL350" s="85" t="str">
        <f t="shared" si="169"/>
        <v/>
      </c>
      <c r="AM350" s="254" t="str">
        <f t="shared" si="170"/>
        <v/>
      </c>
      <c r="AN350" s="254" t="str">
        <f t="shared" ca="1" si="171"/>
        <v/>
      </c>
      <c r="AO350" s="255" t="str">
        <f t="shared" si="172"/>
        <v/>
      </c>
    </row>
    <row r="351" spans="2:41" x14ac:dyDescent="0.25">
      <c r="B351" s="321"/>
      <c r="C351" s="17"/>
      <c r="E351" s="117"/>
      <c r="F351" s="4" t="str">
        <f t="shared" si="150"/>
        <v/>
      </c>
      <c r="G351" s="4" t="str">
        <f t="shared" si="151"/>
        <v/>
      </c>
      <c r="H351" s="4" t="str">
        <f t="shared" si="152"/>
        <v/>
      </c>
      <c r="I351" s="4" t="str">
        <f t="shared" si="153"/>
        <v/>
      </c>
      <c r="J351" s="247"/>
      <c r="K351" s="117"/>
      <c r="L351" s="4" t="str">
        <f t="shared" si="154"/>
        <v/>
      </c>
      <c r="M351" s="4" t="str">
        <f t="shared" si="155"/>
        <v/>
      </c>
      <c r="N351" s="4" t="str">
        <f t="shared" si="156"/>
        <v/>
      </c>
      <c r="O351" s="4" t="str">
        <f t="shared" si="157"/>
        <v/>
      </c>
      <c r="P351" s="247"/>
      <c r="Q351" s="117"/>
      <c r="R351" s="4" t="str">
        <f t="shared" si="158"/>
        <v/>
      </c>
      <c r="S351" s="4" t="str">
        <f t="shared" si="159"/>
        <v/>
      </c>
      <c r="T351" s="4" t="str">
        <f t="shared" si="160"/>
        <v/>
      </c>
      <c r="U351" s="4" t="str">
        <f t="shared" si="161"/>
        <v/>
      </c>
      <c r="V351" s="247"/>
      <c r="W351" s="67" t="str">
        <f t="shared" si="162"/>
        <v/>
      </c>
      <c r="X351" s="118"/>
      <c r="Z351" s="67" t="str">
        <f t="shared" si="163"/>
        <v/>
      </c>
      <c r="AA351" s="13">
        <f t="shared" si="164"/>
        <v>0</v>
      </c>
      <c r="AB351" s="17">
        <f t="shared" si="165"/>
        <v>0</v>
      </c>
      <c r="AC351" s="163" t="str">
        <f t="shared" si="166"/>
        <v/>
      </c>
      <c r="AD351" s="119"/>
      <c r="AE351" s="21"/>
      <c r="AF351" s="121"/>
      <c r="AG351" s="122"/>
      <c r="AH351" s="83" t="str">
        <f t="shared" si="167"/>
        <v/>
      </c>
      <c r="AI351" s="115"/>
      <c r="AJ351" s="116"/>
      <c r="AK351" s="83" t="str">
        <f t="shared" si="168"/>
        <v/>
      </c>
      <c r="AL351" s="85" t="str">
        <f t="shared" si="169"/>
        <v/>
      </c>
      <c r="AM351" s="254" t="str">
        <f t="shared" si="170"/>
        <v/>
      </c>
      <c r="AN351" s="254" t="str">
        <f t="shared" ca="1" si="171"/>
        <v/>
      </c>
      <c r="AO351" s="255" t="str">
        <f t="shared" si="172"/>
        <v/>
      </c>
    </row>
    <row r="352" spans="2:41" x14ac:dyDescent="0.25">
      <c r="B352" s="321"/>
      <c r="C352" s="17"/>
      <c r="E352" s="117"/>
      <c r="F352" s="4" t="str">
        <f t="shared" si="150"/>
        <v/>
      </c>
      <c r="G352" s="4" t="str">
        <f t="shared" si="151"/>
        <v/>
      </c>
      <c r="H352" s="4" t="str">
        <f t="shared" si="152"/>
        <v/>
      </c>
      <c r="I352" s="4" t="str">
        <f t="shared" si="153"/>
        <v/>
      </c>
      <c r="J352" s="247"/>
      <c r="K352" s="117"/>
      <c r="L352" s="4" t="str">
        <f t="shared" si="154"/>
        <v/>
      </c>
      <c r="M352" s="4" t="str">
        <f t="shared" si="155"/>
        <v/>
      </c>
      <c r="N352" s="4" t="str">
        <f t="shared" si="156"/>
        <v/>
      </c>
      <c r="O352" s="4" t="str">
        <f t="shared" si="157"/>
        <v/>
      </c>
      <c r="P352" s="247"/>
      <c r="Q352" s="117"/>
      <c r="R352" s="4" t="str">
        <f t="shared" si="158"/>
        <v/>
      </c>
      <c r="S352" s="4" t="str">
        <f t="shared" si="159"/>
        <v/>
      </c>
      <c r="T352" s="4" t="str">
        <f t="shared" si="160"/>
        <v/>
      </c>
      <c r="U352" s="4" t="str">
        <f t="shared" si="161"/>
        <v/>
      </c>
      <c r="V352" s="247"/>
      <c r="W352" s="67" t="str">
        <f t="shared" si="162"/>
        <v/>
      </c>
      <c r="X352" s="118"/>
      <c r="Z352" s="67" t="str">
        <f t="shared" si="163"/>
        <v/>
      </c>
      <c r="AA352" s="13">
        <f t="shared" si="164"/>
        <v>0</v>
      </c>
      <c r="AB352" s="17">
        <f t="shared" si="165"/>
        <v>0</v>
      </c>
      <c r="AC352" s="163" t="str">
        <f t="shared" si="166"/>
        <v/>
      </c>
      <c r="AD352" s="119"/>
      <c r="AE352" s="21"/>
      <c r="AF352" s="121"/>
      <c r="AG352" s="122"/>
      <c r="AH352" s="83" t="str">
        <f t="shared" si="167"/>
        <v/>
      </c>
      <c r="AI352" s="115"/>
      <c r="AJ352" s="116"/>
      <c r="AK352" s="83" t="str">
        <f t="shared" si="168"/>
        <v/>
      </c>
      <c r="AL352" s="85" t="str">
        <f t="shared" si="169"/>
        <v/>
      </c>
      <c r="AM352" s="254" t="str">
        <f t="shared" si="170"/>
        <v/>
      </c>
      <c r="AN352" s="254" t="str">
        <f t="shared" ca="1" si="171"/>
        <v/>
      </c>
      <c r="AO352" s="255" t="str">
        <f t="shared" si="172"/>
        <v/>
      </c>
    </row>
    <row r="353" spans="2:41" x14ac:dyDescent="0.25">
      <c r="B353" s="321"/>
      <c r="C353" s="17"/>
      <c r="E353" s="117"/>
      <c r="F353" s="4" t="str">
        <f t="shared" si="150"/>
        <v/>
      </c>
      <c r="G353" s="4" t="str">
        <f t="shared" si="151"/>
        <v/>
      </c>
      <c r="H353" s="4" t="str">
        <f t="shared" si="152"/>
        <v/>
      </c>
      <c r="I353" s="4" t="str">
        <f t="shared" si="153"/>
        <v/>
      </c>
      <c r="J353" s="247"/>
      <c r="K353" s="117"/>
      <c r="L353" s="4" t="str">
        <f t="shared" si="154"/>
        <v/>
      </c>
      <c r="M353" s="4" t="str">
        <f t="shared" si="155"/>
        <v/>
      </c>
      <c r="N353" s="4" t="str">
        <f t="shared" si="156"/>
        <v/>
      </c>
      <c r="O353" s="4" t="str">
        <f t="shared" si="157"/>
        <v/>
      </c>
      <c r="P353" s="247"/>
      <c r="Q353" s="117"/>
      <c r="R353" s="4" t="str">
        <f t="shared" si="158"/>
        <v/>
      </c>
      <c r="S353" s="4" t="str">
        <f t="shared" si="159"/>
        <v/>
      </c>
      <c r="T353" s="4" t="str">
        <f t="shared" si="160"/>
        <v/>
      </c>
      <c r="U353" s="4" t="str">
        <f t="shared" si="161"/>
        <v/>
      </c>
      <c r="V353" s="247"/>
      <c r="W353" s="67" t="str">
        <f t="shared" si="162"/>
        <v/>
      </c>
      <c r="X353" s="118"/>
      <c r="Z353" s="67" t="str">
        <f t="shared" si="163"/>
        <v/>
      </c>
      <c r="AA353" s="13">
        <f t="shared" si="164"/>
        <v>0</v>
      </c>
      <c r="AB353" s="17">
        <f t="shared" si="165"/>
        <v>0</v>
      </c>
      <c r="AC353" s="163" t="str">
        <f t="shared" si="166"/>
        <v/>
      </c>
      <c r="AD353" s="119"/>
      <c r="AE353" s="21"/>
      <c r="AF353" s="121"/>
      <c r="AG353" s="122"/>
      <c r="AH353" s="83" t="str">
        <f t="shared" si="167"/>
        <v/>
      </c>
      <c r="AI353" s="115"/>
      <c r="AJ353" s="116"/>
      <c r="AK353" s="83" t="str">
        <f t="shared" si="168"/>
        <v/>
      </c>
      <c r="AL353" s="85" t="str">
        <f t="shared" si="169"/>
        <v/>
      </c>
      <c r="AM353" s="254" t="str">
        <f t="shared" si="170"/>
        <v/>
      </c>
      <c r="AN353" s="254" t="str">
        <f t="shared" ca="1" si="171"/>
        <v/>
      </c>
      <c r="AO353" s="255" t="str">
        <f t="shared" si="172"/>
        <v/>
      </c>
    </row>
    <row r="354" spans="2:41" x14ac:dyDescent="0.25">
      <c r="B354" s="321"/>
      <c r="C354" s="17"/>
      <c r="E354" s="117"/>
      <c r="F354" s="4" t="str">
        <f t="shared" si="150"/>
        <v/>
      </c>
      <c r="G354" s="4" t="str">
        <f t="shared" si="151"/>
        <v/>
      </c>
      <c r="H354" s="4" t="str">
        <f t="shared" si="152"/>
        <v/>
      </c>
      <c r="I354" s="4" t="str">
        <f t="shared" si="153"/>
        <v/>
      </c>
      <c r="J354" s="247"/>
      <c r="K354" s="117"/>
      <c r="L354" s="4" t="str">
        <f t="shared" si="154"/>
        <v/>
      </c>
      <c r="M354" s="4" t="str">
        <f t="shared" si="155"/>
        <v/>
      </c>
      <c r="N354" s="4" t="str">
        <f t="shared" si="156"/>
        <v/>
      </c>
      <c r="O354" s="4" t="str">
        <f t="shared" si="157"/>
        <v/>
      </c>
      <c r="P354" s="247"/>
      <c r="Q354" s="117"/>
      <c r="R354" s="4" t="str">
        <f t="shared" si="158"/>
        <v/>
      </c>
      <c r="S354" s="4" t="str">
        <f t="shared" si="159"/>
        <v/>
      </c>
      <c r="T354" s="4" t="str">
        <f t="shared" si="160"/>
        <v/>
      </c>
      <c r="U354" s="4" t="str">
        <f t="shared" si="161"/>
        <v/>
      </c>
      <c r="V354" s="247"/>
      <c r="W354" s="67" t="str">
        <f t="shared" si="162"/>
        <v/>
      </c>
      <c r="X354" s="118"/>
      <c r="Z354" s="67" t="str">
        <f t="shared" si="163"/>
        <v/>
      </c>
      <c r="AA354" s="13">
        <f t="shared" si="164"/>
        <v>0</v>
      </c>
      <c r="AB354" s="17">
        <f t="shared" si="165"/>
        <v>0</v>
      </c>
      <c r="AC354" s="163" t="str">
        <f t="shared" si="166"/>
        <v/>
      </c>
      <c r="AD354" s="119"/>
      <c r="AE354" s="21"/>
      <c r="AF354" s="121"/>
      <c r="AG354" s="122"/>
      <c r="AH354" s="83" t="str">
        <f t="shared" si="167"/>
        <v/>
      </c>
      <c r="AI354" s="115"/>
      <c r="AJ354" s="116"/>
      <c r="AK354" s="83" t="str">
        <f t="shared" si="168"/>
        <v/>
      </c>
      <c r="AL354" s="85" t="str">
        <f t="shared" si="169"/>
        <v/>
      </c>
      <c r="AM354" s="254" t="str">
        <f t="shared" si="170"/>
        <v/>
      </c>
      <c r="AN354" s="254" t="str">
        <f t="shared" ca="1" si="171"/>
        <v/>
      </c>
      <c r="AO354" s="255" t="str">
        <f t="shared" si="172"/>
        <v/>
      </c>
    </row>
    <row r="355" spans="2:41" x14ac:dyDescent="0.25">
      <c r="B355" s="321"/>
      <c r="C355" s="17"/>
      <c r="E355" s="117"/>
      <c r="F355" s="4" t="str">
        <f t="shared" si="150"/>
        <v/>
      </c>
      <c r="G355" s="4" t="str">
        <f t="shared" si="151"/>
        <v/>
      </c>
      <c r="H355" s="4" t="str">
        <f t="shared" si="152"/>
        <v/>
      </c>
      <c r="I355" s="4" t="str">
        <f t="shared" si="153"/>
        <v/>
      </c>
      <c r="J355" s="247"/>
      <c r="K355" s="117"/>
      <c r="L355" s="4" t="str">
        <f t="shared" si="154"/>
        <v/>
      </c>
      <c r="M355" s="4" t="str">
        <f t="shared" si="155"/>
        <v/>
      </c>
      <c r="N355" s="4" t="str">
        <f t="shared" si="156"/>
        <v/>
      </c>
      <c r="O355" s="4" t="str">
        <f t="shared" si="157"/>
        <v/>
      </c>
      <c r="P355" s="247"/>
      <c r="Q355" s="117"/>
      <c r="R355" s="4" t="str">
        <f t="shared" si="158"/>
        <v/>
      </c>
      <c r="S355" s="4" t="str">
        <f t="shared" si="159"/>
        <v/>
      </c>
      <c r="T355" s="4" t="str">
        <f t="shared" si="160"/>
        <v/>
      </c>
      <c r="U355" s="4" t="str">
        <f t="shared" si="161"/>
        <v/>
      </c>
      <c r="V355" s="247"/>
      <c r="W355" s="67" t="str">
        <f t="shared" si="162"/>
        <v/>
      </c>
      <c r="X355" s="118"/>
      <c r="Z355" s="67" t="str">
        <f t="shared" si="163"/>
        <v/>
      </c>
      <c r="AA355" s="13">
        <f t="shared" si="164"/>
        <v>0</v>
      </c>
      <c r="AB355" s="17">
        <f t="shared" si="165"/>
        <v>0</v>
      </c>
      <c r="AC355" s="163" t="str">
        <f t="shared" si="166"/>
        <v/>
      </c>
      <c r="AD355" s="119"/>
      <c r="AE355" s="21"/>
      <c r="AF355" s="121"/>
      <c r="AG355" s="122"/>
      <c r="AH355" s="83" t="str">
        <f t="shared" si="167"/>
        <v/>
      </c>
      <c r="AI355" s="115"/>
      <c r="AJ355" s="116"/>
      <c r="AK355" s="83" t="str">
        <f t="shared" si="168"/>
        <v/>
      </c>
      <c r="AL355" s="85" t="str">
        <f t="shared" si="169"/>
        <v/>
      </c>
      <c r="AM355" s="254" t="str">
        <f t="shared" si="170"/>
        <v/>
      </c>
      <c r="AN355" s="254" t="str">
        <f t="shared" ca="1" si="171"/>
        <v/>
      </c>
      <c r="AO355" s="255" t="str">
        <f t="shared" si="172"/>
        <v/>
      </c>
    </row>
    <row r="356" spans="2:41" x14ac:dyDescent="0.25">
      <c r="B356" s="321"/>
      <c r="C356" s="17"/>
      <c r="E356" s="117"/>
      <c r="F356" s="4" t="str">
        <f t="shared" si="150"/>
        <v/>
      </c>
      <c r="G356" s="4" t="str">
        <f t="shared" si="151"/>
        <v/>
      </c>
      <c r="H356" s="4" t="str">
        <f t="shared" si="152"/>
        <v/>
      </c>
      <c r="I356" s="4" t="str">
        <f t="shared" si="153"/>
        <v/>
      </c>
      <c r="J356" s="247"/>
      <c r="K356" s="117"/>
      <c r="L356" s="4" t="str">
        <f t="shared" si="154"/>
        <v/>
      </c>
      <c r="M356" s="4" t="str">
        <f t="shared" si="155"/>
        <v/>
      </c>
      <c r="N356" s="4" t="str">
        <f t="shared" si="156"/>
        <v/>
      </c>
      <c r="O356" s="4" t="str">
        <f t="shared" si="157"/>
        <v/>
      </c>
      <c r="P356" s="247"/>
      <c r="Q356" s="117"/>
      <c r="R356" s="4" t="str">
        <f t="shared" si="158"/>
        <v/>
      </c>
      <c r="S356" s="4" t="str">
        <f t="shared" si="159"/>
        <v/>
      </c>
      <c r="T356" s="4" t="str">
        <f t="shared" si="160"/>
        <v/>
      </c>
      <c r="U356" s="4" t="str">
        <f t="shared" si="161"/>
        <v/>
      </c>
      <c r="V356" s="247"/>
      <c r="W356" s="67" t="str">
        <f t="shared" si="162"/>
        <v/>
      </c>
      <c r="X356" s="118"/>
      <c r="Z356" s="67" t="str">
        <f t="shared" si="163"/>
        <v/>
      </c>
      <c r="AA356" s="13">
        <f t="shared" si="164"/>
        <v>0</v>
      </c>
      <c r="AB356" s="17">
        <f t="shared" si="165"/>
        <v>0</v>
      </c>
      <c r="AC356" s="163" t="str">
        <f t="shared" si="166"/>
        <v/>
      </c>
      <c r="AD356" s="119"/>
      <c r="AE356" s="21"/>
      <c r="AF356" s="121"/>
      <c r="AG356" s="122"/>
      <c r="AH356" s="83" t="str">
        <f t="shared" si="167"/>
        <v/>
      </c>
      <c r="AI356" s="115"/>
      <c r="AJ356" s="116"/>
      <c r="AK356" s="83" t="str">
        <f t="shared" si="168"/>
        <v/>
      </c>
      <c r="AL356" s="85" t="str">
        <f t="shared" si="169"/>
        <v/>
      </c>
      <c r="AM356" s="254" t="str">
        <f t="shared" si="170"/>
        <v/>
      </c>
      <c r="AN356" s="254" t="str">
        <f t="shared" ca="1" si="171"/>
        <v/>
      </c>
      <c r="AO356" s="255" t="str">
        <f t="shared" si="172"/>
        <v/>
      </c>
    </row>
    <row r="357" spans="2:41" x14ac:dyDescent="0.25">
      <c r="B357" s="321"/>
      <c r="C357" s="17"/>
      <c r="E357" s="117"/>
      <c r="F357" s="4" t="str">
        <f t="shared" si="150"/>
        <v/>
      </c>
      <c r="G357" s="4" t="str">
        <f t="shared" si="151"/>
        <v/>
      </c>
      <c r="H357" s="4" t="str">
        <f t="shared" si="152"/>
        <v/>
      </c>
      <c r="I357" s="4" t="str">
        <f t="shared" si="153"/>
        <v/>
      </c>
      <c r="J357" s="247"/>
      <c r="K357" s="117"/>
      <c r="L357" s="4" t="str">
        <f t="shared" si="154"/>
        <v/>
      </c>
      <c r="M357" s="4" t="str">
        <f t="shared" si="155"/>
        <v/>
      </c>
      <c r="N357" s="4" t="str">
        <f t="shared" si="156"/>
        <v/>
      </c>
      <c r="O357" s="4" t="str">
        <f t="shared" si="157"/>
        <v/>
      </c>
      <c r="P357" s="247"/>
      <c r="Q357" s="117"/>
      <c r="R357" s="4" t="str">
        <f t="shared" si="158"/>
        <v/>
      </c>
      <c r="S357" s="4" t="str">
        <f t="shared" si="159"/>
        <v/>
      </c>
      <c r="T357" s="4" t="str">
        <f t="shared" si="160"/>
        <v/>
      </c>
      <c r="U357" s="4" t="str">
        <f t="shared" si="161"/>
        <v/>
      </c>
      <c r="V357" s="247"/>
      <c r="W357" s="67" t="str">
        <f t="shared" si="162"/>
        <v/>
      </c>
      <c r="X357" s="118"/>
      <c r="Z357" s="67" t="str">
        <f t="shared" si="163"/>
        <v/>
      </c>
      <c r="AA357" s="13">
        <f t="shared" si="164"/>
        <v>0</v>
      </c>
      <c r="AB357" s="17">
        <f t="shared" si="165"/>
        <v>0</v>
      </c>
      <c r="AC357" s="163" t="str">
        <f t="shared" si="166"/>
        <v/>
      </c>
      <c r="AD357" s="119"/>
      <c r="AE357" s="21"/>
      <c r="AF357" s="121"/>
      <c r="AG357" s="122"/>
      <c r="AH357" s="83" t="str">
        <f t="shared" si="167"/>
        <v/>
      </c>
      <c r="AI357" s="115"/>
      <c r="AJ357" s="116"/>
      <c r="AK357" s="83" t="str">
        <f t="shared" si="168"/>
        <v/>
      </c>
      <c r="AL357" s="85" t="str">
        <f t="shared" si="169"/>
        <v/>
      </c>
      <c r="AM357" s="254" t="str">
        <f t="shared" si="170"/>
        <v/>
      </c>
      <c r="AN357" s="254" t="str">
        <f t="shared" ca="1" si="171"/>
        <v/>
      </c>
      <c r="AO357" s="255" t="str">
        <f t="shared" si="172"/>
        <v/>
      </c>
    </row>
    <row r="358" spans="2:41" x14ac:dyDescent="0.25">
      <c r="B358" s="321"/>
      <c r="C358" s="17"/>
      <c r="E358" s="117"/>
      <c r="F358" s="4" t="str">
        <f t="shared" si="150"/>
        <v/>
      </c>
      <c r="G358" s="4" t="str">
        <f t="shared" si="151"/>
        <v/>
      </c>
      <c r="H358" s="4" t="str">
        <f t="shared" si="152"/>
        <v/>
      </c>
      <c r="I358" s="4" t="str">
        <f t="shared" si="153"/>
        <v/>
      </c>
      <c r="J358" s="247"/>
      <c r="K358" s="117"/>
      <c r="L358" s="4" t="str">
        <f t="shared" si="154"/>
        <v/>
      </c>
      <c r="M358" s="4" t="str">
        <f t="shared" si="155"/>
        <v/>
      </c>
      <c r="N358" s="4" t="str">
        <f t="shared" si="156"/>
        <v/>
      </c>
      <c r="O358" s="4" t="str">
        <f t="shared" si="157"/>
        <v/>
      </c>
      <c r="P358" s="247"/>
      <c r="Q358" s="117"/>
      <c r="R358" s="4" t="str">
        <f t="shared" si="158"/>
        <v/>
      </c>
      <c r="S358" s="4" t="str">
        <f t="shared" si="159"/>
        <v/>
      </c>
      <c r="T358" s="4" t="str">
        <f t="shared" si="160"/>
        <v/>
      </c>
      <c r="U358" s="4" t="str">
        <f t="shared" si="161"/>
        <v/>
      </c>
      <c r="V358" s="247"/>
      <c r="W358" s="67" t="str">
        <f t="shared" si="162"/>
        <v/>
      </c>
      <c r="X358" s="118"/>
      <c r="Z358" s="67" t="str">
        <f t="shared" si="163"/>
        <v/>
      </c>
      <c r="AA358" s="13">
        <f t="shared" si="164"/>
        <v>0</v>
      </c>
      <c r="AB358" s="17">
        <f t="shared" si="165"/>
        <v>0</v>
      </c>
      <c r="AC358" s="163" t="str">
        <f t="shared" si="166"/>
        <v/>
      </c>
      <c r="AD358" s="119"/>
      <c r="AE358" s="21"/>
      <c r="AF358" s="121"/>
      <c r="AG358" s="122"/>
      <c r="AH358" s="83" t="str">
        <f t="shared" si="167"/>
        <v/>
      </c>
      <c r="AI358" s="115"/>
      <c r="AJ358" s="116"/>
      <c r="AK358" s="83" t="str">
        <f t="shared" si="168"/>
        <v/>
      </c>
      <c r="AL358" s="85" t="str">
        <f t="shared" si="169"/>
        <v/>
      </c>
      <c r="AM358" s="254" t="str">
        <f t="shared" si="170"/>
        <v/>
      </c>
      <c r="AN358" s="254" t="str">
        <f t="shared" ca="1" si="171"/>
        <v/>
      </c>
      <c r="AO358" s="255" t="str">
        <f t="shared" si="172"/>
        <v/>
      </c>
    </row>
    <row r="359" spans="2:41" x14ac:dyDescent="0.25">
      <c r="B359" s="321"/>
      <c r="C359" s="17"/>
      <c r="E359" s="117"/>
      <c r="F359" s="4" t="str">
        <f t="shared" si="150"/>
        <v/>
      </c>
      <c r="G359" s="4" t="str">
        <f t="shared" si="151"/>
        <v/>
      </c>
      <c r="H359" s="4" t="str">
        <f t="shared" si="152"/>
        <v/>
      </c>
      <c r="I359" s="4" t="str">
        <f t="shared" si="153"/>
        <v/>
      </c>
      <c r="J359" s="247"/>
      <c r="K359" s="117"/>
      <c r="L359" s="4" t="str">
        <f t="shared" si="154"/>
        <v/>
      </c>
      <c r="M359" s="4" t="str">
        <f t="shared" si="155"/>
        <v/>
      </c>
      <c r="N359" s="4" t="str">
        <f t="shared" si="156"/>
        <v/>
      </c>
      <c r="O359" s="4" t="str">
        <f t="shared" si="157"/>
        <v/>
      </c>
      <c r="P359" s="247"/>
      <c r="Q359" s="117"/>
      <c r="R359" s="4" t="str">
        <f t="shared" si="158"/>
        <v/>
      </c>
      <c r="S359" s="4" t="str">
        <f t="shared" si="159"/>
        <v/>
      </c>
      <c r="T359" s="4" t="str">
        <f t="shared" si="160"/>
        <v/>
      </c>
      <c r="U359" s="4" t="str">
        <f t="shared" si="161"/>
        <v/>
      </c>
      <c r="V359" s="247"/>
      <c r="W359" s="67" t="str">
        <f t="shared" si="162"/>
        <v/>
      </c>
      <c r="X359" s="118"/>
      <c r="Z359" s="67" t="str">
        <f t="shared" si="163"/>
        <v/>
      </c>
      <c r="AA359" s="13">
        <f t="shared" si="164"/>
        <v>0</v>
      </c>
      <c r="AB359" s="17">
        <f t="shared" si="165"/>
        <v>0</v>
      </c>
      <c r="AC359" s="163" t="str">
        <f t="shared" si="166"/>
        <v/>
      </c>
      <c r="AD359" s="119"/>
      <c r="AE359" s="21"/>
      <c r="AF359" s="121"/>
      <c r="AG359" s="122"/>
      <c r="AH359" s="83" t="str">
        <f t="shared" si="167"/>
        <v/>
      </c>
      <c r="AI359" s="115"/>
      <c r="AJ359" s="116"/>
      <c r="AK359" s="83" t="str">
        <f t="shared" si="168"/>
        <v/>
      </c>
      <c r="AL359" s="85" t="str">
        <f t="shared" si="169"/>
        <v/>
      </c>
      <c r="AM359" s="254" t="str">
        <f t="shared" si="170"/>
        <v/>
      </c>
      <c r="AN359" s="254" t="str">
        <f t="shared" ca="1" si="171"/>
        <v/>
      </c>
      <c r="AO359" s="255" t="str">
        <f t="shared" si="172"/>
        <v/>
      </c>
    </row>
    <row r="360" spans="2:41" x14ac:dyDescent="0.25">
      <c r="B360" s="321"/>
      <c r="C360" s="17"/>
      <c r="E360" s="117"/>
      <c r="F360" s="4" t="str">
        <f t="shared" si="150"/>
        <v/>
      </c>
      <c r="G360" s="4" t="str">
        <f t="shared" si="151"/>
        <v/>
      </c>
      <c r="H360" s="4" t="str">
        <f t="shared" si="152"/>
        <v/>
      </c>
      <c r="I360" s="4" t="str">
        <f t="shared" si="153"/>
        <v/>
      </c>
      <c r="J360" s="247"/>
      <c r="K360" s="117"/>
      <c r="L360" s="4" t="str">
        <f t="shared" si="154"/>
        <v/>
      </c>
      <c r="M360" s="4" t="str">
        <f t="shared" si="155"/>
        <v/>
      </c>
      <c r="N360" s="4" t="str">
        <f t="shared" si="156"/>
        <v/>
      </c>
      <c r="O360" s="4" t="str">
        <f t="shared" si="157"/>
        <v/>
      </c>
      <c r="P360" s="247"/>
      <c r="Q360" s="117"/>
      <c r="R360" s="4" t="str">
        <f t="shared" si="158"/>
        <v/>
      </c>
      <c r="S360" s="4" t="str">
        <f t="shared" si="159"/>
        <v/>
      </c>
      <c r="T360" s="4" t="str">
        <f t="shared" si="160"/>
        <v/>
      </c>
      <c r="U360" s="4" t="str">
        <f t="shared" si="161"/>
        <v/>
      </c>
      <c r="V360" s="247"/>
      <c r="W360" s="67" t="str">
        <f t="shared" si="162"/>
        <v/>
      </c>
      <c r="X360" s="118"/>
      <c r="Z360" s="67" t="str">
        <f t="shared" si="163"/>
        <v/>
      </c>
      <c r="AA360" s="13">
        <f t="shared" si="164"/>
        <v>0</v>
      </c>
      <c r="AB360" s="17">
        <f t="shared" si="165"/>
        <v>0</v>
      </c>
      <c r="AC360" s="163" t="str">
        <f t="shared" si="166"/>
        <v/>
      </c>
      <c r="AD360" s="119"/>
      <c r="AE360" s="21"/>
      <c r="AF360" s="121"/>
      <c r="AG360" s="122"/>
      <c r="AH360" s="83" t="str">
        <f t="shared" si="167"/>
        <v/>
      </c>
      <c r="AI360" s="115"/>
      <c r="AJ360" s="116"/>
      <c r="AK360" s="83" t="str">
        <f t="shared" si="168"/>
        <v/>
      </c>
      <c r="AL360" s="85" t="str">
        <f t="shared" si="169"/>
        <v/>
      </c>
      <c r="AM360" s="254" t="str">
        <f t="shared" si="170"/>
        <v/>
      </c>
      <c r="AN360" s="254" t="str">
        <f t="shared" ca="1" si="171"/>
        <v/>
      </c>
      <c r="AO360" s="255" t="str">
        <f t="shared" si="172"/>
        <v/>
      </c>
    </row>
    <row r="361" spans="2:41" x14ac:dyDescent="0.25">
      <c r="B361" s="321"/>
      <c r="C361" s="17"/>
      <c r="E361" s="117"/>
      <c r="F361" s="4" t="str">
        <f t="shared" si="150"/>
        <v/>
      </c>
      <c r="G361" s="4" t="str">
        <f t="shared" si="151"/>
        <v/>
      </c>
      <c r="H361" s="4" t="str">
        <f t="shared" si="152"/>
        <v/>
      </c>
      <c r="I361" s="4" t="str">
        <f t="shared" si="153"/>
        <v/>
      </c>
      <c r="J361" s="247"/>
      <c r="K361" s="117"/>
      <c r="L361" s="4" t="str">
        <f t="shared" si="154"/>
        <v/>
      </c>
      <c r="M361" s="4" t="str">
        <f t="shared" si="155"/>
        <v/>
      </c>
      <c r="N361" s="4" t="str">
        <f t="shared" si="156"/>
        <v/>
      </c>
      <c r="O361" s="4" t="str">
        <f t="shared" si="157"/>
        <v/>
      </c>
      <c r="P361" s="247"/>
      <c r="Q361" s="117"/>
      <c r="R361" s="4" t="str">
        <f t="shared" si="158"/>
        <v/>
      </c>
      <c r="S361" s="4" t="str">
        <f t="shared" si="159"/>
        <v/>
      </c>
      <c r="T361" s="4" t="str">
        <f t="shared" si="160"/>
        <v/>
      </c>
      <c r="U361" s="4" t="str">
        <f t="shared" si="161"/>
        <v/>
      </c>
      <c r="V361" s="247"/>
      <c r="W361" s="67" t="str">
        <f t="shared" si="162"/>
        <v/>
      </c>
      <c r="X361" s="118"/>
      <c r="Z361" s="67" t="str">
        <f t="shared" si="163"/>
        <v/>
      </c>
      <c r="AA361" s="13">
        <f t="shared" si="164"/>
        <v>0</v>
      </c>
      <c r="AB361" s="17">
        <f t="shared" si="165"/>
        <v>0</v>
      </c>
      <c r="AC361" s="163" t="str">
        <f t="shared" si="166"/>
        <v/>
      </c>
      <c r="AD361" s="119"/>
      <c r="AE361" s="21"/>
      <c r="AF361" s="121"/>
      <c r="AG361" s="122"/>
      <c r="AH361" s="83" t="str">
        <f t="shared" si="167"/>
        <v/>
      </c>
      <c r="AI361" s="115"/>
      <c r="AJ361" s="116"/>
      <c r="AK361" s="83" t="str">
        <f t="shared" si="168"/>
        <v/>
      </c>
      <c r="AL361" s="85" t="str">
        <f t="shared" si="169"/>
        <v/>
      </c>
      <c r="AM361" s="254" t="str">
        <f t="shared" si="170"/>
        <v/>
      </c>
      <c r="AN361" s="254" t="str">
        <f t="shared" ca="1" si="171"/>
        <v/>
      </c>
      <c r="AO361" s="255" t="str">
        <f t="shared" si="172"/>
        <v/>
      </c>
    </row>
    <row r="362" spans="2:41" x14ac:dyDescent="0.25">
      <c r="B362" s="321"/>
      <c r="C362" s="17"/>
      <c r="E362" s="117"/>
      <c r="F362" s="4" t="str">
        <f t="shared" si="150"/>
        <v/>
      </c>
      <c r="G362" s="4" t="str">
        <f t="shared" si="151"/>
        <v/>
      </c>
      <c r="H362" s="4" t="str">
        <f t="shared" si="152"/>
        <v/>
      </c>
      <c r="I362" s="4" t="str">
        <f t="shared" si="153"/>
        <v/>
      </c>
      <c r="J362" s="247"/>
      <c r="K362" s="117"/>
      <c r="L362" s="4" t="str">
        <f t="shared" si="154"/>
        <v/>
      </c>
      <c r="M362" s="4" t="str">
        <f t="shared" si="155"/>
        <v/>
      </c>
      <c r="N362" s="4" t="str">
        <f t="shared" si="156"/>
        <v/>
      </c>
      <c r="O362" s="4" t="str">
        <f t="shared" si="157"/>
        <v/>
      </c>
      <c r="P362" s="247"/>
      <c r="Q362" s="117"/>
      <c r="R362" s="4" t="str">
        <f t="shared" si="158"/>
        <v/>
      </c>
      <c r="S362" s="4" t="str">
        <f t="shared" si="159"/>
        <v/>
      </c>
      <c r="T362" s="4" t="str">
        <f t="shared" si="160"/>
        <v/>
      </c>
      <c r="U362" s="4" t="str">
        <f t="shared" si="161"/>
        <v/>
      </c>
      <c r="V362" s="247"/>
      <c r="W362" s="67" t="str">
        <f t="shared" si="162"/>
        <v/>
      </c>
      <c r="X362" s="118"/>
      <c r="Z362" s="67" t="str">
        <f t="shared" si="163"/>
        <v/>
      </c>
      <c r="AA362" s="13">
        <f t="shared" si="164"/>
        <v>0</v>
      </c>
      <c r="AB362" s="17">
        <f t="shared" si="165"/>
        <v>0</v>
      </c>
      <c r="AC362" s="163" t="str">
        <f t="shared" si="166"/>
        <v/>
      </c>
      <c r="AD362" s="119"/>
      <c r="AE362" s="21"/>
      <c r="AF362" s="121"/>
      <c r="AG362" s="122"/>
      <c r="AH362" s="83" t="str">
        <f t="shared" si="167"/>
        <v/>
      </c>
      <c r="AI362" s="115"/>
      <c r="AJ362" s="116"/>
      <c r="AK362" s="83" t="str">
        <f t="shared" si="168"/>
        <v/>
      </c>
      <c r="AL362" s="85" t="str">
        <f t="shared" si="169"/>
        <v/>
      </c>
      <c r="AM362" s="254" t="str">
        <f t="shared" si="170"/>
        <v/>
      </c>
      <c r="AN362" s="254" t="str">
        <f t="shared" ca="1" si="171"/>
        <v/>
      </c>
      <c r="AO362" s="255" t="str">
        <f t="shared" si="172"/>
        <v/>
      </c>
    </row>
    <row r="363" spans="2:41" x14ac:dyDescent="0.25">
      <c r="B363" s="321"/>
      <c r="C363" s="17"/>
      <c r="E363" s="117"/>
      <c r="F363" s="4" t="str">
        <f t="shared" si="150"/>
        <v/>
      </c>
      <c r="G363" s="4" t="str">
        <f t="shared" si="151"/>
        <v/>
      </c>
      <c r="H363" s="4" t="str">
        <f t="shared" si="152"/>
        <v/>
      </c>
      <c r="I363" s="4" t="str">
        <f t="shared" si="153"/>
        <v/>
      </c>
      <c r="J363" s="247"/>
      <c r="K363" s="117"/>
      <c r="L363" s="4" t="str">
        <f t="shared" si="154"/>
        <v/>
      </c>
      <c r="M363" s="4" t="str">
        <f t="shared" si="155"/>
        <v/>
      </c>
      <c r="N363" s="4" t="str">
        <f t="shared" si="156"/>
        <v/>
      </c>
      <c r="O363" s="4" t="str">
        <f t="shared" si="157"/>
        <v/>
      </c>
      <c r="P363" s="247"/>
      <c r="Q363" s="117"/>
      <c r="R363" s="4" t="str">
        <f t="shared" si="158"/>
        <v/>
      </c>
      <c r="S363" s="4" t="str">
        <f t="shared" si="159"/>
        <v/>
      </c>
      <c r="T363" s="4" t="str">
        <f t="shared" si="160"/>
        <v/>
      </c>
      <c r="U363" s="4" t="str">
        <f t="shared" si="161"/>
        <v/>
      </c>
      <c r="V363" s="247"/>
      <c r="W363" s="67" t="str">
        <f t="shared" si="162"/>
        <v/>
      </c>
      <c r="X363" s="118"/>
      <c r="Z363" s="67" t="str">
        <f t="shared" si="163"/>
        <v/>
      </c>
      <c r="AA363" s="13">
        <f t="shared" si="164"/>
        <v>0</v>
      </c>
      <c r="AB363" s="17">
        <f t="shared" si="165"/>
        <v>0</v>
      </c>
      <c r="AC363" s="163" t="str">
        <f t="shared" si="166"/>
        <v/>
      </c>
      <c r="AD363" s="119"/>
      <c r="AE363" s="21"/>
      <c r="AF363" s="121"/>
      <c r="AG363" s="122"/>
      <c r="AH363" s="83" t="str">
        <f t="shared" si="167"/>
        <v/>
      </c>
      <c r="AI363" s="115"/>
      <c r="AJ363" s="116"/>
      <c r="AK363" s="83" t="str">
        <f t="shared" si="168"/>
        <v/>
      </c>
      <c r="AL363" s="85" t="str">
        <f t="shared" si="169"/>
        <v/>
      </c>
      <c r="AM363" s="254" t="str">
        <f t="shared" si="170"/>
        <v/>
      </c>
      <c r="AN363" s="254" t="str">
        <f t="shared" ca="1" si="171"/>
        <v/>
      </c>
      <c r="AO363" s="255" t="str">
        <f t="shared" si="172"/>
        <v/>
      </c>
    </row>
    <row r="364" spans="2:41" x14ac:dyDescent="0.25">
      <c r="B364" s="321"/>
      <c r="C364" s="17"/>
      <c r="E364" s="117"/>
      <c r="F364" s="4" t="str">
        <f t="shared" si="150"/>
        <v/>
      </c>
      <c r="G364" s="4" t="str">
        <f t="shared" si="151"/>
        <v/>
      </c>
      <c r="H364" s="4" t="str">
        <f t="shared" si="152"/>
        <v/>
      </c>
      <c r="I364" s="4" t="str">
        <f t="shared" si="153"/>
        <v/>
      </c>
      <c r="J364" s="247"/>
      <c r="K364" s="117"/>
      <c r="L364" s="4" t="str">
        <f t="shared" si="154"/>
        <v/>
      </c>
      <c r="M364" s="4" t="str">
        <f t="shared" si="155"/>
        <v/>
      </c>
      <c r="N364" s="4" t="str">
        <f t="shared" si="156"/>
        <v/>
      </c>
      <c r="O364" s="4" t="str">
        <f t="shared" si="157"/>
        <v/>
      </c>
      <c r="P364" s="247"/>
      <c r="Q364" s="117"/>
      <c r="R364" s="4" t="str">
        <f t="shared" si="158"/>
        <v/>
      </c>
      <c r="S364" s="4" t="str">
        <f t="shared" si="159"/>
        <v/>
      </c>
      <c r="T364" s="4" t="str">
        <f t="shared" si="160"/>
        <v/>
      </c>
      <c r="U364" s="4" t="str">
        <f t="shared" si="161"/>
        <v/>
      </c>
      <c r="V364" s="247"/>
      <c r="W364" s="67" t="str">
        <f t="shared" si="162"/>
        <v/>
      </c>
      <c r="X364" s="118"/>
      <c r="Z364" s="67" t="str">
        <f t="shared" si="163"/>
        <v/>
      </c>
      <c r="AA364" s="13">
        <f t="shared" si="164"/>
        <v>0</v>
      </c>
      <c r="AB364" s="17">
        <f t="shared" si="165"/>
        <v>0</v>
      </c>
      <c r="AC364" s="163" t="str">
        <f t="shared" si="166"/>
        <v/>
      </c>
      <c r="AD364" s="119"/>
      <c r="AE364" s="21"/>
      <c r="AF364" s="121"/>
      <c r="AG364" s="122"/>
      <c r="AH364" s="83" t="str">
        <f t="shared" si="167"/>
        <v/>
      </c>
      <c r="AI364" s="115"/>
      <c r="AJ364" s="116"/>
      <c r="AK364" s="83" t="str">
        <f t="shared" si="168"/>
        <v/>
      </c>
      <c r="AL364" s="85" t="str">
        <f t="shared" si="169"/>
        <v/>
      </c>
      <c r="AM364" s="254" t="str">
        <f t="shared" si="170"/>
        <v/>
      </c>
      <c r="AN364" s="254" t="str">
        <f t="shared" ca="1" si="171"/>
        <v/>
      </c>
      <c r="AO364" s="255" t="str">
        <f t="shared" si="172"/>
        <v/>
      </c>
    </row>
    <row r="365" spans="2:41" x14ac:dyDescent="0.25">
      <c r="B365" s="321"/>
      <c r="C365" s="17"/>
      <c r="E365" s="117"/>
      <c r="F365" s="4" t="str">
        <f t="shared" si="150"/>
        <v/>
      </c>
      <c r="G365" s="4" t="str">
        <f t="shared" si="151"/>
        <v/>
      </c>
      <c r="H365" s="4" t="str">
        <f t="shared" si="152"/>
        <v/>
      </c>
      <c r="I365" s="4" t="str">
        <f t="shared" si="153"/>
        <v/>
      </c>
      <c r="J365" s="247"/>
      <c r="K365" s="117"/>
      <c r="L365" s="4" t="str">
        <f t="shared" si="154"/>
        <v/>
      </c>
      <c r="M365" s="4" t="str">
        <f t="shared" si="155"/>
        <v/>
      </c>
      <c r="N365" s="4" t="str">
        <f t="shared" si="156"/>
        <v/>
      </c>
      <c r="O365" s="4" t="str">
        <f t="shared" si="157"/>
        <v/>
      </c>
      <c r="P365" s="247"/>
      <c r="Q365" s="117"/>
      <c r="R365" s="4" t="str">
        <f t="shared" si="158"/>
        <v/>
      </c>
      <c r="S365" s="4" t="str">
        <f t="shared" si="159"/>
        <v/>
      </c>
      <c r="T365" s="4" t="str">
        <f t="shared" si="160"/>
        <v/>
      </c>
      <c r="U365" s="4" t="str">
        <f t="shared" si="161"/>
        <v/>
      </c>
      <c r="V365" s="247"/>
      <c r="W365" s="67" t="str">
        <f t="shared" si="162"/>
        <v/>
      </c>
      <c r="X365" s="118"/>
      <c r="Z365" s="67" t="str">
        <f t="shared" si="163"/>
        <v/>
      </c>
      <c r="AA365" s="13">
        <f t="shared" si="164"/>
        <v>0</v>
      </c>
      <c r="AB365" s="17">
        <f t="shared" si="165"/>
        <v>0</v>
      </c>
      <c r="AC365" s="163" t="str">
        <f t="shared" si="166"/>
        <v/>
      </c>
      <c r="AD365" s="119"/>
      <c r="AE365" s="21"/>
      <c r="AF365" s="121"/>
      <c r="AG365" s="122"/>
      <c r="AH365" s="83" t="str">
        <f t="shared" si="167"/>
        <v/>
      </c>
      <c r="AI365" s="115"/>
      <c r="AJ365" s="116"/>
      <c r="AK365" s="83" t="str">
        <f t="shared" si="168"/>
        <v/>
      </c>
      <c r="AL365" s="85" t="str">
        <f t="shared" si="169"/>
        <v/>
      </c>
      <c r="AM365" s="254" t="str">
        <f t="shared" si="170"/>
        <v/>
      </c>
      <c r="AN365" s="254" t="str">
        <f t="shared" ca="1" si="171"/>
        <v/>
      </c>
      <c r="AO365" s="255" t="str">
        <f t="shared" si="172"/>
        <v/>
      </c>
    </row>
    <row r="366" spans="2:41" x14ac:dyDescent="0.25">
      <c r="B366" s="321"/>
      <c r="C366" s="17"/>
      <c r="E366" s="117"/>
      <c r="F366" s="4" t="str">
        <f t="shared" si="150"/>
        <v/>
      </c>
      <c r="G366" s="4" t="str">
        <f t="shared" si="151"/>
        <v/>
      </c>
      <c r="H366" s="4" t="str">
        <f t="shared" si="152"/>
        <v/>
      </c>
      <c r="I366" s="4" t="str">
        <f t="shared" si="153"/>
        <v/>
      </c>
      <c r="J366" s="247"/>
      <c r="K366" s="117"/>
      <c r="L366" s="4" t="str">
        <f t="shared" si="154"/>
        <v/>
      </c>
      <c r="M366" s="4" t="str">
        <f t="shared" si="155"/>
        <v/>
      </c>
      <c r="N366" s="4" t="str">
        <f t="shared" si="156"/>
        <v/>
      </c>
      <c r="O366" s="4" t="str">
        <f t="shared" si="157"/>
        <v/>
      </c>
      <c r="P366" s="247"/>
      <c r="Q366" s="117"/>
      <c r="R366" s="4" t="str">
        <f t="shared" si="158"/>
        <v/>
      </c>
      <c r="S366" s="4" t="str">
        <f t="shared" si="159"/>
        <v/>
      </c>
      <c r="T366" s="4" t="str">
        <f t="shared" si="160"/>
        <v/>
      </c>
      <c r="U366" s="4" t="str">
        <f t="shared" si="161"/>
        <v/>
      </c>
      <c r="V366" s="247"/>
      <c r="W366" s="67" t="str">
        <f t="shared" si="162"/>
        <v/>
      </c>
      <c r="X366" s="118"/>
      <c r="Z366" s="67" t="str">
        <f t="shared" si="163"/>
        <v/>
      </c>
      <c r="AA366" s="13">
        <f t="shared" si="164"/>
        <v>0</v>
      </c>
      <c r="AB366" s="17">
        <f t="shared" si="165"/>
        <v>0</v>
      </c>
      <c r="AC366" s="163" t="str">
        <f t="shared" si="166"/>
        <v/>
      </c>
      <c r="AD366" s="119"/>
      <c r="AE366" s="21"/>
      <c r="AF366" s="121"/>
      <c r="AG366" s="122"/>
      <c r="AH366" s="83" t="str">
        <f t="shared" si="167"/>
        <v/>
      </c>
      <c r="AI366" s="115"/>
      <c r="AJ366" s="116"/>
      <c r="AK366" s="83" t="str">
        <f t="shared" si="168"/>
        <v/>
      </c>
      <c r="AL366" s="85" t="str">
        <f t="shared" si="169"/>
        <v/>
      </c>
      <c r="AM366" s="254" t="str">
        <f t="shared" si="170"/>
        <v/>
      </c>
      <c r="AN366" s="254" t="str">
        <f t="shared" ca="1" si="171"/>
        <v/>
      </c>
      <c r="AO366" s="255" t="str">
        <f t="shared" si="172"/>
        <v/>
      </c>
    </row>
    <row r="367" spans="2:41" x14ac:dyDescent="0.25">
      <c r="B367" s="321"/>
      <c r="C367" s="17"/>
      <c r="E367" s="117"/>
      <c r="F367" s="4" t="str">
        <f t="shared" si="150"/>
        <v/>
      </c>
      <c r="G367" s="4" t="str">
        <f t="shared" si="151"/>
        <v/>
      </c>
      <c r="H367" s="4" t="str">
        <f t="shared" si="152"/>
        <v/>
      </c>
      <c r="I367" s="4" t="str">
        <f t="shared" si="153"/>
        <v/>
      </c>
      <c r="J367" s="247"/>
      <c r="K367" s="117"/>
      <c r="L367" s="4" t="str">
        <f t="shared" si="154"/>
        <v/>
      </c>
      <c r="M367" s="4" t="str">
        <f t="shared" si="155"/>
        <v/>
      </c>
      <c r="N367" s="4" t="str">
        <f t="shared" si="156"/>
        <v/>
      </c>
      <c r="O367" s="4" t="str">
        <f t="shared" si="157"/>
        <v/>
      </c>
      <c r="P367" s="247"/>
      <c r="Q367" s="117"/>
      <c r="R367" s="4" t="str">
        <f t="shared" si="158"/>
        <v/>
      </c>
      <c r="S367" s="4" t="str">
        <f t="shared" si="159"/>
        <v/>
      </c>
      <c r="T367" s="4" t="str">
        <f t="shared" si="160"/>
        <v/>
      </c>
      <c r="U367" s="4" t="str">
        <f t="shared" si="161"/>
        <v/>
      </c>
      <c r="V367" s="247"/>
      <c r="W367" s="67" t="str">
        <f t="shared" si="162"/>
        <v/>
      </c>
      <c r="X367" s="118"/>
      <c r="Z367" s="67" t="str">
        <f t="shared" si="163"/>
        <v/>
      </c>
      <c r="AA367" s="13">
        <f t="shared" si="164"/>
        <v>0</v>
      </c>
      <c r="AB367" s="17">
        <f t="shared" si="165"/>
        <v>0</v>
      </c>
      <c r="AC367" s="163" t="str">
        <f t="shared" si="166"/>
        <v/>
      </c>
      <c r="AD367" s="119"/>
      <c r="AE367" s="21"/>
      <c r="AF367" s="121"/>
      <c r="AG367" s="122"/>
      <c r="AH367" s="83" t="str">
        <f t="shared" si="167"/>
        <v/>
      </c>
      <c r="AI367" s="115"/>
      <c r="AJ367" s="116"/>
      <c r="AK367" s="83" t="str">
        <f t="shared" si="168"/>
        <v/>
      </c>
      <c r="AL367" s="85" t="str">
        <f t="shared" si="169"/>
        <v/>
      </c>
      <c r="AM367" s="254" t="str">
        <f t="shared" si="170"/>
        <v/>
      </c>
      <c r="AN367" s="254" t="str">
        <f t="shared" ca="1" si="171"/>
        <v/>
      </c>
      <c r="AO367" s="255" t="str">
        <f t="shared" si="172"/>
        <v/>
      </c>
    </row>
    <row r="368" spans="2:41" x14ac:dyDescent="0.25">
      <c r="B368" s="321"/>
      <c r="C368" s="17"/>
      <c r="E368" s="117"/>
      <c r="F368" s="4" t="str">
        <f t="shared" si="150"/>
        <v/>
      </c>
      <c r="G368" s="4" t="str">
        <f t="shared" si="151"/>
        <v/>
      </c>
      <c r="H368" s="4" t="str">
        <f t="shared" si="152"/>
        <v/>
      </c>
      <c r="I368" s="4" t="str">
        <f t="shared" si="153"/>
        <v/>
      </c>
      <c r="J368" s="247"/>
      <c r="K368" s="117"/>
      <c r="L368" s="4" t="str">
        <f t="shared" si="154"/>
        <v/>
      </c>
      <c r="M368" s="4" t="str">
        <f t="shared" si="155"/>
        <v/>
      </c>
      <c r="N368" s="4" t="str">
        <f t="shared" si="156"/>
        <v/>
      </c>
      <c r="O368" s="4" t="str">
        <f t="shared" si="157"/>
        <v/>
      </c>
      <c r="P368" s="247"/>
      <c r="Q368" s="117"/>
      <c r="R368" s="4" t="str">
        <f t="shared" si="158"/>
        <v/>
      </c>
      <c r="S368" s="4" t="str">
        <f t="shared" si="159"/>
        <v/>
      </c>
      <c r="T368" s="4" t="str">
        <f t="shared" si="160"/>
        <v/>
      </c>
      <c r="U368" s="4" t="str">
        <f t="shared" si="161"/>
        <v/>
      </c>
      <c r="V368" s="247"/>
      <c r="W368" s="67" t="str">
        <f t="shared" si="162"/>
        <v/>
      </c>
      <c r="X368" s="118"/>
      <c r="Z368" s="67" t="str">
        <f t="shared" si="163"/>
        <v/>
      </c>
      <c r="AA368" s="13">
        <f t="shared" si="164"/>
        <v>0</v>
      </c>
      <c r="AB368" s="17">
        <f t="shared" si="165"/>
        <v>0</v>
      </c>
      <c r="AC368" s="163" t="str">
        <f t="shared" si="166"/>
        <v/>
      </c>
      <c r="AD368" s="119"/>
      <c r="AE368" s="21"/>
      <c r="AF368" s="121"/>
      <c r="AG368" s="122"/>
      <c r="AH368" s="83" t="str">
        <f t="shared" si="167"/>
        <v/>
      </c>
      <c r="AI368" s="115"/>
      <c r="AJ368" s="116"/>
      <c r="AK368" s="83" t="str">
        <f t="shared" si="168"/>
        <v/>
      </c>
      <c r="AL368" s="85" t="str">
        <f t="shared" si="169"/>
        <v/>
      </c>
      <c r="AM368" s="254" t="str">
        <f t="shared" si="170"/>
        <v/>
      </c>
      <c r="AN368" s="254" t="str">
        <f t="shared" ca="1" si="171"/>
        <v/>
      </c>
      <c r="AO368" s="255" t="str">
        <f t="shared" si="172"/>
        <v/>
      </c>
    </row>
    <row r="369" spans="2:41" x14ac:dyDescent="0.25">
      <c r="B369" s="321"/>
      <c r="C369" s="17"/>
      <c r="E369" s="117"/>
      <c r="F369" s="4" t="str">
        <f t="shared" si="150"/>
        <v/>
      </c>
      <c r="G369" s="4" t="str">
        <f t="shared" si="151"/>
        <v/>
      </c>
      <c r="H369" s="4" t="str">
        <f t="shared" si="152"/>
        <v/>
      </c>
      <c r="I369" s="4" t="str">
        <f t="shared" si="153"/>
        <v/>
      </c>
      <c r="J369" s="247"/>
      <c r="K369" s="117"/>
      <c r="L369" s="4" t="str">
        <f t="shared" si="154"/>
        <v/>
      </c>
      <c r="M369" s="4" t="str">
        <f t="shared" si="155"/>
        <v/>
      </c>
      <c r="N369" s="4" t="str">
        <f t="shared" si="156"/>
        <v/>
      </c>
      <c r="O369" s="4" t="str">
        <f t="shared" si="157"/>
        <v/>
      </c>
      <c r="P369" s="247"/>
      <c r="Q369" s="117"/>
      <c r="R369" s="4" t="str">
        <f t="shared" si="158"/>
        <v/>
      </c>
      <c r="S369" s="4" t="str">
        <f t="shared" si="159"/>
        <v/>
      </c>
      <c r="T369" s="4" t="str">
        <f t="shared" si="160"/>
        <v/>
      </c>
      <c r="U369" s="4" t="str">
        <f t="shared" si="161"/>
        <v/>
      </c>
      <c r="V369" s="247"/>
      <c r="W369" s="67" t="str">
        <f t="shared" si="162"/>
        <v/>
      </c>
      <c r="X369" s="118"/>
      <c r="Z369" s="67" t="str">
        <f t="shared" si="163"/>
        <v/>
      </c>
      <c r="AA369" s="13">
        <f t="shared" si="164"/>
        <v>0</v>
      </c>
      <c r="AB369" s="17">
        <f t="shared" si="165"/>
        <v>0</v>
      </c>
      <c r="AC369" s="163" t="str">
        <f t="shared" si="166"/>
        <v/>
      </c>
      <c r="AD369" s="119"/>
      <c r="AE369" s="21"/>
      <c r="AF369" s="121"/>
      <c r="AG369" s="122"/>
      <c r="AH369" s="83" t="str">
        <f t="shared" si="167"/>
        <v/>
      </c>
      <c r="AI369" s="115"/>
      <c r="AJ369" s="116"/>
      <c r="AK369" s="83" t="str">
        <f t="shared" si="168"/>
        <v/>
      </c>
      <c r="AL369" s="85" t="str">
        <f t="shared" si="169"/>
        <v/>
      </c>
      <c r="AM369" s="254" t="str">
        <f t="shared" si="170"/>
        <v/>
      </c>
      <c r="AN369" s="254" t="str">
        <f t="shared" ca="1" si="171"/>
        <v/>
      </c>
      <c r="AO369" s="255" t="str">
        <f t="shared" si="172"/>
        <v/>
      </c>
    </row>
    <row r="370" spans="2:41" x14ac:dyDescent="0.25">
      <c r="B370" s="321"/>
      <c r="C370" s="17"/>
      <c r="E370" s="117"/>
      <c r="F370" s="4" t="str">
        <f t="shared" si="150"/>
        <v/>
      </c>
      <c r="G370" s="4" t="str">
        <f t="shared" si="151"/>
        <v/>
      </c>
      <c r="H370" s="4" t="str">
        <f t="shared" si="152"/>
        <v/>
      </c>
      <c r="I370" s="4" t="str">
        <f t="shared" si="153"/>
        <v/>
      </c>
      <c r="J370" s="247"/>
      <c r="K370" s="117"/>
      <c r="L370" s="4" t="str">
        <f t="shared" si="154"/>
        <v/>
      </c>
      <c r="M370" s="4" t="str">
        <f t="shared" si="155"/>
        <v/>
      </c>
      <c r="N370" s="4" t="str">
        <f t="shared" si="156"/>
        <v/>
      </c>
      <c r="O370" s="4" t="str">
        <f t="shared" si="157"/>
        <v/>
      </c>
      <c r="P370" s="247"/>
      <c r="Q370" s="117"/>
      <c r="R370" s="4" t="str">
        <f t="shared" si="158"/>
        <v/>
      </c>
      <c r="S370" s="4" t="str">
        <f t="shared" si="159"/>
        <v/>
      </c>
      <c r="T370" s="4" t="str">
        <f t="shared" si="160"/>
        <v/>
      </c>
      <c r="U370" s="4" t="str">
        <f t="shared" si="161"/>
        <v/>
      </c>
      <c r="V370" s="247"/>
      <c r="W370" s="67" t="str">
        <f t="shared" si="162"/>
        <v/>
      </c>
      <c r="X370" s="118"/>
      <c r="Z370" s="67" t="str">
        <f t="shared" si="163"/>
        <v/>
      </c>
      <c r="AA370" s="13">
        <f t="shared" si="164"/>
        <v>0</v>
      </c>
      <c r="AB370" s="17">
        <f t="shared" si="165"/>
        <v>0</v>
      </c>
      <c r="AC370" s="163" t="str">
        <f t="shared" si="166"/>
        <v/>
      </c>
      <c r="AD370" s="119"/>
      <c r="AE370" s="21"/>
      <c r="AF370" s="121"/>
      <c r="AG370" s="122"/>
      <c r="AH370" s="83" t="str">
        <f t="shared" si="167"/>
        <v/>
      </c>
      <c r="AI370" s="115"/>
      <c r="AJ370" s="116"/>
      <c r="AK370" s="83" t="str">
        <f t="shared" si="168"/>
        <v/>
      </c>
      <c r="AL370" s="85" t="str">
        <f t="shared" si="169"/>
        <v/>
      </c>
      <c r="AM370" s="254" t="str">
        <f t="shared" si="170"/>
        <v/>
      </c>
      <c r="AN370" s="254" t="str">
        <f t="shared" ca="1" si="171"/>
        <v/>
      </c>
      <c r="AO370" s="255" t="str">
        <f t="shared" si="172"/>
        <v/>
      </c>
    </row>
    <row r="371" spans="2:41" x14ac:dyDescent="0.25">
      <c r="B371" s="321"/>
      <c r="C371" s="17"/>
      <c r="E371" s="117"/>
      <c r="F371" s="4" t="str">
        <f t="shared" si="150"/>
        <v/>
      </c>
      <c r="G371" s="4" t="str">
        <f t="shared" si="151"/>
        <v/>
      </c>
      <c r="H371" s="4" t="str">
        <f t="shared" si="152"/>
        <v/>
      </c>
      <c r="I371" s="4" t="str">
        <f t="shared" si="153"/>
        <v/>
      </c>
      <c r="J371" s="247"/>
      <c r="K371" s="117"/>
      <c r="L371" s="4" t="str">
        <f t="shared" si="154"/>
        <v/>
      </c>
      <c r="M371" s="4" t="str">
        <f t="shared" si="155"/>
        <v/>
      </c>
      <c r="N371" s="4" t="str">
        <f t="shared" si="156"/>
        <v/>
      </c>
      <c r="O371" s="4" t="str">
        <f t="shared" si="157"/>
        <v/>
      </c>
      <c r="P371" s="247"/>
      <c r="Q371" s="117"/>
      <c r="R371" s="4" t="str">
        <f t="shared" si="158"/>
        <v/>
      </c>
      <c r="S371" s="4" t="str">
        <f t="shared" si="159"/>
        <v/>
      </c>
      <c r="T371" s="4" t="str">
        <f t="shared" si="160"/>
        <v/>
      </c>
      <c r="U371" s="4" t="str">
        <f t="shared" si="161"/>
        <v/>
      </c>
      <c r="V371" s="247"/>
      <c r="W371" s="67" t="str">
        <f t="shared" si="162"/>
        <v/>
      </c>
      <c r="X371" s="118"/>
      <c r="Z371" s="67" t="str">
        <f t="shared" si="163"/>
        <v/>
      </c>
      <c r="AA371" s="13">
        <f t="shared" si="164"/>
        <v>0</v>
      </c>
      <c r="AB371" s="17">
        <f t="shared" si="165"/>
        <v>0</v>
      </c>
      <c r="AC371" s="163" t="str">
        <f t="shared" si="166"/>
        <v/>
      </c>
      <c r="AD371" s="119"/>
      <c r="AE371" s="21"/>
      <c r="AF371" s="121"/>
      <c r="AG371" s="122"/>
      <c r="AH371" s="83" t="str">
        <f t="shared" si="167"/>
        <v/>
      </c>
      <c r="AI371" s="115"/>
      <c r="AJ371" s="116"/>
      <c r="AK371" s="83" t="str">
        <f t="shared" si="168"/>
        <v/>
      </c>
      <c r="AL371" s="85" t="str">
        <f t="shared" si="169"/>
        <v/>
      </c>
      <c r="AM371" s="254" t="str">
        <f t="shared" si="170"/>
        <v/>
      </c>
      <c r="AN371" s="254" t="str">
        <f t="shared" ca="1" si="171"/>
        <v/>
      </c>
      <c r="AO371" s="255" t="str">
        <f t="shared" si="172"/>
        <v/>
      </c>
    </row>
    <row r="372" spans="2:41" x14ac:dyDescent="0.25">
      <c r="B372" s="321"/>
      <c r="C372" s="17"/>
      <c r="E372" s="117"/>
      <c r="F372" s="4" t="str">
        <f t="shared" si="150"/>
        <v/>
      </c>
      <c r="G372" s="4" t="str">
        <f t="shared" si="151"/>
        <v/>
      </c>
      <c r="H372" s="4" t="str">
        <f t="shared" si="152"/>
        <v/>
      </c>
      <c r="I372" s="4" t="str">
        <f t="shared" si="153"/>
        <v/>
      </c>
      <c r="J372" s="247"/>
      <c r="K372" s="117"/>
      <c r="L372" s="4" t="str">
        <f t="shared" si="154"/>
        <v/>
      </c>
      <c r="M372" s="4" t="str">
        <f t="shared" si="155"/>
        <v/>
      </c>
      <c r="N372" s="4" t="str">
        <f t="shared" si="156"/>
        <v/>
      </c>
      <c r="O372" s="4" t="str">
        <f t="shared" si="157"/>
        <v/>
      </c>
      <c r="P372" s="247"/>
      <c r="Q372" s="117"/>
      <c r="R372" s="4" t="str">
        <f t="shared" si="158"/>
        <v/>
      </c>
      <c r="S372" s="4" t="str">
        <f t="shared" si="159"/>
        <v/>
      </c>
      <c r="T372" s="4" t="str">
        <f t="shared" si="160"/>
        <v/>
      </c>
      <c r="U372" s="4" t="str">
        <f t="shared" si="161"/>
        <v/>
      </c>
      <c r="V372" s="247"/>
      <c r="W372" s="67" t="str">
        <f t="shared" si="162"/>
        <v/>
      </c>
      <c r="X372" s="118"/>
      <c r="Z372" s="67" t="str">
        <f t="shared" si="163"/>
        <v/>
      </c>
      <c r="AA372" s="13">
        <f t="shared" si="164"/>
        <v>0</v>
      </c>
      <c r="AB372" s="17">
        <f t="shared" si="165"/>
        <v>0</v>
      </c>
      <c r="AC372" s="163" t="str">
        <f t="shared" si="166"/>
        <v/>
      </c>
      <c r="AD372" s="119"/>
      <c r="AE372" s="21"/>
      <c r="AF372" s="121"/>
      <c r="AG372" s="122"/>
      <c r="AH372" s="83" t="str">
        <f t="shared" si="167"/>
        <v/>
      </c>
      <c r="AI372" s="115"/>
      <c r="AJ372" s="116"/>
      <c r="AK372" s="83" t="str">
        <f t="shared" si="168"/>
        <v/>
      </c>
      <c r="AL372" s="85" t="str">
        <f t="shared" si="169"/>
        <v/>
      </c>
      <c r="AM372" s="254" t="str">
        <f t="shared" si="170"/>
        <v/>
      </c>
      <c r="AN372" s="254" t="str">
        <f t="shared" ca="1" si="171"/>
        <v/>
      </c>
      <c r="AO372" s="255" t="str">
        <f t="shared" si="172"/>
        <v/>
      </c>
    </row>
    <row r="373" spans="2:41" x14ac:dyDescent="0.25">
      <c r="B373" s="321"/>
      <c r="C373" s="17"/>
      <c r="E373" s="117"/>
      <c r="F373" s="4" t="str">
        <f t="shared" si="150"/>
        <v/>
      </c>
      <c r="G373" s="4" t="str">
        <f t="shared" si="151"/>
        <v/>
      </c>
      <c r="H373" s="4" t="str">
        <f t="shared" si="152"/>
        <v/>
      </c>
      <c r="I373" s="4" t="str">
        <f t="shared" si="153"/>
        <v/>
      </c>
      <c r="J373" s="247"/>
      <c r="K373" s="117"/>
      <c r="L373" s="4" t="str">
        <f t="shared" si="154"/>
        <v/>
      </c>
      <c r="M373" s="4" t="str">
        <f t="shared" si="155"/>
        <v/>
      </c>
      <c r="N373" s="4" t="str">
        <f t="shared" si="156"/>
        <v/>
      </c>
      <c r="O373" s="4" t="str">
        <f t="shared" si="157"/>
        <v/>
      </c>
      <c r="P373" s="247"/>
      <c r="Q373" s="117"/>
      <c r="R373" s="4" t="str">
        <f t="shared" si="158"/>
        <v/>
      </c>
      <c r="S373" s="4" t="str">
        <f t="shared" si="159"/>
        <v/>
      </c>
      <c r="T373" s="4" t="str">
        <f t="shared" si="160"/>
        <v/>
      </c>
      <c r="U373" s="4" t="str">
        <f t="shared" si="161"/>
        <v/>
      </c>
      <c r="V373" s="247"/>
      <c r="W373" s="67" t="str">
        <f t="shared" si="162"/>
        <v/>
      </c>
      <c r="X373" s="118"/>
      <c r="Z373" s="67" t="str">
        <f t="shared" si="163"/>
        <v/>
      </c>
      <c r="AA373" s="13">
        <f t="shared" si="164"/>
        <v>0</v>
      </c>
      <c r="AB373" s="17">
        <f t="shared" si="165"/>
        <v>0</v>
      </c>
      <c r="AC373" s="163" t="str">
        <f t="shared" si="166"/>
        <v/>
      </c>
      <c r="AD373" s="119"/>
      <c r="AE373" s="21"/>
      <c r="AF373" s="121"/>
      <c r="AG373" s="122"/>
      <c r="AH373" s="83" t="str">
        <f t="shared" si="167"/>
        <v/>
      </c>
      <c r="AI373" s="115"/>
      <c r="AJ373" s="116"/>
      <c r="AK373" s="83" t="str">
        <f t="shared" si="168"/>
        <v/>
      </c>
      <c r="AL373" s="85" t="str">
        <f t="shared" si="169"/>
        <v/>
      </c>
      <c r="AM373" s="254" t="str">
        <f t="shared" si="170"/>
        <v/>
      </c>
      <c r="AN373" s="254" t="str">
        <f t="shared" ca="1" si="171"/>
        <v/>
      </c>
      <c r="AO373" s="255" t="str">
        <f t="shared" si="172"/>
        <v/>
      </c>
    </row>
    <row r="374" spans="2:41" x14ac:dyDescent="0.25">
      <c r="B374" s="321"/>
      <c r="C374" s="17"/>
      <c r="E374" s="117"/>
      <c r="F374" s="4" t="str">
        <f t="shared" si="150"/>
        <v/>
      </c>
      <c r="G374" s="4" t="str">
        <f t="shared" si="151"/>
        <v/>
      </c>
      <c r="H374" s="4" t="str">
        <f t="shared" si="152"/>
        <v/>
      </c>
      <c r="I374" s="4" t="str">
        <f t="shared" si="153"/>
        <v/>
      </c>
      <c r="J374" s="247"/>
      <c r="K374" s="117"/>
      <c r="L374" s="4" t="str">
        <f t="shared" si="154"/>
        <v/>
      </c>
      <c r="M374" s="4" t="str">
        <f t="shared" si="155"/>
        <v/>
      </c>
      <c r="N374" s="4" t="str">
        <f t="shared" si="156"/>
        <v/>
      </c>
      <c r="O374" s="4" t="str">
        <f t="shared" si="157"/>
        <v/>
      </c>
      <c r="P374" s="247"/>
      <c r="Q374" s="117"/>
      <c r="R374" s="4" t="str">
        <f t="shared" si="158"/>
        <v/>
      </c>
      <c r="S374" s="4" t="str">
        <f t="shared" si="159"/>
        <v/>
      </c>
      <c r="T374" s="4" t="str">
        <f t="shared" si="160"/>
        <v/>
      </c>
      <c r="U374" s="4" t="str">
        <f t="shared" si="161"/>
        <v/>
      </c>
      <c r="V374" s="247"/>
      <c r="W374" s="67" t="str">
        <f t="shared" si="162"/>
        <v/>
      </c>
      <c r="X374" s="118"/>
      <c r="Z374" s="67" t="str">
        <f t="shared" si="163"/>
        <v/>
      </c>
      <c r="AA374" s="13">
        <f t="shared" si="164"/>
        <v>0</v>
      </c>
      <c r="AB374" s="17">
        <f t="shared" si="165"/>
        <v>0</v>
      </c>
      <c r="AC374" s="163" t="str">
        <f t="shared" si="166"/>
        <v/>
      </c>
      <c r="AD374" s="119"/>
      <c r="AE374" s="21"/>
      <c r="AF374" s="121"/>
      <c r="AG374" s="122"/>
      <c r="AH374" s="83" t="str">
        <f t="shared" si="167"/>
        <v/>
      </c>
      <c r="AI374" s="115"/>
      <c r="AJ374" s="116"/>
      <c r="AK374" s="83" t="str">
        <f t="shared" si="168"/>
        <v/>
      </c>
      <c r="AL374" s="85" t="str">
        <f t="shared" si="169"/>
        <v/>
      </c>
      <c r="AM374" s="254" t="str">
        <f t="shared" si="170"/>
        <v/>
      </c>
      <c r="AN374" s="254" t="str">
        <f t="shared" ca="1" si="171"/>
        <v/>
      </c>
      <c r="AO374" s="255" t="str">
        <f t="shared" si="172"/>
        <v/>
      </c>
    </row>
    <row r="375" spans="2:41" x14ac:dyDescent="0.25">
      <c r="B375" s="321"/>
      <c r="C375" s="17"/>
      <c r="E375" s="117"/>
      <c r="F375" s="4" t="str">
        <f t="shared" si="150"/>
        <v/>
      </c>
      <c r="G375" s="4" t="str">
        <f t="shared" si="151"/>
        <v/>
      </c>
      <c r="H375" s="4" t="str">
        <f t="shared" si="152"/>
        <v/>
      </c>
      <c r="I375" s="4" t="str">
        <f t="shared" si="153"/>
        <v/>
      </c>
      <c r="J375" s="247"/>
      <c r="K375" s="117"/>
      <c r="L375" s="4" t="str">
        <f t="shared" si="154"/>
        <v/>
      </c>
      <c r="M375" s="4" t="str">
        <f t="shared" si="155"/>
        <v/>
      </c>
      <c r="N375" s="4" t="str">
        <f t="shared" si="156"/>
        <v/>
      </c>
      <c r="O375" s="4" t="str">
        <f t="shared" si="157"/>
        <v/>
      </c>
      <c r="P375" s="247"/>
      <c r="Q375" s="117"/>
      <c r="R375" s="4" t="str">
        <f t="shared" si="158"/>
        <v/>
      </c>
      <c r="S375" s="4" t="str">
        <f t="shared" si="159"/>
        <v/>
      </c>
      <c r="T375" s="4" t="str">
        <f t="shared" si="160"/>
        <v/>
      </c>
      <c r="U375" s="4" t="str">
        <f t="shared" si="161"/>
        <v/>
      </c>
      <c r="V375" s="247"/>
      <c r="W375" s="67" t="str">
        <f t="shared" si="162"/>
        <v/>
      </c>
      <c r="X375" s="118"/>
      <c r="Z375" s="67" t="str">
        <f t="shared" si="163"/>
        <v/>
      </c>
      <c r="AA375" s="13">
        <f t="shared" si="164"/>
        <v>0</v>
      </c>
      <c r="AB375" s="17">
        <f t="shared" si="165"/>
        <v>0</v>
      </c>
      <c r="AC375" s="163" t="str">
        <f t="shared" si="166"/>
        <v/>
      </c>
      <c r="AD375" s="119"/>
      <c r="AE375" s="21"/>
      <c r="AF375" s="121"/>
      <c r="AG375" s="122"/>
      <c r="AH375" s="83" t="str">
        <f t="shared" ref="AH375:AH406" si="173">IF(AG375&lt;&gt;0,((AF375+AG375)-(AD375+AE375)),"")</f>
        <v/>
      </c>
      <c r="AI375" s="115"/>
      <c r="AJ375" s="116"/>
      <c r="AK375" s="83" t="str">
        <f t="shared" ref="AK375:AK406" si="174">IF(AJ375&lt;&gt;0,((AI375+AJ375)-(AF375+AG375)),"")</f>
        <v/>
      </c>
      <c r="AL375" s="85" t="str">
        <f t="shared" ref="AL375:AL406" si="175">IFERROR((AH375+AK375),"")</f>
        <v/>
      </c>
      <c r="AM375" s="254" t="str">
        <f t="shared" ref="AM375:AM406" si="176">IF(AK375="","",AI375+AJ375)</f>
        <v/>
      </c>
      <c r="AN375" s="254" t="str">
        <f t="shared" ref="AN375:AN406" ca="1" si="177">IF(AK375="","",NOW())</f>
        <v/>
      </c>
      <c r="AO375" s="255" t="str">
        <f t="shared" ref="AO375:AO406" si="178">IF(AK375="","",AN375-AM375)</f>
        <v/>
      </c>
    </row>
    <row r="376" spans="2:41" x14ac:dyDescent="0.25">
      <c r="B376" s="321"/>
      <c r="C376" s="17"/>
      <c r="E376" s="117"/>
      <c r="F376" s="4" t="str">
        <f t="shared" si="150"/>
        <v/>
      </c>
      <c r="G376" s="4" t="str">
        <f t="shared" si="151"/>
        <v/>
      </c>
      <c r="H376" s="4" t="str">
        <f t="shared" si="152"/>
        <v/>
      </c>
      <c r="I376" s="4" t="str">
        <f t="shared" si="153"/>
        <v/>
      </c>
      <c r="J376" s="247"/>
      <c r="K376" s="117"/>
      <c r="L376" s="4" t="str">
        <f t="shared" si="154"/>
        <v/>
      </c>
      <c r="M376" s="4" t="str">
        <f t="shared" si="155"/>
        <v/>
      </c>
      <c r="N376" s="4" t="str">
        <f t="shared" si="156"/>
        <v/>
      </c>
      <c r="O376" s="4" t="str">
        <f t="shared" si="157"/>
        <v/>
      </c>
      <c r="P376" s="247"/>
      <c r="Q376" s="117"/>
      <c r="R376" s="4" t="str">
        <f t="shared" si="158"/>
        <v/>
      </c>
      <c r="S376" s="4" t="str">
        <f t="shared" si="159"/>
        <v/>
      </c>
      <c r="T376" s="4" t="str">
        <f t="shared" si="160"/>
        <v/>
      </c>
      <c r="U376" s="4" t="str">
        <f t="shared" si="161"/>
        <v/>
      </c>
      <c r="V376" s="247"/>
      <c r="W376" s="67" t="str">
        <f t="shared" si="162"/>
        <v/>
      </c>
      <c r="X376" s="118"/>
      <c r="Z376" s="67" t="str">
        <f t="shared" si="163"/>
        <v/>
      </c>
      <c r="AA376" s="13">
        <f t="shared" si="164"/>
        <v>0</v>
      </c>
      <c r="AB376" s="17">
        <f t="shared" si="165"/>
        <v>0</v>
      </c>
      <c r="AC376" s="163" t="str">
        <f t="shared" si="166"/>
        <v/>
      </c>
      <c r="AD376" s="119"/>
      <c r="AE376" s="21"/>
      <c r="AF376" s="121"/>
      <c r="AG376" s="122"/>
      <c r="AH376" s="83" t="str">
        <f t="shared" si="173"/>
        <v/>
      </c>
      <c r="AI376" s="115"/>
      <c r="AJ376" s="116"/>
      <c r="AK376" s="83" t="str">
        <f t="shared" si="174"/>
        <v/>
      </c>
      <c r="AL376" s="85" t="str">
        <f t="shared" si="175"/>
        <v/>
      </c>
      <c r="AM376" s="254" t="str">
        <f t="shared" si="176"/>
        <v/>
      </c>
      <c r="AN376" s="254" t="str">
        <f t="shared" ca="1" si="177"/>
        <v/>
      </c>
      <c r="AO376" s="255" t="str">
        <f t="shared" si="178"/>
        <v/>
      </c>
    </row>
    <row r="377" spans="2:41" x14ac:dyDescent="0.25">
      <c r="B377" s="321"/>
      <c r="C377" s="17"/>
      <c r="E377" s="117"/>
      <c r="F377" s="4" t="str">
        <f t="shared" si="150"/>
        <v/>
      </c>
      <c r="G377" s="4" t="str">
        <f t="shared" si="151"/>
        <v/>
      </c>
      <c r="H377" s="4" t="str">
        <f t="shared" si="152"/>
        <v/>
      </c>
      <c r="I377" s="4" t="str">
        <f t="shared" si="153"/>
        <v/>
      </c>
      <c r="J377" s="247"/>
      <c r="K377" s="117"/>
      <c r="L377" s="4" t="str">
        <f t="shared" si="154"/>
        <v/>
      </c>
      <c r="M377" s="4" t="str">
        <f t="shared" si="155"/>
        <v/>
      </c>
      <c r="N377" s="4" t="str">
        <f t="shared" si="156"/>
        <v/>
      </c>
      <c r="O377" s="4" t="str">
        <f t="shared" si="157"/>
        <v/>
      </c>
      <c r="P377" s="247"/>
      <c r="Q377" s="117"/>
      <c r="R377" s="4" t="str">
        <f t="shared" si="158"/>
        <v/>
      </c>
      <c r="S377" s="4" t="str">
        <f t="shared" si="159"/>
        <v/>
      </c>
      <c r="T377" s="4" t="str">
        <f t="shared" si="160"/>
        <v/>
      </c>
      <c r="U377" s="4" t="str">
        <f t="shared" si="161"/>
        <v/>
      </c>
      <c r="V377" s="247"/>
      <c r="W377" s="67" t="str">
        <f t="shared" si="162"/>
        <v/>
      </c>
      <c r="X377" s="118"/>
      <c r="Z377" s="67" t="str">
        <f t="shared" si="163"/>
        <v/>
      </c>
      <c r="AA377" s="13">
        <f t="shared" si="164"/>
        <v>0</v>
      </c>
      <c r="AB377" s="17">
        <f t="shared" si="165"/>
        <v>0</v>
      </c>
      <c r="AC377" s="163" t="str">
        <f t="shared" si="166"/>
        <v/>
      </c>
      <c r="AD377" s="119"/>
      <c r="AE377" s="21"/>
      <c r="AF377" s="121"/>
      <c r="AG377" s="122"/>
      <c r="AH377" s="83" t="str">
        <f t="shared" si="173"/>
        <v/>
      </c>
      <c r="AI377" s="115"/>
      <c r="AJ377" s="116"/>
      <c r="AK377" s="83" t="str">
        <f t="shared" si="174"/>
        <v/>
      </c>
      <c r="AL377" s="85" t="str">
        <f t="shared" si="175"/>
        <v/>
      </c>
      <c r="AM377" s="254" t="str">
        <f t="shared" si="176"/>
        <v/>
      </c>
      <c r="AN377" s="254" t="str">
        <f t="shared" ca="1" si="177"/>
        <v/>
      </c>
      <c r="AO377" s="255" t="str">
        <f t="shared" si="178"/>
        <v/>
      </c>
    </row>
    <row r="378" spans="2:41" x14ac:dyDescent="0.25">
      <c r="B378" s="321"/>
      <c r="C378" s="17"/>
      <c r="E378" s="117"/>
      <c r="F378" s="4" t="str">
        <f t="shared" si="150"/>
        <v/>
      </c>
      <c r="G378" s="4" t="str">
        <f t="shared" si="151"/>
        <v/>
      </c>
      <c r="H378" s="4" t="str">
        <f t="shared" si="152"/>
        <v/>
      </c>
      <c r="I378" s="4" t="str">
        <f t="shared" si="153"/>
        <v/>
      </c>
      <c r="J378" s="247"/>
      <c r="K378" s="117"/>
      <c r="L378" s="4" t="str">
        <f t="shared" si="154"/>
        <v/>
      </c>
      <c r="M378" s="4" t="str">
        <f t="shared" si="155"/>
        <v/>
      </c>
      <c r="N378" s="4" t="str">
        <f t="shared" si="156"/>
        <v/>
      </c>
      <c r="O378" s="4" t="str">
        <f t="shared" si="157"/>
        <v/>
      </c>
      <c r="P378" s="247"/>
      <c r="Q378" s="117"/>
      <c r="R378" s="4" t="str">
        <f t="shared" si="158"/>
        <v/>
      </c>
      <c r="S378" s="4" t="str">
        <f t="shared" si="159"/>
        <v/>
      </c>
      <c r="T378" s="4" t="str">
        <f t="shared" si="160"/>
        <v/>
      </c>
      <c r="U378" s="4" t="str">
        <f t="shared" si="161"/>
        <v/>
      </c>
      <c r="V378" s="247"/>
      <c r="W378" s="67" t="str">
        <f t="shared" si="162"/>
        <v/>
      </c>
      <c r="X378" s="118"/>
      <c r="Z378" s="67" t="str">
        <f t="shared" si="163"/>
        <v/>
      </c>
      <c r="AA378" s="13">
        <f t="shared" si="164"/>
        <v>0</v>
      </c>
      <c r="AB378" s="17">
        <f t="shared" si="165"/>
        <v>0</v>
      </c>
      <c r="AC378" s="163" t="str">
        <f t="shared" si="166"/>
        <v/>
      </c>
      <c r="AD378" s="119"/>
      <c r="AE378" s="21"/>
      <c r="AF378" s="121"/>
      <c r="AG378" s="122"/>
      <c r="AH378" s="83" t="str">
        <f t="shared" si="173"/>
        <v/>
      </c>
      <c r="AI378" s="115"/>
      <c r="AJ378" s="116"/>
      <c r="AK378" s="83" t="str">
        <f t="shared" si="174"/>
        <v/>
      </c>
      <c r="AL378" s="85" t="str">
        <f t="shared" si="175"/>
        <v/>
      </c>
      <c r="AM378" s="254" t="str">
        <f t="shared" si="176"/>
        <v/>
      </c>
      <c r="AN378" s="254" t="str">
        <f t="shared" ca="1" si="177"/>
        <v/>
      </c>
      <c r="AO378" s="255" t="str">
        <f t="shared" si="178"/>
        <v/>
      </c>
    </row>
    <row r="379" spans="2:41" x14ac:dyDescent="0.25">
      <c r="B379" s="321"/>
      <c r="C379" s="17"/>
      <c r="E379" s="117"/>
      <c r="F379" s="4" t="str">
        <f t="shared" si="150"/>
        <v/>
      </c>
      <c r="G379" s="4" t="str">
        <f t="shared" si="151"/>
        <v/>
      </c>
      <c r="H379" s="4" t="str">
        <f t="shared" si="152"/>
        <v/>
      </c>
      <c r="I379" s="4" t="str">
        <f t="shared" si="153"/>
        <v/>
      </c>
      <c r="J379" s="247"/>
      <c r="K379" s="117"/>
      <c r="L379" s="4" t="str">
        <f t="shared" si="154"/>
        <v/>
      </c>
      <c r="M379" s="4" t="str">
        <f t="shared" si="155"/>
        <v/>
      </c>
      <c r="N379" s="4" t="str">
        <f t="shared" si="156"/>
        <v/>
      </c>
      <c r="O379" s="4" t="str">
        <f t="shared" si="157"/>
        <v/>
      </c>
      <c r="P379" s="247"/>
      <c r="Q379" s="117"/>
      <c r="R379" s="4" t="str">
        <f t="shared" si="158"/>
        <v/>
      </c>
      <c r="S379" s="4" t="str">
        <f t="shared" si="159"/>
        <v/>
      </c>
      <c r="T379" s="4" t="str">
        <f t="shared" si="160"/>
        <v/>
      </c>
      <c r="U379" s="4" t="str">
        <f t="shared" si="161"/>
        <v/>
      </c>
      <c r="V379" s="247"/>
      <c r="W379" s="67" t="str">
        <f t="shared" si="162"/>
        <v/>
      </c>
      <c r="X379" s="118"/>
      <c r="Z379" s="67" t="str">
        <f t="shared" si="163"/>
        <v/>
      </c>
      <c r="AA379" s="13">
        <f t="shared" si="164"/>
        <v>0</v>
      </c>
      <c r="AB379" s="17">
        <f t="shared" si="165"/>
        <v>0</v>
      </c>
      <c r="AC379" s="163" t="str">
        <f t="shared" si="166"/>
        <v/>
      </c>
      <c r="AD379" s="119"/>
      <c r="AE379" s="21"/>
      <c r="AF379" s="121"/>
      <c r="AG379" s="122"/>
      <c r="AH379" s="83" t="str">
        <f t="shared" si="173"/>
        <v/>
      </c>
      <c r="AI379" s="115"/>
      <c r="AJ379" s="116"/>
      <c r="AK379" s="83" t="str">
        <f t="shared" si="174"/>
        <v/>
      </c>
      <c r="AL379" s="85" t="str">
        <f t="shared" si="175"/>
        <v/>
      </c>
      <c r="AM379" s="254" t="str">
        <f t="shared" si="176"/>
        <v/>
      </c>
      <c r="AN379" s="254" t="str">
        <f t="shared" ca="1" si="177"/>
        <v/>
      </c>
      <c r="AO379" s="255" t="str">
        <f t="shared" si="178"/>
        <v/>
      </c>
    </row>
    <row r="380" spans="2:41" x14ac:dyDescent="0.25">
      <c r="B380" s="321"/>
      <c r="C380" s="17"/>
      <c r="E380" s="117"/>
      <c r="F380" s="4" t="str">
        <f t="shared" ref="F380:F436" si="179">IFERROR(IF(VLOOKUP($E380,Inward,2,FALSE)&gt;0,VLOOKUP($E380,Inward,2,FALSE),""),"")</f>
        <v/>
      </c>
      <c r="G380" s="4" t="str">
        <f t="shared" ref="G380:G436" si="180">IFERROR(IF(VLOOKUP($E380,Inward,7,FALSE)&gt;0,VLOOKUP($E380,Inward,7,FALSE),""),"")</f>
        <v/>
      </c>
      <c r="H380" s="4" t="str">
        <f t="shared" ref="H380:H436" si="181">IFERROR(IF(VLOOKUP($E380,Inward,8,FALSE)&gt;0,VLOOKUP($E380,Inward,8,FALSE),""),"")</f>
        <v/>
      </c>
      <c r="I380" s="4" t="str">
        <f t="shared" ref="I380:I436" si="182">IFERROR(IF(VLOOKUP($E380,Inward,11,FALSE)&gt;0,VLOOKUP($E380,Inward,11,FALSE),""),"")</f>
        <v/>
      </c>
      <c r="J380" s="247"/>
      <c r="K380" s="117"/>
      <c r="L380" s="4" t="str">
        <f t="shared" ref="L380:L436" si="183">IFERROR(IF(VLOOKUP($K380,Inward,2,FALSE)&gt;0,VLOOKUP($K380,Inward,2,FALSE),""),"")</f>
        <v/>
      </c>
      <c r="M380" s="4" t="str">
        <f t="shared" ref="M380:M436" si="184">IFERROR(IF(VLOOKUP($K380,Inward,7,FALSE)&gt;0,VLOOKUP($K380,Inward,7,FALSE),""),"")</f>
        <v/>
      </c>
      <c r="N380" s="4" t="str">
        <f t="shared" ref="N380:N436" si="185">IFERROR(IF(VLOOKUP($K380,Inward,8,FALSE)&gt;0,VLOOKUP($K380,Inward,8,FALSE),""),"")</f>
        <v/>
      </c>
      <c r="O380" s="4" t="str">
        <f t="shared" ref="O380:O436" si="186">IFERROR(IF(VLOOKUP($K380,Inward,11,FALSE)&gt;0,VLOOKUP($K380,Inward,11,FALSE),""),"")</f>
        <v/>
      </c>
      <c r="P380" s="247"/>
      <c r="Q380" s="117"/>
      <c r="R380" s="4" t="str">
        <f t="shared" ref="R380:R436" si="187">IFERROR(IF(VLOOKUP($Q380,Inward,2,FALSE)&gt;0,VLOOKUP($Q380,Inward,2,FALSE),""),"")</f>
        <v/>
      </c>
      <c r="S380" s="4" t="str">
        <f t="shared" ref="S380:S436" si="188">IFERROR(IF(VLOOKUP($Q380,Inward,7,FALSE)&gt;0,VLOOKUP($Q380,Inward,7,FALSE),""),"")</f>
        <v/>
      </c>
      <c r="T380" s="4" t="str">
        <f t="shared" ref="T380:T436" si="189">IFERROR(IF(VLOOKUP($Q380,Inward,8,FALSE)&gt;0,VLOOKUP($Q380,Inward,8,FALSE),""),"")</f>
        <v/>
      </c>
      <c r="U380" s="4" t="str">
        <f t="shared" ref="U380:U436" si="190">IFERROR(IF(VLOOKUP($Q380,Inward,11,FALSE)&gt;0,VLOOKUP($Q380,Inward,11,FALSE),""),"")</f>
        <v/>
      </c>
      <c r="V380" s="247"/>
      <c r="W380" s="67" t="str">
        <f t="shared" ref="W380:W436" si="191">IF(SUM(I380,O380,U380)&gt;0,(SUM(I380,O380,U380)),"")</f>
        <v/>
      </c>
      <c r="X380" s="118"/>
      <c r="Z380" s="67" t="str">
        <f t="shared" ref="Z380:Z436" si="192">IF(SUM(W380,Y380)&gt;0,(SUM(W380,Y380)),"")</f>
        <v/>
      </c>
      <c r="AA380" s="13">
        <f t="shared" ref="AA380:AA436" si="193">B380</f>
        <v>0</v>
      </c>
      <c r="AB380" s="17">
        <f t="shared" ref="AB380:AB436" si="194">C380</f>
        <v>0</v>
      </c>
      <c r="AC380" s="163" t="str">
        <f t="shared" ref="AC380:AC436" si="195">F380</f>
        <v/>
      </c>
      <c r="AD380" s="119"/>
      <c r="AE380" s="21"/>
      <c r="AF380" s="121"/>
      <c r="AG380" s="122"/>
      <c r="AH380" s="83" t="str">
        <f t="shared" si="173"/>
        <v/>
      </c>
      <c r="AI380" s="115"/>
      <c r="AJ380" s="116"/>
      <c r="AK380" s="83" t="str">
        <f t="shared" si="174"/>
        <v/>
      </c>
      <c r="AL380" s="85" t="str">
        <f t="shared" si="175"/>
        <v/>
      </c>
      <c r="AM380" s="254" t="str">
        <f t="shared" si="176"/>
        <v/>
      </c>
      <c r="AN380" s="254" t="str">
        <f t="shared" ca="1" si="177"/>
        <v/>
      </c>
      <c r="AO380" s="255" t="str">
        <f t="shared" si="178"/>
        <v/>
      </c>
    </row>
    <row r="381" spans="2:41" x14ac:dyDescent="0.25">
      <c r="B381" s="321"/>
      <c r="C381" s="17"/>
      <c r="E381" s="117"/>
      <c r="F381" s="4" t="str">
        <f t="shared" si="179"/>
        <v/>
      </c>
      <c r="G381" s="4" t="str">
        <f t="shared" si="180"/>
        <v/>
      </c>
      <c r="H381" s="4" t="str">
        <f t="shared" si="181"/>
        <v/>
      </c>
      <c r="I381" s="4" t="str">
        <f t="shared" si="182"/>
        <v/>
      </c>
      <c r="J381" s="247"/>
      <c r="K381" s="117"/>
      <c r="L381" s="4" t="str">
        <f t="shared" si="183"/>
        <v/>
      </c>
      <c r="M381" s="4" t="str">
        <f t="shared" si="184"/>
        <v/>
      </c>
      <c r="N381" s="4" t="str">
        <f t="shared" si="185"/>
        <v/>
      </c>
      <c r="O381" s="4" t="str">
        <f t="shared" si="186"/>
        <v/>
      </c>
      <c r="P381" s="247"/>
      <c r="Q381" s="117"/>
      <c r="R381" s="4" t="str">
        <f t="shared" si="187"/>
        <v/>
      </c>
      <c r="S381" s="4" t="str">
        <f t="shared" si="188"/>
        <v/>
      </c>
      <c r="T381" s="4" t="str">
        <f t="shared" si="189"/>
        <v/>
      </c>
      <c r="U381" s="4" t="str">
        <f t="shared" si="190"/>
        <v/>
      </c>
      <c r="V381" s="247"/>
      <c r="W381" s="67" t="str">
        <f t="shared" si="191"/>
        <v/>
      </c>
      <c r="X381" s="118"/>
      <c r="Z381" s="67" t="str">
        <f t="shared" si="192"/>
        <v/>
      </c>
      <c r="AA381" s="13">
        <f t="shared" si="193"/>
        <v>0</v>
      </c>
      <c r="AB381" s="17">
        <f t="shared" si="194"/>
        <v>0</v>
      </c>
      <c r="AC381" s="163" t="str">
        <f t="shared" si="195"/>
        <v/>
      </c>
      <c r="AD381" s="119"/>
      <c r="AE381" s="21"/>
      <c r="AF381" s="121"/>
      <c r="AG381" s="122"/>
      <c r="AH381" s="83" t="str">
        <f t="shared" si="173"/>
        <v/>
      </c>
      <c r="AI381" s="115"/>
      <c r="AJ381" s="116"/>
      <c r="AK381" s="83" t="str">
        <f t="shared" si="174"/>
        <v/>
      </c>
      <c r="AL381" s="85" t="str">
        <f t="shared" si="175"/>
        <v/>
      </c>
      <c r="AM381" s="254" t="str">
        <f t="shared" si="176"/>
        <v/>
      </c>
      <c r="AN381" s="254" t="str">
        <f t="shared" ca="1" si="177"/>
        <v/>
      </c>
      <c r="AO381" s="255" t="str">
        <f t="shared" si="178"/>
        <v/>
      </c>
    </row>
    <row r="382" spans="2:41" x14ac:dyDescent="0.25">
      <c r="B382" s="321"/>
      <c r="C382" s="17"/>
      <c r="E382" s="117"/>
      <c r="F382" s="4" t="str">
        <f t="shared" si="179"/>
        <v/>
      </c>
      <c r="G382" s="4" t="str">
        <f t="shared" si="180"/>
        <v/>
      </c>
      <c r="H382" s="4" t="str">
        <f t="shared" si="181"/>
        <v/>
      </c>
      <c r="I382" s="4" t="str">
        <f t="shared" si="182"/>
        <v/>
      </c>
      <c r="J382" s="247"/>
      <c r="K382" s="117"/>
      <c r="L382" s="4" t="str">
        <f t="shared" si="183"/>
        <v/>
      </c>
      <c r="M382" s="4" t="str">
        <f t="shared" si="184"/>
        <v/>
      </c>
      <c r="N382" s="4" t="str">
        <f t="shared" si="185"/>
        <v/>
      </c>
      <c r="O382" s="4" t="str">
        <f t="shared" si="186"/>
        <v/>
      </c>
      <c r="P382" s="247"/>
      <c r="Q382" s="117"/>
      <c r="R382" s="4" t="str">
        <f t="shared" si="187"/>
        <v/>
      </c>
      <c r="S382" s="4" t="str">
        <f t="shared" si="188"/>
        <v/>
      </c>
      <c r="T382" s="4" t="str">
        <f t="shared" si="189"/>
        <v/>
      </c>
      <c r="U382" s="4" t="str">
        <f t="shared" si="190"/>
        <v/>
      </c>
      <c r="V382" s="247"/>
      <c r="W382" s="67" t="str">
        <f t="shared" si="191"/>
        <v/>
      </c>
      <c r="X382" s="118"/>
      <c r="Z382" s="67" t="str">
        <f t="shared" si="192"/>
        <v/>
      </c>
      <c r="AA382" s="13">
        <f t="shared" si="193"/>
        <v>0</v>
      </c>
      <c r="AB382" s="17">
        <f t="shared" si="194"/>
        <v>0</v>
      </c>
      <c r="AC382" s="163" t="str">
        <f t="shared" si="195"/>
        <v/>
      </c>
      <c r="AD382" s="119"/>
      <c r="AE382" s="21"/>
      <c r="AF382" s="121"/>
      <c r="AG382" s="122"/>
      <c r="AH382" s="83" t="str">
        <f t="shared" si="173"/>
        <v/>
      </c>
      <c r="AI382" s="115"/>
      <c r="AJ382" s="116"/>
      <c r="AK382" s="83" t="str">
        <f t="shared" si="174"/>
        <v/>
      </c>
      <c r="AL382" s="85" t="str">
        <f t="shared" si="175"/>
        <v/>
      </c>
      <c r="AM382" s="254" t="str">
        <f t="shared" si="176"/>
        <v/>
      </c>
      <c r="AN382" s="254" t="str">
        <f t="shared" ca="1" si="177"/>
        <v/>
      </c>
      <c r="AO382" s="255" t="str">
        <f t="shared" si="178"/>
        <v/>
      </c>
    </row>
    <row r="383" spans="2:41" x14ac:dyDescent="0.25">
      <c r="B383" s="321"/>
      <c r="C383" s="17"/>
      <c r="E383" s="117"/>
      <c r="F383" s="4" t="str">
        <f t="shared" si="179"/>
        <v/>
      </c>
      <c r="G383" s="4" t="str">
        <f t="shared" si="180"/>
        <v/>
      </c>
      <c r="H383" s="4" t="str">
        <f t="shared" si="181"/>
        <v/>
      </c>
      <c r="I383" s="4" t="str">
        <f t="shared" si="182"/>
        <v/>
      </c>
      <c r="J383" s="247"/>
      <c r="K383" s="117"/>
      <c r="L383" s="4" t="str">
        <f t="shared" si="183"/>
        <v/>
      </c>
      <c r="M383" s="4" t="str">
        <f t="shared" si="184"/>
        <v/>
      </c>
      <c r="N383" s="4" t="str">
        <f t="shared" si="185"/>
        <v/>
      </c>
      <c r="O383" s="4" t="str">
        <f t="shared" si="186"/>
        <v/>
      </c>
      <c r="P383" s="247"/>
      <c r="Q383" s="117"/>
      <c r="R383" s="4" t="str">
        <f t="shared" si="187"/>
        <v/>
      </c>
      <c r="S383" s="4" t="str">
        <f t="shared" si="188"/>
        <v/>
      </c>
      <c r="T383" s="4" t="str">
        <f t="shared" si="189"/>
        <v/>
      </c>
      <c r="U383" s="4" t="str">
        <f t="shared" si="190"/>
        <v/>
      </c>
      <c r="V383" s="247"/>
      <c r="W383" s="67" t="str">
        <f t="shared" si="191"/>
        <v/>
      </c>
      <c r="X383" s="118"/>
      <c r="Z383" s="67" t="str">
        <f t="shared" si="192"/>
        <v/>
      </c>
      <c r="AA383" s="13">
        <f t="shared" si="193"/>
        <v>0</v>
      </c>
      <c r="AB383" s="17">
        <f t="shared" si="194"/>
        <v>0</v>
      </c>
      <c r="AC383" s="163" t="str">
        <f t="shared" si="195"/>
        <v/>
      </c>
      <c r="AD383" s="119"/>
      <c r="AE383" s="21"/>
      <c r="AF383" s="121"/>
      <c r="AG383" s="122"/>
      <c r="AH383" s="83" t="str">
        <f t="shared" si="173"/>
        <v/>
      </c>
      <c r="AI383" s="115"/>
      <c r="AJ383" s="116"/>
      <c r="AK383" s="83" t="str">
        <f t="shared" si="174"/>
        <v/>
      </c>
      <c r="AL383" s="85" t="str">
        <f t="shared" si="175"/>
        <v/>
      </c>
      <c r="AM383" s="254" t="str">
        <f t="shared" si="176"/>
        <v/>
      </c>
      <c r="AN383" s="254" t="str">
        <f t="shared" ca="1" si="177"/>
        <v/>
      </c>
      <c r="AO383" s="255" t="str">
        <f t="shared" si="178"/>
        <v/>
      </c>
    </row>
    <row r="384" spans="2:41" x14ac:dyDescent="0.25">
      <c r="B384" s="321"/>
      <c r="C384" s="17"/>
      <c r="E384" s="117"/>
      <c r="F384" s="4" t="str">
        <f t="shared" si="179"/>
        <v/>
      </c>
      <c r="G384" s="4" t="str">
        <f t="shared" si="180"/>
        <v/>
      </c>
      <c r="H384" s="4" t="str">
        <f t="shared" si="181"/>
        <v/>
      </c>
      <c r="I384" s="4" t="str">
        <f t="shared" si="182"/>
        <v/>
      </c>
      <c r="J384" s="247"/>
      <c r="K384" s="117"/>
      <c r="L384" s="4" t="str">
        <f t="shared" si="183"/>
        <v/>
      </c>
      <c r="M384" s="4" t="str">
        <f t="shared" si="184"/>
        <v/>
      </c>
      <c r="N384" s="4" t="str">
        <f t="shared" si="185"/>
        <v/>
      </c>
      <c r="O384" s="4" t="str">
        <f t="shared" si="186"/>
        <v/>
      </c>
      <c r="P384" s="247"/>
      <c r="Q384" s="117"/>
      <c r="R384" s="4" t="str">
        <f t="shared" si="187"/>
        <v/>
      </c>
      <c r="S384" s="4" t="str">
        <f t="shared" si="188"/>
        <v/>
      </c>
      <c r="T384" s="4" t="str">
        <f t="shared" si="189"/>
        <v/>
      </c>
      <c r="U384" s="4" t="str">
        <f t="shared" si="190"/>
        <v/>
      </c>
      <c r="V384" s="247"/>
      <c r="W384" s="67" t="str">
        <f t="shared" si="191"/>
        <v/>
      </c>
      <c r="X384" s="118"/>
      <c r="Z384" s="67" t="str">
        <f t="shared" si="192"/>
        <v/>
      </c>
      <c r="AA384" s="13">
        <f t="shared" si="193"/>
        <v>0</v>
      </c>
      <c r="AB384" s="17">
        <f t="shared" si="194"/>
        <v>0</v>
      </c>
      <c r="AC384" s="163" t="str">
        <f t="shared" si="195"/>
        <v/>
      </c>
      <c r="AD384" s="119"/>
      <c r="AE384" s="21"/>
      <c r="AF384" s="121"/>
      <c r="AG384" s="122"/>
      <c r="AH384" s="83" t="str">
        <f t="shared" si="173"/>
        <v/>
      </c>
      <c r="AI384" s="115"/>
      <c r="AJ384" s="116"/>
      <c r="AK384" s="83" t="str">
        <f t="shared" si="174"/>
        <v/>
      </c>
      <c r="AL384" s="85" t="str">
        <f t="shared" si="175"/>
        <v/>
      </c>
      <c r="AM384" s="254" t="str">
        <f t="shared" si="176"/>
        <v/>
      </c>
      <c r="AN384" s="254" t="str">
        <f t="shared" ca="1" si="177"/>
        <v/>
      </c>
      <c r="AO384" s="255" t="str">
        <f t="shared" si="178"/>
        <v/>
      </c>
    </row>
    <row r="385" spans="2:41" x14ac:dyDescent="0.25">
      <c r="B385" s="321"/>
      <c r="C385" s="17"/>
      <c r="E385" s="117"/>
      <c r="F385" s="4" t="str">
        <f t="shared" si="179"/>
        <v/>
      </c>
      <c r="G385" s="4" t="str">
        <f t="shared" si="180"/>
        <v/>
      </c>
      <c r="H385" s="4" t="str">
        <f t="shared" si="181"/>
        <v/>
      </c>
      <c r="I385" s="4" t="str">
        <f t="shared" si="182"/>
        <v/>
      </c>
      <c r="J385" s="247"/>
      <c r="K385" s="117"/>
      <c r="L385" s="4" t="str">
        <f t="shared" si="183"/>
        <v/>
      </c>
      <c r="M385" s="4" t="str">
        <f t="shared" si="184"/>
        <v/>
      </c>
      <c r="N385" s="4" t="str">
        <f t="shared" si="185"/>
        <v/>
      </c>
      <c r="O385" s="4" t="str">
        <f t="shared" si="186"/>
        <v/>
      </c>
      <c r="P385" s="247"/>
      <c r="Q385" s="117"/>
      <c r="R385" s="4" t="str">
        <f t="shared" si="187"/>
        <v/>
      </c>
      <c r="S385" s="4" t="str">
        <f t="shared" si="188"/>
        <v/>
      </c>
      <c r="T385" s="4" t="str">
        <f t="shared" si="189"/>
        <v/>
      </c>
      <c r="U385" s="4" t="str">
        <f t="shared" si="190"/>
        <v/>
      </c>
      <c r="V385" s="247"/>
      <c r="W385" s="67" t="str">
        <f t="shared" si="191"/>
        <v/>
      </c>
      <c r="X385" s="118"/>
      <c r="Z385" s="67" t="str">
        <f t="shared" si="192"/>
        <v/>
      </c>
      <c r="AA385" s="13">
        <f t="shared" si="193"/>
        <v>0</v>
      </c>
      <c r="AB385" s="17">
        <f t="shared" si="194"/>
        <v>0</v>
      </c>
      <c r="AC385" s="163" t="str">
        <f t="shared" si="195"/>
        <v/>
      </c>
      <c r="AD385" s="119"/>
      <c r="AE385" s="21"/>
      <c r="AF385" s="121"/>
      <c r="AG385" s="122"/>
      <c r="AH385" s="83" t="str">
        <f t="shared" si="173"/>
        <v/>
      </c>
      <c r="AI385" s="115"/>
      <c r="AJ385" s="116"/>
      <c r="AK385" s="83" t="str">
        <f t="shared" si="174"/>
        <v/>
      </c>
      <c r="AL385" s="85" t="str">
        <f t="shared" si="175"/>
        <v/>
      </c>
      <c r="AM385" s="254" t="str">
        <f t="shared" si="176"/>
        <v/>
      </c>
      <c r="AN385" s="254" t="str">
        <f t="shared" ca="1" si="177"/>
        <v/>
      </c>
      <c r="AO385" s="255" t="str">
        <f t="shared" si="178"/>
        <v/>
      </c>
    </row>
    <row r="386" spans="2:41" x14ac:dyDescent="0.25">
      <c r="B386" s="321"/>
      <c r="C386" s="17"/>
      <c r="E386" s="117"/>
      <c r="F386" s="4" t="str">
        <f t="shared" si="179"/>
        <v/>
      </c>
      <c r="G386" s="4" t="str">
        <f t="shared" si="180"/>
        <v/>
      </c>
      <c r="H386" s="4" t="str">
        <f t="shared" si="181"/>
        <v/>
      </c>
      <c r="I386" s="4" t="str">
        <f t="shared" si="182"/>
        <v/>
      </c>
      <c r="J386" s="247"/>
      <c r="K386" s="117"/>
      <c r="L386" s="4" t="str">
        <f t="shared" si="183"/>
        <v/>
      </c>
      <c r="M386" s="4" t="str">
        <f t="shared" si="184"/>
        <v/>
      </c>
      <c r="N386" s="4" t="str">
        <f t="shared" si="185"/>
        <v/>
      </c>
      <c r="O386" s="4" t="str">
        <f t="shared" si="186"/>
        <v/>
      </c>
      <c r="P386" s="247"/>
      <c r="Q386" s="117"/>
      <c r="R386" s="4" t="str">
        <f t="shared" si="187"/>
        <v/>
      </c>
      <c r="S386" s="4" t="str">
        <f t="shared" si="188"/>
        <v/>
      </c>
      <c r="T386" s="4" t="str">
        <f t="shared" si="189"/>
        <v/>
      </c>
      <c r="U386" s="4" t="str">
        <f t="shared" si="190"/>
        <v/>
      </c>
      <c r="V386" s="247"/>
      <c r="W386" s="67" t="str">
        <f t="shared" si="191"/>
        <v/>
      </c>
      <c r="X386" s="118"/>
      <c r="Z386" s="67" t="str">
        <f t="shared" si="192"/>
        <v/>
      </c>
      <c r="AA386" s="13">
        <f t="shared" si="193"/>
        <v>0</v>
      </c>
      <c r="AB386" s="17">
        <f t="shared" si="194"/>
        <v>0</v>
      </c>
      <c r="AC386" s="163" t="str">
        <f t="shared" si="195"/>
        <v/>
      </c>
      <c r="AD386" s="119"/>
      <c r="AE386" s="21"/>
      <c r="AF386" s="121"/>
      <c r="AG386" s="122"/>
      <c r="AH386" s="83" t="str">
        <f t="shared" si="173"/>
        <v/>
      </c>
      <c r="AI386" s="115"/>
      <c r="AJ386" s="116"/>
      <c r="AK386" s="83" t="str">
        <f t="shared" si="174"/>
        <v/>
      </c>
      <c r="AL386" s="85" t="str">
        <f t="shared" si="175"/>
        <v/>
      </c>
      <c r="AM386" s="254" t="str">
        <f t="shared" si="176"/>
        <v/>
      </c>
      <c r="AN386" s="254" t="str">
        <f t="shared" ca="1" si="177"/>
        <v/>
      </c>
      <c r="AO386" s="255" t="str">
        <f t="shared" si="178"/>
        <v/>
      </c>
    </row>
    <row r="387" spans="2:41" x14ac:dyDescent="0.25">
      <c r="B387" s="321"/>
      <c r="C387" s="17"/>
      <c r="E387" s="117"/>
      <c r="F387" s="4" t="str">
        <f t="shared" si="179"/>
        <v/>
      </c>
      <c r="G387" s="4" t="str">
        <f t="shared" si="180"/>
        <v/>
      </c>
      <c r="H387" s="4" t="str">
        <f t="shared" si="181"/>
        <v/>
      </c>
      <c r="I387" s="4" t="str">
        <f t="shared" si="182"/>
        <v/>
      </c>
      <c r="J387" s="247"/>
      <c r="K387" s="117"/>
      <c r="L387" s="4" t="str">
        <f t="shared" si="183"/>
        <v/>
      </c>
      <c r="M387" s="4" t="str">
        <f t="shared" si="184"/>
        <v/>
      </c>
      <c r="N387" s="4" t="str">
        <f t="shared" si="185"/>
        <v/>
      </c>
      <c r="O387" s="4" t="str">
        <f t="shared" si="186"/>
        <v/>
      </c>
      <c r="P387" s="247"/>
      <c r="Q387" s="117"/>
      <c r="R387" s="4" t="str">
        <f t="shared" si="187"/>
        <v/>
      </c>
      <c r="S387" s="4" t="str">
        <f t="shared" si="188"/>
        <v/>
      </c>
      <c r="T387" s="4" t="str">
        <f t="shared" si="189"/>
        <v/>
      </c>
      <c r="U387" s="4" t="str">
        <f t="shared" si="190"/>
        <v/>
      </c>
      <c r="V387" s="247"/>
      <c r="W387" s="67" t="str">
        <f t="shared" si="191"/>
        <v/>
      </c>
      <c r="X387" s="118"/>
      <c r="Z387" s="67" t="str">
        <f t="shared" si="192"/>
        <v/>
      </c>
      <c r="AA387" s="13">
        <f t="shared" si="193"/>
        <v>0</v>
      </c>
      <c r="AB387" s="17">
        <f t="shared" si="194"/>
        <v>0</v>
      </c>
      <c r="AC387" s="163" t="str">
        <f t="shared" si="195"/>
        <v/>
      </c>
      <c r="AD387" s="119"/>
      <c r="AE387" s="21"/>
      <c r="AF387" s="121"/>
      <c r="AG387" s="122"/>
      <c r="AH387" s="83" t="str">
        <f t="shared" si="173"/>
        <v/>
      </c>
      <c r="AI387" s="115"/>
      <c r="AJ387" s="116"/>
      <c r="AK387" s="83" t="str">
        <f t="shared" si="174"/>
        <v/>
      </c>
      <c r="AL387" s="85" t="str">
        <f t="shared" si="175"/>
        <v/>
      </c>
      <c r="AM387" s="254" t="str">
        <f t="shared" si="176"/>
        <v/>
      </c>
      <c r="AN387" s="254" t="str">
        <f t="shared" ca="1" si="177"/>
        <v/>
      </c>
      <c r="AO387" s="255" t="str">
        <f t="shared" si="178"/>
        <v/>
      </c>
    </row>
    <row r="388" spans="2:41" x14ac:dyDescent="0.25">
      <c r="B388" s="321"/>
      <c r="C388" s="17"/>
      <c r="E388" s="117"/>
      <c r="F388" s="4" t="str">
        <f t="shared" si="179"/>
        <v/>
      </c>
      <c r="G388" s="4" t="str">
        <f t="shared" si="180"/>
        <v/>
      </c>
      <c r="H388" s="4" t="str">
        <f t="shared" si="181"/>
        <v/>
      </c>
      <c r="I388" s="4" t="str">
        <f t="shared" si="182"/>
        <v/>
      </c>
      <c r="J388" s="247"/>
      <c r="K388" s="117"/>
      <c r="L388" s="4" t="str">
        <f t="shared" si="183"/>
        <v/>
      </c>
      <c r="M388" s="4" t="str">
        <f t="shared" si="184"/>
        <v/>
      </c>
      <c r="N388" s="4" t="str">
        <f t="shared" si="185"/>
        <v/>
      </c>
      <c r="O388" s="4" t="str">
        <f t="shared" si="186"/>
        <v/>
      </c>
      <c r="P388" s="247"/>
      <c r="Q388" s="117"/>
      <c r="R388" s="4" t="str">
        <f t="shared" si="187"/>
        <v/>
      </c>
      <c r="S388" s="4" t="str">
        <f t="shared" si="188"/>
        <v/>
      </c>
      <c r="T388" s="4" t="str">
        <f t="shared" si="189"/>
        <v/>
      </c>
      <c r="U388" s="4" t="str">
        <f t="shared" si="190"/>
        <v/>
      </c>
      <c r="V388" s="247"/>
      <c r="W388" s="67" t="str">
        <f t="shared" si="191"/>
        <v/>
      </c>
      <c r="X388" s="118"/>
      <c r="Z388" s="67" t="str">
        <f t="shared" si="192"/>
        <v/>
      </c>
      <c r="AA388" s="13">
        <f t="shared" si="193"/>
        <v>0</v>
      </c>
      <c r="AB388" s="17">
        <f t="shared" si="194"/>
        <v>0</v>
      </c>
      <c r="AC388" s="163" t="str">
        <f t="shared" si="195"/>
        <v/>
      </c>
      <c r="AD388" s="119"/>
      <c r="AE388" s="21"/>
      <c r="AF388" s="121"/>
      <c r="AG388" s="122"/>
      <c r="AH388" s="83" t="str">
        <f t="shared" si="173"/>
        <v/>
      </c>
      <c r="AI388" s="115"/>
      <c r="AJ388" s="116"/>
      <c r="AK388" s="83" t="str">
        <f t="shared" si="174"/>
        <v/>
      </c>
      <c r="AL388" s="85" t="str">
        <f t="shared" si="175"/>
        <v/>
      </c>
      <c r="AM388" s="254" t="str">
        <f t="shared" si="176"/>
        <v/>
      </c>
      <c r="AN388" s="254" t="str">
        <f t="shared" ca="1" si="177"/>
        <v/>
      </c>
      <c r="AO388" s="255" t="str">
        <f t="shared" si="178"/>
        <v/>
      </c>
    </row>
    <row r="389" spans="2:41" x14ac:dyDescent="0.25">
      <c r="B389" s="321"/>
      <c r="C389" s="17"/>
      <c r="E389" s="117"/>
      <c r="F389" s="4" t="str">
        <f t="shared" si="179"/>
        <v/>
      </c>
      <c r="G389" s="4" t="str">
        <f t="shared" si="180"/>
        <v/>
      </c>
      <c r="H389" s="4" t="str">
        <f t="shared" si="181"/>
        <v/>
      </c>
      <c r="I389" s="4" t="str">
        <f t="shared" si="182"/>
        <v/>
      </c>
      <c r="J389" s="247"/>
      <c r="K389" s="117"/>
      <c r="L389" s="4" t="str">
        <f t="shared" si="183"/>
        <v/>
      </c>
      <c r="M389" s="4" t="str">
        <f t="shared" si="184"/>
        <v/>
      </c>
      <c r="N389" s="4" t="str">
        <f t="shared" si="185"/>
        <v/>
      </c>
      <c r="O389" s="4" t="str">
        <f t="shared" si="186"/>
        <v/>
      </c>
      <c r="P389" s="247"/>
      <c r="Q389" s="117"/>
      <c r="R389" s="4" t="str">
        <f t="shared" si="187"/>
        <v/>
      </c>
      <c r="S389" s="4" t="str">
        <f t="shared" si="188"/>
        <v/>
      </c>
      <c r="T389" s="4" t="str">
        <f t="shared" si="189"/>
        <v/>
      </c>
      <c r="U389" s="4" t="str">
        <f t="shared" si="190"/>
        <v/>
      </c>
      <c r="V389" s="247"/>
      <c r="W389" s="67" t="str">
        <f t="shared" si="191"/>
        <v/>
      </c>
      <c r="X389" s="118"/>
      <c r="Z389" s="67" t="str">
        <f t="shared" si="192"/>
        <v/>
      </c>
      <c r="AA389" s="13">
        <f t="shared" si="193"/>
        <v>0</v>
      </c>
      <c r="AB389" s="17">
        <f t="shared" si="194"/>
        <v>0</v>
      </c>
      <c r="AC389" s="163" t="str">
        <f t="shared" si="195"/>
        <v/>
      </c>
      <c r="AD389" s="119"/>
      <c r="AE389" s="21"/>
      <c r="AF389" s="121"/>
      <c r="AG389" s="122"/>
      <c r="AH389" s="83" t="str">
        <f t="shared" si="173"/>
        <v/>
      </c>
      <c r="AI389" s="115"/>
      <c r="AJ389" s="116"/>
      <c r="AK389" s="83" t="str">
        <f t="shared" si="174"/>
        <v/>
      </c>
      <c r="AL389" s="85" t="str">
        <f t="shared" si="175"/>
        <v/>
      </c>
      <c r="AM389" s="254" t="str">
        <f t="shared" si="176"/>
        <v/>
      </c>
      <c r="AN389" s="254" t="str">
        <f t="shared" ca="1" si="177"/>
        <v/>
      </c>
      <c r="AO389" s="255" t="str">
        <f t="shared" si="178"/>
        <v/>
      </c>
    </row>
    <row r="390" spans="2:41" x14ac:dyDescent="0.25">
      <c r="B390" s="321"/>
      <c r="C390" s="17"/>
      <c r="E390" s="117"/>
      <c r="F390" s="4" t="str">
        <f t="shared" si="179"/>
        <v/>
      </c>
      <c r="G390" s="4" t="str">
        <f t="shared" si="180"/>
        <v/>
      </c>
      <c r="H390" s="4" t="str">
        <f t="shared" si="181"/>
        <v/>
      </c>
      <c r="I390" s="4" t="str">
        <f t="shared" si="182"/>
        <v/>
      </c>
      <c r="J390" s="247"/>
      <c r="K390" s="117"/>
      <c r="L390" s="4" t="str">
        <f t="shared" si="183"/>
        <v/>
      </c>
      <c r="M390" s="4" t="str">
        <f t="shared" si="184"/>
        <v/>
      </c>
      <c r="N390" s="4" t="str">
        <f t="shared" si="185"/>
        <v/>
      </c>
      <c r="O390" s="4" t="str">
        <f t="shared" si="186"/>
        <v/>
      </c>
      <c r="P390" s="247"/>
      <c r="Q390" s="117"/>
      <c r="R390" s="4" t="str">
        <f t="shared" si="187"/>
        <v/>
      </c>
      <c r="S390" s="4" t="str">
        <f t="shared" si="188"/>
        <v/>
      </c>
      <c r="T390" s="4" t="str">
        <f t="shared" si="189"/>
        <v/>
      </c>
      <c r="U390" s="4" t="str">
        <f t="shared" si="190"/>
        <v/>
      </c>
      <c r="V390" s="247"/>
      <c r="W390" s="67" t="str">
        <f t="shared" si="191"/>
        <v/>
      </c>
      <c r="X390" s="118"/>
      <c r="Z390" s="67" t="str">
        <f t="shared" si="192"/>
        <v/>
      </c>
      <c r="AA390" s="13">
        <f t="shared" si="193"/>
        <v>0</v>
      </c>
      <c r="AB390" s="17">
        <f t="shared" si="194"/>
        <v>0</v>
      </c>
      <c r="AC390" s="163" t="str">
        <f t="shared" si="195"/>
        <v/>
      </c>
      <c r="AD390" s="119"/>
      <c r="AE390" s="21"/>
      <c r="AF390" s="121"/>
      <c r="AG390" s="122"/>
      <c r="AH390" s="83" t="str">
        <f t="shared" si="173"/>
        <v/>
      </c>
      <c r="AI390" s="115"/>
      <c r="AJ390" s="116"/>
      <c r="AK390" s="83" t="str">
        <f t="shared" si="174"/>
        <v/>
      </c>
      <c r="AL390" s="85" t="str">
        <f t="shared" si="175"/>
        <v/>
      </c>
      <c r="AM390" s="254" t="str">
        <f t="shared" si="176"/>
        <v/>
      </c>
      <c r="AN390" s="254" t="str">
        <f t="shared" ca="1" si="177"/>
        <v/>
      </c>
      <c r="AO390" s="255" t="str">
        <f t="shared" si="178"/>
        <v/>
      </c>
    </row>
    <row r="391" spans="2:41" x14ac:dyDescent="0.25">
      <c r="B391" s="321"/>
      <c r="C391" s="17"/>
      <c r="E391" s="117"/>
      <c r="F391" s="4" t="str">
        <f t="shared" si="179"/>
        <v/>
      </c>
      <c r="G391" s="4" t="str">
        <f t="shared" si="180"/>
        <v/>
      </c>
      <c r="H391" s="4" t="str">
        <f t="shared" si="181"/>
        <v/>
      </c>
      <c r="I391" s="4" t="str">
        <f t="shared" si="182"/>
        <v/>
      </c>
      <c r="J391" s="247"/>
      <c r="K391" s="117"/>
      <c r="L391" s="4" t="str">
        <f t="shared" si="183"/>
        <v/>
      </c>
      <c r="M391" s="4" t="str">
        <f t="shared" si="184"/>
        <v/>
      </c>
      <c r="N391" s="4" t="str">
        <f t="shared" si="185"/>
        <v/>
      </c>
      <c r="O391" s="4" t="str">
        <f t="shared" si="186"/>
        <v/>
      </c>
      <c r="P391" s="247"/>
      <c r="Q391" s="117"/>
      <c r="R391" s="4" t="str">
        <f t="shared" si="187"/>
        <v/>
      </c>
      <c r="S391" s="4" t="str">
        <f t="shared" si="188"/>
        <v/>
      </c>
      <c r="T391" s="4" t="str">
        <f t="shared" si="189"/>
        <v/>
      </c>
      <c r="U391" s="4" t="str">
        <f t="shared" si="190"/>
        <v/>
      </c>
      <c r="V391" s="247"/>
      <c r="W391" s="67" t="str">
        <f t="shared" si="191"/>
        <v/>
      </c>
      <c r="X391" s="118"/>
      <c r="Z391" s="67" t="str">
        <f t="shared" si="192"/>
        <v/>
      </c>
      <c r="AA391" s="13">
        <f t="shared" si="193"/>
        <v>0</v>
      </c>
      <c r="AB391" s="17">
        <f t="shared" si="194"/>
        <v>0</v>
      </c>
      <c r="AC391" s="163" t="str">
        <f t="shared" si="195"/>
        <v/>
      </c>
      <c r="AD391" s="119"/>
      <c r="AE391" s="21"/>
      <c r="AF391" s="121"/>
      <c r="AG391" s="122"/>
      <c r="AH391" s="83" t="str">
        <f t="shared" si="173"/>
        <v/>
      </c>
      <c r="AI391" s="115"/>
      <c r="AJ391" s="116"/>
      <c r="AK391" s="83" t="str">
        <f t="shared" si="174"/>
        <v/>
      </c>
      <c r="AL391" s="85" t="str">
        <f t="shared" si="175"/>
        <v/>
      </c>
      <c r="AM391" s="254" t="str">
        <f t="shared" si="176"/>
        <v/>
      </c>
      <c r="AN391" s="254" t="str">
        <f t="shared" ca="1" si="177"/>
        <v/>
      </c>
      <c r="AO391" s="255" t="str">
        <f t="shared" si="178"/>
        <v/>
      </c>
    </row>
    <row r="392" spans="2:41" x14ac:dyDescent="0.25">
      <c r="B392" s="321"/>
      <c r="C392" s="17"/>
      <c r="E392" s="117"/>
      <c r="F392" s="4" t="str">
        <f t="shared" si="179"/>
        <v/>
      </c>
      <c r="G392" s="4" t="str">
        <f t="shared" si="180"/>
        <v/>
      </c>
      <c r="H392" s="4" t="str">
        <f t="shared" si="181"/>
        <v/>
      </c>
      <c r="I392" s="4" t="str">
        <f t="shared" si="182"/>
        <v/>
      </c>
      <c r="J392" s="247"/>
      <c r="K392" s="117"/>
      <c r="L392" s="4" t="str">
        <f t="shared" si="183"/>
        <v/>
      </c>
      <c r="M392" s="4" t="str">
        <f t="shared" si="184"/>
        <v/>
      </c>
      <c r="N392" s="4" t="str">
        <f t="shared" si="185"/>
        <v/>
      </c>
      <c r="O392" s="4" t="str">
        <f t="shared" si="186"/>
        <v/>
      </c>
      <c r="P392" s="247"/>
      <c r="Q392" s="117"/>
      <c r="R392" s="4" t="str">
        <f t="shared" si="187"/>
        <v/>
      </c>
      <c r="S392" s="4" t="str">
        <f t="shared" si="188"/>
        <v/>
      </c>
      <c r="T392" s="4" t="str">
        <f t="shared" si="189"/>
        <v/>
      </c>
      <c r="U392" s="4" t="str">
        <f t="shared" si="190"/>
        <v/>
      </c>
      <c r="V392" s="247"/>
      <c r="W392" s="67" t="str">
        <f t="shared" si="191"/>
        <v/>
      </c>
      <c r="X392" s="118"/>
      <c r="Z392" s="67" t="str">
        <f t="shared" si="192"/>
        <v/>
      </c>
      <c r="AA392" s="13">
        <f t="shared" si="193"/>
        <v>0</v>
      </c>
      <c r="AB392" s="17">
        <f t="shared" si="194"/>
        <v>0</v>
      </c>
      <c r="AC392" s="163" t="str">
        <f t="shared" si="195"/>
        <v/>
      </c>
      <c r="AD392" s="119"/>
      <c r="AE392" s="21"/>
      <c r="AF392" s="121"/>
      <c r="AG392" s="122"/>
      <c r="AH392" s="83" t="str">
        <f t="shared" si="173"/>
        <v/>
      </c>
      <c r="AI392" s="115"/>
      <c r="AJ392" s="116"/>
      <c r="AK392" s="83" t="str">
        <f t="shared" si="174"/>
        <v/>
      </c>
      <c r="AL392" s="85" t="str">
        <f t="shared" si="175"/>
        <v/>
      </c>
      <c r="AM392" s="254" t="str">
        <f t="shared" si="176"/>
        <v/>
      </c>
      <c r="AN392" s="254" t="str">
        <f t="shared" ca="1" si="177"/>
        <v/>
      </c>
      <c r="AO392" s="255" t="str">
        <f t="shared" si="178"/>
        <v/>
      </c>
    </row>
    <row r="393" spans="2:41" x14ac:dyDescent="0.25">
      <c r="B393" s="321"/>
      <c r="C393" s="17"/>
      <c r="E393" s="117"/>
      <c r="F393" s="4" t="str">
        <f t="shared" si="179"/>
        <v/>
      </c>
      <c r="G393" s="4" t="str">
        <f t="shared" si="180"/>
        <v/>
      </c>
      <c r="H393" s="4" t="str">
        <f t="shared" si="181"/>
        <v/>
      </c>
      <c r="I393" s="4" t="str">
        <f t="shared" si="182"/>
        <v/>
      </c>
      <c r="J393" s="247"/>
      <c r="K393" s="117"/>
      <c r="L393" s="4" t="str">
        <f t="shared" si="183"/>
        <v/>
      </c>
      <c r="M393" s="4" t="str">
        <f t="shared" si="184"/>
        <v/>
      </c>
      <c r="N393" s="4" t="str">
        <f t="shared" si="185"/>
        <v/>
      </c>
      <c r="O393" s="4" t="str">
        <f t="shared" si="186"/>
        <v/>
      </c>
      <c r="P393" s="247"/>
      <c r="Q393" s="117"/>
      <c r="R393" s="4" t="str">
        <f t="shared" si="187"/>
        <v/>
      </c>
      <c r="S393" s="4" t="str">
        <f t="shared" si="188"/>
        <v/>
      </c>
      <c r="T393" s="4" t="str">
        <f t="shared" si="189"/>
        <v/>
      </c>
      <c r="U393" s="4" t="str">
        <f t="shared" si="190"/>
        <v/>
      </c>
      <c r="V393" s="247"/>
      <c r="W393" s="67" t="str">
        <f t="shared" si="191"/>
        <v/>
      </c>
      <c r="X393" s="118"/>
      <c r="Z393" s="67" t="str">
        <f t="shared" si="192"/>
        <v/>
      </c>
      <c r="AA393" s="13">
        <f t="shared" si="193"/>
        <v>0</v>
      </c>
      <c r="AB393" s="17">
        <f t="shared" si="194"/>
        <v>0</v>
      </c>
      <c r="AC393" s="163" t="str">
        <f t="shared" si="195"/>
        <v/>
      </c>
      <c r="AD393" s="119"/>
      <c r="AE393" s="21"/>
      <c r="AF393" s="121"/>
      <c r="AG393" s="122"/>
      <c r="AH393" s="83" t="str">
        <f t="shared" si="173"/>
        <v/>
      </c>
      <c r="AI393" s="115"/>
      <c r="AJ393" s="116"/>
      <c r="AK393" s="83" t="str">
        <f t="shared" si="174"/>
        <v/>
      </c>
      <c r="AL393" s="85" t="str">
        <f t="shared" si="175"/>
        <v/>
      </c>
      <c r="AM393" s="254" t="str">
        <f t="shared" si="176"/>
        <v/>
      </c>
      <c r="AN393" s="254" t="str">
        <f t="shared" ca="1" si="177"/>
        <v/>
      </c>
      <c r="AO393" s="255" t="str">
        <f t="shared" si="178"/>
        <v/>
      </c>
    </row>
    <row r="394" spans="2:41" x14ac:dyDescent="0.25">
      <c r="B394" s="321"/>
      <c r="C394" s="17"/>
      <c r="E394" s="117"/>
      <c r="F394" s="4" t="str">
        <f t="shared" si="179"/>
        <v/>
      </c>
      <c r="G394" s="4" t="str">
        <f t="shared" si="180"/>
        <v/>
      </c>
      <c r="H394" s="4" t="str">
        <f t="shared" si="181"/>
        <v/>
      </c>
      <c r="I394" s="4" t="str">
        <f t="shared" si="182"/>
        <v/>
      </c>
      <c r="J394" s="247"/>
      <c r="K394" s="117"/>
      <c r="L394" s="4" t="str">
        <f t="shared" si="183"/>
        <v/>
      </c>
      <c r="M394" s="4" t="str">
        <f t="shared" si="184"/>
        <v/>
      </c>
      <c r="N394" s="4" t="str">
        <f t="shared" si="185"/>
        <v/>
      </c>
      <c r="O394" s="4" t="str">
        <f t="shared" si="186"/>
        <v/>
      </c>
      <c r="P394" s="247"/>
      <c r="Q394" s="117"/>
      <c r="R394" s="4" t="str">
        <f t="shared" si="187"/>
        <v/>
      </c>
      <c r="S394" s="4" t="str">
        <f t="shared" si="188"/>
        <v/>
      </c>
      <c r="T394" s="4" t="str">
        <f t="shared" si="189"/>
        <v/>
      </c>
      <c r="U394" s="4" t="str">
        <f t="shared" si="190"/>
        <v/>
      </c>
      <c r="V394" s="247"/>
      <c r="W394" s="67" t="str">
        <f t="shared" si="191"/>
        <v/>
      </c>
      <c r="X394" s="118"/>
      <c r="Z394" s="67" t="str">
        <f t="shared" si="192"/>
        <v/>
      </c>
      <c r="AA394" s="13">
        <f t="shared" si="193"/>
        <v>0</v>
      </c>
      <c r="AB394" s="17">
        <f t="shared" si="194"/>
        <v>0</v>
      </c>
      <c r="AC394" s="163" t="str">
        <f t="shared" si="195"/>
        <v/>
      </c>
      <c r="AD394" s="119"/>
      <c r="AE394" s="21"/>
      <c r="AF394" s="121"/>
      <c r="AG394" s="122"/>
      <c r="AH394" s="83" t="str">
        <f t="shared" si="173"/>
        <v/>
      </c>
      <c r="AI394" s="115"/>
      <c r="AJ394" s="116"/>
      <c r="AK394" s="83" t="str">
        <f t="shared" si="174"/>
        <v/>
      </c>
      <c r="AL394" s="85" t="str">
        <f t="shared" si="175"/>
        <v/>
      </c>
      <c r="AM394" s="254" t="str">
        <f t="shared" si="176"/>
        <v/>
      </c>
      <c r="AN394" s="254" t="str">
        <f t="shared" ca="1" si="177"/>
        <v/>
      </c>
      <c r="AO394" s="255" t="str">
        <f t="shared" si="178"/>
        <v/>
      </c>
    </row>
    <row r="395" spans="2:41" x14ac:dyDescent="0.25">
      <c r="B395" s="321"/>
      <c r="C395" s="17"/>
      <c r="E395" s="117"/>
      <c r="F395" s="4" t="str">
        <f t="shared" si="179"/>
        <v/>
      </c>
      <c r="G395" s="4" t="str">
        <f t="shared" si="180"/>
        <v/>
      </c>
      <c r="H395" s="4" t="str">
        <f t="shared" si="181"/>
        <v/>
      </c>
      <c r="I395" s="4" t="str">
        <f t="shared" si="182"/>
        <v/>
      </c>
      <c r="J395" s="247"/>
      <c r="K395" s="117"/>
      <c r="L395" s="4" t="str">
        <f t="shared" si="183"/>
        <v/>
      </c>
      <c r="M395" s="4" t="str">
        <f t="shared" si="184"/>
        <v/>
      </c>
      <c r="N395" s="4" t="str">
        <f t="shared" si="185"/>
        <v/>
      </c>
      <c r="O395" s="4" t="str">
        <f t="shared" si="186"/>
        <v/>
      </c>
      <c r="P395" s="247"/>
      <c r="Q395" s="117"/>
      <c r="R395" s="4" t="str">
        <f t="shared" si="187"/>
        <v/>
      </c>
      <c r="S395" s="4" t="str">
        <f t="shared" si="188"/>
        <v/>
      </c>
      <c r="T395" s="4" t="str">
        <f t="shared" si="189"/>
        <v/>
      </c>
      <c r="U395" s="4" t="str">
        <f t="shared" si="190"/>
        <v/>
      </c>
      <c r="V395" s="247"/>
      <c r="W395" s="67" t="str">
        <f t="shared" si="191"/>
        <v/>
      </c>
      <c r="X395" s="118"/>
      <c r="Z395" s="67" t="str">
        <f t="shared" si="192"/>
        <v/>
      </c>
      <c r="AA395" s="13">
        <f t="shared" si="193"/>
        <v>0</v>
      </c>
      <c r="AB395" s="17">
        <f t="shared" si="194"/>
        <v>0</v>
      </c>
      <c r="AC395" s="163" t="str">
        <f t="shared" si="195"/>
        <v/>
      </c>
      <c r="AD395" s="119"/>
      <c r="AE395" s="21"/>
      <c r="AF395" s="121"/>
      <c r="AG395" s="122"/>
      <c r="AH395" s="83" t="str">
        <f t="shared" si="173"/>
        <v/>
      </c>
      <c r="AI395" s="115"/>
      <c r="AJ395" s="116"/>
      <c r="AK395" s="83" t="str">
        <f t="shared" si="174"/>
        <v/>
      </c>
      <c r="AL395" s="85" t="str">
        <f t="shared" si="175"/>
        <v/>
      </c>
      <c r="AM395" s="254" t="str">
        <f t="shared" si="176"/>
        <v/>
      </c>
      <c r="AN395" s="254" t="str">
        <f t="shared" ca="1" si="177"/>
        <v/>
      </c>
      <c r="AO395" s="255" t="str">
        <f t="shared" si="178"/>
        <v/>
      </c>
    </row>
    <row r="396" spans="2:41" x14ac:dyDescent="0.25">
      <c r="B396" s="321"/>
      <c r="C396" s="17"/>
      <c r="E396" s="117"/>
      <c r="F396" s="4" t="str">
        <f t="shared" si="179"/>
        <v/>
      </c>
      <c r="G396" s="4" t="str">
        <f t="shared" si="180"/>
        <v/>
      </c>
      <c r="H396" s="4" t="str">
        <f t="shared" si="181"/>
        <v/>
      </c>
      <c r="I396" s="4" t="str">
        <f t="shared" si="182"/>
        <v/>
      </c>
      <c r="J396" s="247"/>
      <c r="K396" s="117"/>
      <c r="L396" s="4" t="str">
        <f t="shared" si="183"/>
        <v/>
      </c>
      <c r="M396" s="4" t="str">
        <f t="shared" si="184"/>
        <v/>
      </c>
      <c r="N396" s="4" t="str">
        <f t="shared" si="185"/>
        <v/>
      </c>
      <c r="O396" s="4" t="str">
        <f t="shared" si="186"/>
        <v/>
      </c>
      <c r="P396" s="247"/>
      <c r="Q396" s="117"/>
      <c r="R396" s="4" t="str">
        <f t="shared" si="187"/>
        <v/>
      </c>
      <c r="S396" s="4" t="str">
        <f t="shared" si="188"/>
        <v/>
      </c>
      <c r="T396" s="4" t="str">
        <f t="shared" si="189"/>
        <v/>
      </c>
      <c r="U396" s="4" t="str">
        <f t="shared" si="190"/>
        <v/>
      </c>
      <c r="V396" s="247"/>
      <c r="W396" s="67" t="str">
        <f t="shared" si="191"/>
        <v/>
      </c>
      <c r="X396" s="118"/>
      <c r="Z396" s="67" t="str">
        <f t="shared" si="192"/>
        <v/>
      </c>
      <c r="AA396" s="13">
        <f t="shared" si="193"/>
        <v>0</v>
      </c>
      <c r="AB396" s="17">
        <f t="shared" si="194"/>
        <v>0</v>
      </c>
      <c r="AC396" s="163" t="str">
        <f t="shared" si="195"/>
        <v/>
      </c>
      <c r="AD396" s="119"/>
      <c r="AE396" s="21"/>
      <c r="AF396" s="121"/>
      <c r="AG396" s="122"/>
      <c r="AH396" s="83" t="str">
        <f t="shared" si="173"/>
        <v/>
      </c>
      <c r="AI396" s="115"/>
      <c r="AJ396" s="116"/>
      <c r="AK396" s="83" t="str">
        <f t="shared" si="174"/>
        <v/>
      </c>
      <c r="AL396" s="85" t="str">
        <f t="shared" si="175"/>
        <v/>
      </c>
      <c r="AM396" s="254" t="str">
        <f t="shared" si="176"/>
        <v/>
      </c>
      <c r="AN396" s="254" t="str">
        <f t="shared" ca="1" si="177"/>
        <v/>
      </c>
      <c r="AO396" s="255" t="str">
        <f t="shared" si="178"/>
        <v/>
      </c>
    </row>
    <row r="397" spans="2:41" x14ac:dyDescent="0.25">
      <c r="B397" s="321"/>
      <c r="C397" s="17"/>
      <c r="E397" s="117"/>
      <c r="F397" s="4" t="str">
        <f t="shared" si="179"/>
        <v/>
      </c>
      <c r="G397" s="4" t="str">
        <f t="shared" si="180"/>
        <v/>
      </c>
      <c r="H397" s="4" t="str">
        <f t="shared" si="181"/>
        <v/>
      </c>
      <c r="I397" s="4" t="str">
        <f t="shared" si="182"/>
        <v/>
      </c>
      <c r="J397" s="247"/>
      <c r="K397" s="117"/>
      <c r="L397" s="4" t="str">
        <f t="shared" si="183"/>
        <v/>
      </c>
      <c r="M397" s="4" t="str">
        <f t="shared" si="184"/>
        <v/>
      </c>
      <c r="N397" s="4" t="str">
        <f t="shared" si="185"/>
        <v/>
      </c>
      <c r="O397" s="4" t="str">
        <f t="shared" si="186"/>
        <v/>
      </c>
      <c r="P397" s="247"/>
      <c r="Q397" s="117"/>
      <c r="R397" s="4" t="str">
        <f t="shared" si="187"/>
        <v/>
      </c>
      <c r="S397" s="4" t="str">
        <f t="shared" si="188"/>
        <v/>
      </c>
      <c r="T397" s="4" t="str">
        <f t="shared" si="189"/>
        <v/>
      </c>
      <c r="U397" s="4" t="str">
        <f t="shared" si="190"/>
        <v/>
      </c>
      <c r="V397" s="247"/>
      <c r="W397" s="67" t="str">
        <f t="shared" si="191"/>
        <v/>
      </c>
      <c r="X397" s="118"/>
      <c r="Z397" s="67" t="str">
        <f t="shared" si="192"/>
        <v/>
      </c>
      <c r="AA397" s="13">
        <f t="shared" si="193"/>
        <v>0</v>
      </c>
      <c r="AB397" s="17">
        <f t="shared" si="194"/>
        <v>0</v>
      </c>
      <c r="AC397" s="163" t="str">
        <f t="shared" si="195"/>
        <v/>
      </c>
      <c r="AD397" s="119"/>
      <c r="AE397" s="21"/>
      <c r="AF397" s="121"/>
      <c r="AG397" s="122"/>
      <c r="AH397" s="83" t="str">
        <f t="shared" si="173"/>
        <v/>
      </c>
      <c r="AI397" s="115"/>
      <c r="AJ397" s="116"/>
      <c r="AK397" s="83" t="str">
        <f t="shared" si="174"/>
        <v/>
      </c>
      <c r="AL397" s="85" t="str">
        <f t="shared" si="175"/>
        <v/>
      </c>
      <c r="AM397" s="254" t="str">
        <f t="shared" si="176"/>
        <v/>
      </c>
      <c r="AN397" s="254" t="str">
        <f t="shared" ca="1" si="177"/>
        <v/>
      </c>
      <c r="AO397" s="255" t="str">
        <f t="shared" si="178"/>
        <v/>
      </c>
    </row>
    <row r="398" spans="2:41" x14ac:dyDescent="0.25">
      <c r="B398" s="321"/>
      <c r="C398" s="17"/>
      <c r="E398" s="117"/>
      <c r="F398" s="4" t="str">
        <f t="shared" si="179"/>
        <v/>
      </c>
      <c r="G398" s="4" t="str">
        <f t="shared" si="180"/>
        <v/>
      </c>
      <c r="H398" s="4" t="str">
        <f t="shared" si="181"/>
        <v/>
      </c>
      <c r="I398" s="4" t="str">
        <f t="shared" si="182"/>
        <v/>
      </c>
      <c r="J398" s="247"/>
      <c r="K398" s="117"/>
      <c r="L398" s="4" t="str">
        <f t="shared" si="183"/>
        <v/>
      </c>
      <c r="M398" s="4" t="str">
        <f t="shared" si="184"/>
        <v/>
      </c>
      <c r="N398" s="4" t="str">
        <f t="shared" si="185"/>
        <v/>
      </c>
      <c r="O398" s="4" t="str">
        <f t="shared" si="186"/>
        <v/>
      </c>
      <c r="P398" s="247"/>
      <c r="Q398" s="117"/>
      <c r="R398" s="4" t="str">
        <f t="shared" si="187"/>
        <v/>
      </c>
      <c r="S398" s="4" t="str">
        <f t="shared" si="188"/>
        <v/>
      </c>
      <c r="T398" s="4" t="str">
        <f t="shared" si="189"/>
        <v/>
      </c>
      <c r="U398" s="4" t="str">
        <f t="shared" si="190"/>
        <v/>
      </c>
      <c r="V398" s="247"/>
      <c r="W398" s="67" t="str">
        <f t="shared" si="191"/>
        <v/>
      </c>
      <c r="X398" s="118"/>
      <c r="Z398" s="67" t="str">
        <f t="shared" si="192"/>
        <v/>
      </c>
      <c r="AA398" s="13">
        <f t="shared" si="193"/>
        <v>0</v>
      </c>
      <c r="AB398" s="17">
        <f t="shared" si="194"/>
        <v>0</v>
      </c>
      <c r="AC398" s="163" t="str">
        <f t="shared" si="195"/>
        <v/>
      </c>
      <c r="AD398" s="119"/>
      <c r="AE398" s="21"/>
      <c r="AF398" s="121"/>
      <c r="AG398" s="122"/>
      <c r="AH398" s="83" t="str">
        <f t="shared" si="173"/>
        <v/>
      </c>
      <c r="AI398" s="115"/>
      <c r="AJ398" s="116"/>
      <c r="AK398" s="83" t="str">
        <f t="shared" si="174"/>
        <v/>
      </c>
      <c r="AL398" s="85" t="str">
        <f t="shared" si="175"/>
        <v/>
      </c>
      <c r="AM398" s="254" t="str">
        <f t="shared" si="176"/>
        <v/>
      </c>
      <c r="AN398" s="254" t="str">
        <f t="shared" ca="1" si="177"/>
        <v/>
      </c>
      <c r="AO398" s="255" t="str">
        <f t="shared" si="178"/>
        <v/>
      </c>
    </row>
    <row r="399" spans="2:41" x14ac:dyDescent="0.25">
      <c r="B399" s="321"/>
      <c r="C399" s="17"/>
      <c r="E399" s="117"/>
      <c r="F399" s="4" t="str">
        <f t="shared" si="179"/>
        <v/>
      </c>
      <c r="G399" s="4" t="str">
        <f t="shared" si="180"/>
        <v/>
      </c>
      <c r="H399" s="4" t="str">
        <f t="shared" si="181"/>
        <v/>
      </c>
      <c r="I399" s="4" t="str">
        <f t="shared" si="182"/>
        <v/>
      </c>
      <c r="J399" s="247"/>
      <c r="K399" s="117"/>
      <c r="L399" s="4" t="str">
        <f t="shared" si="183"/>
        <v/>
      </c>
      <c r="M399" s="4" t="str">
        <f t="shared" si="184"/>
        <v/>
      </c>
      <c r="N399" s="4" t="str">
        <f t="shared" si="185"/>
        <v/>
      </c>
      <c r="O399" s="4" t="str">
        <f t="shared" si="186"/>
        <v/>
      </c>
      <c r="P399" s="247"/>
      <c r="Q399" s="117"/>
      <c r="R399" s="4" t="str">
        <f t="shared" si="187"/>
        <v/>
      </c>
      <c r="S399" s="4" t="str">
        <f t="shared" si="188"/>
        <v/>
      </c>
      <c r="T399" s="4" t="str">
        <f t="shared" si="189"/>
        <v/>
      </c>
      <c r="U399" s="4" t="str">
        <f t="shared" si="190"/>
        <v/>
      </c>
      <c r="V399" s="247"/>
      <c r="W399" s="67" t="str">
        <f t="shared" si="191"/>
        <v/>
      </c>
      <c r="X399" s="118"/>
      <c r="Z399" s="67" t="str">
        <f t="shared" si="192"/>
        <v/>
      </c>
      <c r="AA399" s="13">
        <f t="shared" si="193"/>
        <v>0</v>
      </c>
      <c r="AB399" s="17">
        <f t="shared" si="194"/>
        <v>0</v>
      </c>
      <c r="AC399" s="163" t="str">
        <f t="shared" si="195"/>
        <v/>
      </c>
      <c r="AD399" s="119"/>
      <c r="AE399" s="21"/>
      <c r="AF399" s="121"/>
      <c r="AG399" s="122"/>
      <c r="AH399" s="83" t="str">
        <f t="shared" si="173"/>
        <v/>
      </c>
      <c r="AI399" s="115"/>
      <c r="AJ399" s="116"/>
      <c r="AK399" s="83" t="str">
        <f t="shared" si="174"/>
        <v/>
      </c>
      <c r="AL399" s="85" t="str">
        <f t="shared" si="175"/>
        <v/>
      </c>
      <c r="AM399" s="254" t="str">
        <f t="shared" si="176"/>
        <v/>
      </c>
      <c r="AN399" s="254" t="str">
        <f t="shared" ca="1" si="177"/>
        <v/>
      </c>
      <c r="AO399" s="255" t="str">
        <f t="shared" si="178"/>
        <v/>
      </c>
    </row>
    <row r="400" spans="2:41" x14ac:dyDescent="0.25">
      <c r="B400" s="321"/>
      <c r="C400" s="17"/>
      <c r="E400" s="117"/>
      <c r="F400" s="4" t="str">
        <f t="shared" si="179"/>
        <v/>
      </c>
      <c r="G400" s="4" t="str">
        <f t="shared" si="180"/>
        <v/>
      </c>
      <c r="H400" s="4" t="str">
        <f t="shared" si="181"/>
        <v/>
      </c>
      <c r="I400" s="4" t="str">
        <f t="shared" si="182"/>
        <v/>
      </c>
      <c r="J400" s="247"/>
      <c r="K400" s="117"/>
      <c r="L400" s="4" t="str">
        <f t="shared" si="183"/>
        <v/>
      </c>
      <c r="M400" s="4" t="str">
        <f t="shared" si="184"/>
        <v/>
      </c>
      <c r="N400" s="4" t="str">
        <f t="shared" si="185"/>
        <v/>
      </c>
      <c r="O400" s="4" t="str">
        <f t="shared" si="186"/>
        <v/>
      </c>
      <c r="P400" s="247"/>
      <c r="Q400" s="117"/>
      <c r="R400" s="4" t="str">
        <f t="shared" si="187"/>
        <v/>
      </c>
      <c r="S400" s="4" t="str">
        <f t="shared" si="188"/>
        <v/>
      </c>
      <c r="T400" s="4" t="str">
        <f t="shared" si="189"/>
        <v/>
      </c>
      <c r="U400" s="4" t="str">
        <f t="shared" si="190"/>
        <v/>
      </c>
      <c r="V400" s="247"/>
      <c r="W400" s="67" t="str">
        <f t="shared" si="191"/>
        <v/>
      </c>
      <c r="X400" s="118"/>
      <c r="Z400" s="67" t="str">
        <f t="shared" si="192"/>
        <v/>
      </c>
      <c r="AA400" s="13">
        <f t="shared" si="193"/>
        <v>0</v>
      </c>
      <c r="AB400" s="17">
        <f t="shared" si="194"/>
        <v>0</v>
      </c>
      <c r="AC400" s="163" t="str">
        <f t="shared" si="195"/>
        <v/>
      </c>
      <c r="AD400" s="119"/>
      <c r="AE400" s="21"/>
      <c r="AF400" s="121"/>
      <c r="AG400" s="122"/>
      <c r="AH400" s="83" t="str">
        <f t="shared" si="173"/>
        <v/>
      </c>
      <c r="AI400" s="115"/>
      <c r="AJ400" s="116"/>
      <c r="AK400" s="83" t="str">
        <f t="shared" si="174"/>
        <v/>
      </c>
      <c r="AL400" s="85" t="str">
        <f t="shared" si="175"/>
        <v/>
      </c>
      <c r="AM400" s="254" t="str">
        <f t="shared" si="176"/>
        <v/>
      </c>
      <c r="AN400" s="254" t="str">
        <f t="shared" ca="1" si="177"/>
        <v/>
      </c>
      <c r="AO400" s="255" t="str">
        <f t="shared" si="178"/>
        <v/>
      </c>
    </row>
    <row r="401" spans="2:41" x14ac:dyDescent="0.25">
      <c r="B401" s="321"/>
      <c r="C401" s="17"/>
      <c r="E401" s="117"/>
      <c r="F401" s="4" t="str">
        <f t="shared" si="179"/>
        <v/>
      </c>
      <c r="G401" s="4" t="str">
        <f t="shared" si="180"/>
        <v/>
      </c>
      <c r="H401" s="4" t="str">
        <f t="shared" si="181"/>
        <v/>
      </c>
      <c r="I401" s="4" t="str">
        <f t="shared" si="182"/>
        <v/>
      </c>
      <c r="J401" s="247"/>
      <c r="K401" s="117"/>
      <c r="L401" s="4" t="str">
        <f t="shared" si="183"/>
        <v/>
      </c>
      <c r="M401" s="4" t="str">
        <f t="shared" si="184"/>
        <v/>
      </c>
      <c r="N401" s="4" t="str">
        <f t="shared" si="185"/>
        <v/>
      </c>
      <c r="O401" s="4" t="str">
        <f t="shared" si="186"/>
        <v/>
      </c>
      <c r="P401" s="247"/>
      <c r="Q401" s="117"/>
      <c r="R401" s="4" t="str">
        <f t="shared" si="187"/>
        <v/>
      </c>
      <c r="S401" s="4" t="str">
        <f t="shared" si="188"/>
        <v/>
      </c>
      <c r="T401" s="4" t="str">
        <f t="shared" si="189"/>
        <v/>
      </c>
      <c r="U401" s="4" t="str">
        <f t="shared" si="190"/>
        <v/>
      </c>
      <c r="V401" s="247"/>
      <c r="W401" s="67" t="str">
        <f t="shared" si="191"/>
        <v/>
      </c>
      <c r="X401" s="118"/>
      <c r="Z401" s="67" t="str">
        <f t="shared" si="192"/>
        <v/>
      </c>
      <c r="AA401" s="13">
        <f t="shared" si="193"/>
        <v>0</v>
      </c>
      <c r="AB401" s="17">
        <f t="shared" si="194"/>
        <v>0</v>
      </c>
      <c r="AC401" s="163" t="str">
        <f t="shared" si="195"/>
        <v/>
      </c>
      <c r="AD401" s="119"/>
      <c r="AE401" s="21"/>
      <c r="AF401" s="121"/>
      <c r="AG401" s="122"/>
      <c r="AH401" s="83" t="str">
        <f t="shared" si="173"/>
        <v/>
      </c>
      <c r="AI401" s="115"/>
      <c r="AJ401" s="116"/>
      <c r="AK401" s="83" t="str">
        <f t="shared" si="174"/>
        <v/>
      </c>
      <c r="AL401" s="85" t="str">
        <f t="shared" si="175"/>
        <v/>
      </c>
      <c r="AM401" s="254" t="str">
        <f t="shared" si="176"/>
        <v/>
      </c>
      <c r="AN401" s="254" t="str">
        <f t="shared" ca="1" si="177"/>
        <v/>
      </c>
      <c r="AO401" s="255" t="str">
        <f t="shared" si="178"/>
        <v/>
      </c>
    </row>
    <row r="402" spans="2:41" x14ac:dyDescent="0.25">
      <c r="B402" s="321"/>
      <c r="C402" s="17"/>
      <c r="E402" s="117"/>
      <c r="F402" s="4" t="str">
        <f t="shared" si="179"/>
        <v/>
      </c>
      <c r="G402" s="4" t="str">
        <f t="shared" si="180"/>
        <v/>
      </c>
      <c r="H402" s="4" t="str">
        <f t="shared" si="181"/>
        <v/>
      </c>
      <c r="I402" s="4" t="str">
        <f t="shared" si="182"/>
        <v/>
      </c>
      <c r="J402" s="247"/>
      <c r="K402" s="117"/>
      <c r="L402" s="4" t="str">
        <f t="shared" si="183"/>
        <v/>
      </c>
      <c r="M402" s="4" t="str">
        <f t="shared" si="184"/>
        <v/>
      </c>
      <c r="N402" s="4" t="str">
        <f t="shared" si="185"/>
        <v/>
      </c>
      <c r="O402" s="4" t="str">
        <f t="shared" si="186"/>
        <v/>
      </c>
      <c r="P402" s="247"/>
      <c r="Q402" s="117"/>
      <c r="R402" s="4" t="str">
        <f t="shared" si="187"/>
        <v/>
      </c>
      <c r="S402" s="4" t="str">
        <f t="shared" si="188"/>
        <v/>
      </c>
      <c r="T402" s="4" t="str">
        <f t="shared" si="189"/>
        <v/>
      </c>
      <c r="U402" s="4" t="str">
        <f t="shared" si="190"/>
        <v/>
      </c>
      <c r="V402" s="247"/>
      <c r="W402" s="67" t="str">
        <f t="shared" si="191"/>
        <v/>
      </c>
      <c r="X402" s="118"/>
      <c r="Z402" s="67" t="str">
        <f t="shared" si="192"/>
        <v/>
      </c>
      <c r="AA402" s="13">
        <f t="shared" si="193"/>
        <v>0</v>
      </c>
      <c r="AB402" s="17">
        <f t="shared" si="194"/>
        <v>0</v>
      </c>
      <c r="AC402" s="163" t="str">
        <f t="shared" si="195"/>
        <v/>
      </c>
      <c r="AD402" s="119"/>
      <c r="AE402" s="21"/>
      <c r="AF402" s="121"/>
      <c r="AG402" s="122"/>
      <c r="AH402" s="83" t="str">
        <f t="shared" si="173"/>
        <v/>
      </c>
      <c r="AI402" s="115"/>
      <c r="AJ402" s="116"/>
      <c r="AK402" s="83" t="str">
        <f t="shared" si="174"/>
        <v/>
      </c>
      <c r="AL402" s="85" t="str">
        <f t="shared" si="175"/>
        <v/>
      </c>
      <c r="AM402" s="254" t="str">
        <f t="shared" si="176"/>
        <v/>
      </c>
      <c r="AN402" s="254" t="str">
        <f t="shared" ca="1" si="177"/>
        <v/>
      </c>
      <c r="AO402" s="255" t="str">
        <f t="shared" si="178"/>
        <v/>
      </c>
    </row>
    <row r="403" spans="2:41" x14ac:dyDescent="0.25">
      <c r="B403" s="321"/>
      <c r="C403" s="17"/>
      <c r="E403" s="117"/>
      <c r="F403" s="4" t="str">
        <f t="shared" si="179"/>
        <v/>
      </c>
      <c r="G403" s="4" t="str">
        <f t="shared" si="180"/>
        <v/>
      </c>
      <c r="H403" s="4" t="str">
        <f t="shared" si="181"/>
        <v/>
      </c>
      <c r="I403" s="4" t="str">
        <f t="shared" si="182"/>
        <v/>
      </c>
      <c r="J403" s="247"/>
      <c r="K403" s="117"/>
      <c r="L403" s="4" t="str">
        <f t="shared" si="183"/>
        <v/>
      </c>
      <c r="M403" s="4" t="str">
        <f t="shared" si="184"/>
        <v/>
      </c>
      <c r="N403" s="4" t="str">
        <f t="shared" si="185"/>
        <v/>
      </c>
      <c r="O403" s="4" t="str">
        <f t="shared" si="186"/>
        <v/>
      </c>
      <c r="P403" s="247"/>
      <c r="Q403" s="117"/>
      <c r="R403" s="4" t="str">
        <f t="shared" si="187"/>
        <v/>
      </c>
      <c r="S403" s="4" t="str">
        <f t="shared" si="188"/>
        <v/>
      </c>
      <c r="T403" s="4" t="str">
        <f t="shared" si="189"/>
        <v/>
      </c>
      <c r="U403" s="4" t="str">
        <f t="shared" si="190"/>
        <v/>
      </c>
      <c r="V403" s="247"/>
      <c r="W403" s="67" t="str">
        <f t="shared" si="191"/>
        <v/>
      </c>
      <c r="X403" s="118"/>
      <c r="Z403" s="67" t="str">
        <f t="shared" si="192"/>
        <v/>
      </c>
      <c r="AA403" s="13">
        <f t="shared" si="193"/>
        <v>0</v>
      </c>
      <c r="AB403" s="17">
        <f t="shared" si="194"/>
        <v>0</v>
      </c>
      <c r="AC403" s="163" t="str">
        <f t="shared" si="195"/>
        <v/>
      </c>
      <c r="AD403" s="119"/>
      <c r="AE403" s="21"/>
      <c r="AF403" s="121"/>
      <c r="AG403" s="122"/>
      <c r="AH403" s="83" t="str">
        <f t="shared" si="173"/>
        <v/>
      </c>
      <c r="AI403" s="115"/>
      <c r="AJ403" s="116"/>
      <c r="AK403" s="83" t="str">
        <f t="shared" si="174"/>
        <v/>
      </c>
      <c r="AL403" s="85" t="str">
        <f t="shared" si="175"/>
        <v/>
      </c>
      <c r="AM403" s="254" t="str">
        <f t="shared" si="176"/>
        <v/>
      </c>
      <c r="AN403" s="254" t="str">
        <f t="shared" ca="1" si="177"/>
        <v/>
      </c>
      <c r="AO403" s="255" t="str">
        <f t="shared" si="178"/>
        <v/>
      </c>
    </row>
    <row r="404" spans="2:41" x14ac:dyDescent="0.25">
      <c r="B404" s="321"/>
      <c r="C404" s="17"/>
      <c r="E404" s="117"/>
      <c r="F404" s="4" t="str">
        <f t="shared" si="179"/>
        <v/>
      </c>
      <c r="G404" s="4" t="str">
        <f t="shared" si="180"/>
        <v/>
      </c>
      <c r="H404" s="4" t="str">
        <f t="shared" si="181"/>
        <v/>
      </c>
      <c r="I404" s="4" t="str">
        <f t="shared" si="182"/>
        <v/>
      </c>
      <c r="J404" s="247"/>
      <c r="K404" s="117"/>
      <c r="L404" s="4" t="str">
        <f t="shared" si="183"/>
        <v/>
      </c>
      <c r="M404" s="4" t="str">
        <f t="shared" si="184"/>
        <v/>
      </c>
      <c r="N404" s="4" t="str">
        <f t="shared" si="185"/>
        <v/>
      </c>
      <c r="O404" s="4" t="str">
        <f t="shared" si="186"/>
        <v/>
      </c>
      <c r="P404" s="247"/>
      <c r="Q404" s="117"/>
      <c r="R404" s="4" t="str">
        <f t="shared" si="187"/>
        <v/>
      </c>
      <c r="S404" s="4" t="str">
        <f t="shared" si="188"/>
        <v/>
      </c>
      <c r="T404" s="4" t="str">
        <f t="shared" si="189"/>
        <v/>
      </c>
      <c r="U404" s="4" t="str">
        <f t="shared" si="190"/>
        <v/>
      </c>
      <c r="V404" s="247"/>
      <c r="W404" s="67" t="str">
        <f t="shared" si="191"/>
        <v/>
      </c>
      <c r="X404" s="118"/>
      <c r="Z404" s="67" t="str">
        <f t="shared" si="192"/>
        <v/>
      </c>
      <c r="AA404" s="13">
        <f t="shared" si="193"/>
        <v>0</v>
      </c>
      <c r="AB404" s="17">
        <f t="shared" si="194"/>
        <v>0</v>
      </c>
      <c r="AC404" s="163" t="str">
        <f t="shared" si="195"/>
        <v/>
      </c>
      <c r="AD404" s="119"/>
      <c r="AE404" s="21"/>
      <c r="AF404" s="121"/>
      <c r="AG404" s="122"/>
      <c r="AH404" s="83" t="str">
        <f t="shared" si="173"/>
        <v/>
      </c>
      <c r="AI404" s="115"/>
      <c r="AJ404" s="116"/>
      <c r="AK404" s="83" t="str">
        <f t="shared" si="174"/>
        <v/>
      </c>
      <c r="AL404" s="85" t="str">
        <f t="shared" si="175"/>
        <v/>
      </c>
      <c r="AM404" s="254" t="str">
        <f t="shared" si="176"/>
        <v/>
      </c>
      <c r="AN404" s="254" t="str">
        <f t="shared" ca="1" si="177"/>
        <v/>
      </c>
      <c r="AO404" s="255" t="str">
        <f t="shared" si="178"/>
        <v/>
      </c>
    </row>
    <row r="405" spans="2:41" x14ac:dyDescent="0.25">
      <c r="B405" s="321"/>
      <c r="C405" s="17"/>
      <c r="E405" s="117"/>
      <c r="F405" s="4" t="str">
        <f t="shared" si="179"/>
        <v/>
      </c>
      <c r="G405" s="4" t="str">
        <f t="shared" si="180"/>
        <v/>
      </c>
      <c r="H405" s="4" t="str">
        <f t="shared" si="181"/>
        <v/>
      </c>
      <c r="I405" s="4" t="str">
        <f t="shared" si="182"/>
        <v/>
      </c>
      <c r="J405" s="247"/>
      <c r="K405" s="117"/>
      <c r="L405" s="4" t="str">
        <f t="shared" si="183"/>
        <v/>
      </c>
      <c r="M405" s="4" t="str">
        <f t="shared" si="184"/>
        <v/>
      </c>
      <c r="N405" s="4" t="str">
        <f t="shared" si="185"/>
        <v/>
      </c>
      <c r="O405" s="4" t="str">
        <f t="shared" si="186"/>
        <v/>
      </c>
      <c r="P405" s="247"/>
      <c r="Q405" s="117"/>
      <c r="R405" s="4" t="str">
        <f t="shared" si="187"/>
        <v/>
      </c>
      <c r="S405" s="4" t="str">
        <f t="shared" si="188"/>
        <v/>
      </c>
      <c r="T405" s="4" t="str">
        <f t="shared" si="189"/>
        <v/>
      </c>
      <c r="U405" s="4" t="str">
        <f t="shared" si="190"/>
        <v/>
      </c>
      <c r="V405" s="247"/>
      <c r="W405" s="67" t="str">
        <f t="shared" si="191"/>
        <v/>
      </c>
      <c r="X405" s="118"/>
      <c r="Z405" s="67" t="str">
        <f t="shared" si="192"/>
        <v/>
      </c>
      <c r="AA405" s="13">
        <f t="shared" si="193"/>
        <v>0</v>
      </c>
      <c r="AB405" s="17">
        <f t="shared" si="194"/>
        <v>0</v>
      </c>
      <c r="AC405" s="163" t="str">
        <f t="shared" si="195"/>
        <v/>
      </c>
      <c r="AD405" s="119"/>
      <c r="AE405" s="21"/>
      <c r="AF405" s="121"/>
      <c r="AG405" s="122"/>
      <c r="AH405" s="83" t="str">
        <f t="shared" si="173"/>
        <v/>
      </c>
      <c r="AI405" s="115"/>
      <c r="AJ405" s="116"/>
      <c r="AK405" s="83" t="str">
        <f t="shared" si="174"/>
        <v/>
      </c>
      <c r="AL405" s="85" t="str">
        <f t="shared" si="175"/>
        <v/>
      </c>
      <c r="AM405" s="254" t="str">
        <f t="shared" si="176"/>
        <v/>
      </c>
      <c r="AN405" s="254" t="str">
        <f t="shared" ca="1" si="177"/>
        <v/>
      </c>
      <c r="AO405" s="255" t="str">
        <f t="shared" si="178"/>
        <v/>
      </c>
    </row>
    <row r="406" spans="2:41" x14ac:dyDescent="0.25">
      <c r="B406" s="321"/>
      <c r="C406" s="17"/>
      <c r="E406" s="117"/>
      <c r="F406" s="4" t="str">
        <f t="shared" si="179"/>
        <v/>
      </c>
      <c r="G406" s="4" t="str">
        <f t="shared" si="180"/>
        <v/>
      </c>
      <c r="H406" s="4" t="str">
        <f t="shared" si="181"/>
        <v/>
      </c>
      <c r="I406" s="4" t="str">
        <f t="shared" si="182"/>
        <v/>
      </c>
      <c r="J406" s="247"/>
      <c r="K406" s="117"/>
      <c r="L406" s="4" t="str">
        <f t="shared" si="183"/>
        <v/>
      </c>
      <c r="M406" s="4" t="str">
        <f t="shared" si="184"/>
        <v/>
      </c>
      <c r="N406" s="4" t="str">
        <f t="shared" si="185"/>
        <v/>
      </c>
      <c r="O406" s="4" t="str">
        <f t="shared" si="186"/>
        <v/>
      </c>
      <c r="P406" s="247"/>
      <c r="Q406" s="117"/>
      <c r="R406" s="4" t="str">
        <f t="shared" si="187"/>
        <v/>
      </c>
      <c r="S406" s="4" t="str">
        <f t="shared" si="188"/>
        <v/>
      </c>
      <c r="T406" s="4" t="str">
        <f t="shared" si="189"/>
        <v/>
      </c>
      <c r="U406" s="4" t="str">
        <f t="shared" si="190"/>
        <v/>
      </c>
      <c r="V406" s="247"/>
      <c r="W406" s="67" t="str">
        <f t="shared" si="191"/>
        <v/>
      </c>
      <c r="X406" s="118"/>
      <c r="Z406" s="67" t="str">
        <f t="shared" si="192"/>
        <v/>
      </c>
      <c r="AA406" s="13">
        <f t="shared" si="193"/>
        <v>0</v>
      </c>
      <c r="AB406" s="17">
        <f t="shared" si="194"/>
        <v>0</v>
      </c>
      <c r="AC406" s="163" t="str">
        <f t="shared" si="195"/>
        <v/>
      </c>
      <c r="AD406" s="119"/>
      <c r="AE406" s="21"/>
      <c r="AF406" s="121"/>
      <c r="AG406" s="122"/>
      <c r="AH406" s="83" t="str">
        <f t="shared" si="173"/>
        <v/>
      </c>
      <c r="AI406" s="115"/>
      <c r="AJ406" s="116"/>
      <c r="AK406" s="83" t="str">
        <f t="shared" si="174"/>
        <v/>
      </c>
      <c r="AL406" s="85" t="str">
        <f t="shared" si="175"/>
        <v/>
      </c>
      <c r="AM406" s="254" t="str">
        <f t="shared" si="176"/>
        <v/>
      </c>
      <c r="AN406" s="254" t="str">
        <f t="shared" ca="1" si="177"/>
        <v/>
      </c>
      <c r="AO406" s="255" t="str">
        <f t="shared" si="178"/>
        <v/>
      </c>
    </row>
    <row r="407" spans="2:41" x14ac:dyDescent="0.25">
      <c r="B407" s="321"/>
      <c r="C407" s="17"/>
      <c r="E407" s="117"/>
      <c r="F407" s="4" t="str">
        <f t="shared" si="179"/>
        <v/>
      </c>
      <c r="G407" s="4" t="str">
        <f t="shared" si="180"/>
        <v/>
      </c>
      <c r="H407" s="4" t="str">
        <f t="shared" si="181"/>
        <v/>
      </c>
      <c r="I407" s="4" t="str">
        <f t="shared" si="182"/>
        <v/>
      </c>
      <c r="J407" s="247"/>
      <c r="K407" s="117"/>
      <c r="L407" s="4" t="str">
        <f t="shared" si="183"/>
        <v/>
      </c>
      <c r="M407" s="4" t="str">
        <f t="shared" si="184"/>
        <v/>
      </c>
      <c r="N407" s="4" t="str">
        <f t="shared" si="185"/>
        <v/>
      </c>
      <c r="O407" s="4" t="str">
        <f t="shared" si="186"/>
        <v/>
      </c>
      <c r="P407" s="247"/>
      <c r="Q407" s="117"/>
      <c r="R407" s="4" t="str">
        <f t="shared" si="187"/>
        <v/>
      </c>
      <c r="S407" s="4" t="str">
        <f t="shared" si="188"/>
        <v/>
      </c>
      <c r="T407" s="4" t="str">
        <f t="shared" si="189"/>
        <v/>
      </c>
      <c r="U407" s="4" t="str">
        <f t="shared" si="190"/>
        <v/>
      </c>
      <c r="V407" s="247"/>
      <c r="W407" s="67" t="str">
        <f t="shared" si="191"/>
        <v/>
      </c>
      <c r="X407" s="118"/>
      <c r="Z407" s="67" t="str">
        <f t="shared" si="192"/>
        <v/>
      </c>
      <c r="AA407" s="13">
        <f t="shared" si="193"/>
        <v>0</v>
      </c>
      <c r="AB407" s="17">
        <f t="shared" si="194"/>
        <v>0</v>
      </c>
      <c r="AC407" s="163" t="str">
        <f t="shared" si="195"/>
        <v/>
      </c>
      <c r="AD407" s="119"/>
      <c r="AE407" s="21"/>
      <c r="AF407" s="121"/>
      <c r="AG407" s="122"/>
      <c r="AH407" s="83" t="str">
        <f t="shared" ref="AH407:AH429" si="196">IF(AG407&lt;&gt;0,((AF407+AG407)-(AD407+AE407)),"")</f>
        <v/>
      </c>
      <c r="AI407" s="115"/>
      <c r="AJ407" s="116"/>
      <c r="AK407" s="83" t="str">
        <f t="shared" ref="AK407:AK429" si="197">IF(AJ407&lt;&gt;0,((AI407+AJ407)-(AF407+AG407)),"")</f>
        <v/>
      </c>
      <c r="AL407" s="85" t="str">
        <f t="shared" ref="AL407:AL429" si="198">IFERROR((AH407+AK407),"")</f>
        <v/>
      </c>
      <c r="AM407" s="254" t="str">
        <f t="shared" ref="AM407:AM429" si="199">IF(AK407="","",AI407+AJ407)</f>
        <v/>
      </c>
      <c r="AN407" s="254" t="str">
        <f t="shared" ref="AN407:AN429" ca="1" si="200">IF(AK407="","",NOW())</f>
        <v/>
      </c>
      <c r="AO407" s="255" t="str">
        <f t="shared" ref="AO407:AO429" si="201">IF(AK407="","",AN407-AM407)</f>
        <v/>
      </c>
    </row>
    <row r="408" spans="2:41" x14ac:dyDescent="0.25">
      <c r="B408" s="321"/>
      <c r="C408" s="17"/>
      <c r="E408" s="117"/>
      <c r="F408" s="4" t="str">
        <f t="shared" si="179"/>
        <v/>
      </c>
      <c r="G408" s="4" t="str">
        <f t="shared" si="180"/>
        <v/>
      </c>
      <c r="H408" s="4" t="str">
        <f t="shared" si="181"/>
        <v/>
      </c>
      <c r="I408" s="4" t="str">
        <f t="shared" si="182"/>
        <v/>
      </c>
      <c r="J408" s="247"/>
      <c r="K408" s="117"/>
      <c r="L408" s="4" t="str">
        <f t="shared" si="183"/>
        <v/>
      </c>
      <c r="M408" s="4" t="str">
        <f t="shared" si="184"/>
        <v/>
      </c>
      <c r="N408" s="4" t="str">
        <f t="shared" si="185"/>
        <v/>
      </c>
      <c r="O408" s="4" t="str">
        <f t="shared" si="186"/>
        <v/>
      </c>
      <c r="P408" s="247"/>
      <c r="Q408" s="117"/>
      <c r="R408" s="4" t="str">
        <f t="shared" si="187"/>
        <v/>
      </c>
      <c r="S408" s="4" t="str">
        <f t="shared" si="188"/>
        <v/>
      </c>
      <c r="T408" s="4" t="str">
        <f t="shared" si="189"/>
        <v/>
      </c>
      <c r="U408" s="4" t="str">
        <f t="shared" si="190"/>
        <v/>
      </c>
      <c r="V408" s="247"/>
      <c r="W408" s="67" t="str">
        <f t="shared" si="191"/>
        <v/>
      </c>
      <c r="X408" s="118"/>
      <c r="Z408" s="67" t="str">
        <f t="shared" si="192"/>
        <v/>
      </c>
      <c r="AA408" s="13">
        <f t="shared" si="193"/>
        <v>0</v>
      </c>
      <c r="AB408" s="17">
        <f t="shared" si="194"/>
        <v>0</v>
      </c>
      <c r="AC408" s="163" t="str">
        <f t="shared" si="195"/>
        <v/>
      </c>
      <c r="AD408" s="119"/>
      <c r="AE408" s="21"/>
      <c r="AF408" s="121"/>
      <c r="AG408" s="122"/>
      <c r="AH408" s="83" t="str">
        <f t="shared" si="196"/>
        <v/>
      </c>
      <c r="AI408" s="115"/>
      <c r="AJ408" s="116"/>
      <c r="AK408" s="83" t="str">
        <f t="shared" si="197"/>
        <v/>
      </c>
      <c r="AL408" s="85" t="str">
        <f t="shared" si="198"/>
        <v/>
      </c>
      <c r="AM408" s="254" t="str">
        <f t="shared" si="199"/>
        <v/>
      </c>
      <c r="AN408" s="254" t="str">
        <f t="shared" ca="1" si="200"/>
        <v/>
      </c>
      <c r="AO408" s="255" t="str">
        <f t="shared" si="201"/>
        <v/>
      </c>
    </row>
    <row r="409" spans="2:41" x14ac:dyDescent="0.25">
      <c r="B409" s="321"/>
      <c r="C409" s="17"/>
      <c r="E409" s="117"/>
      <c r="F409" s="4" t="str">
        <f t="shared" si="179"/>
        <v/>
      </c>
      <c r="G409" s="4" t="str">
        <f t="shared" si="180"/>
        <v/>
      </c>
      <c r="H409" s="4" t="str">
        <f t="shared" si="181"/>
        <v/>
      </c>
      <c r="I409" s="4" t="str">
        <f t="shared" si="182"/>
        <v/>
      </c>
      <c r="J409" s="247"/>
      <c r="K409" s="117"/>
      <c r="L409" s="4" t="str">
        <f t="shared" si="183"/>
        <v/>
      </c>
      <c r="M409" s="4" t="str">
        <f t="shared" si="184"/>
        <v/>
      </c>
      <c r="N409" s="4" t="str">
        <f t="shared" si="185"/>
        <v/>
      </c>
      <c r="O409" s="4" t="str">
        <f t="shared" si="186"/>
        <v/>
      </c>
      <c r="P409" s="247"/>
      <c r="Q409" s="117"/>
      <c r="R409" s="4" t="str">
        <f t="shared" si="187"/>
        <v/>
      </c>
      <c r="S409" s="4" t="str">
        <f t="shared" si="188"/>
        <v/>
      </c>
      <c r="T409" s="4" t="str">
        <f t="shared" si="189"/>
        <v/>
      </c>
      <c r="U409" s="4" t="str">
        <f t="shared" si="190"/>
        <v/>
      </c>
      <c r="V409" s="247"/>
      <c r="W409" s="67" t="str">
        <f t="shared" si="191"/>
        <v/>
      </c>
      <c r="X409" s="118"/>
      <c r="Z409" s="67" t="str">
        <f t="shared" si="192"/>
        <v/>
      </c>
      <c r="AA409" s="13">
        <f t="shared" si="193"/>
        <v>0</v>
      </c>
      <c r="AB409" s="17">
        <f t="shared" si="194"/>
        <v>0</v>
      </c>
      <c r="AC409" s="163" t="str">
        <f t="shared" si="195"/>
        <v/>
      </c>
      <c r="AD409" s="119"/>
      <c r="AE409" s="21"/>
      <c r="AF409" s="121"/>
      <c r="AG409" s="122"/>
      <c r="AH409" s="83" t="str">
        <f t="shared" si="196"/>
        <v/>
      </c>
      <c r="AI409" s="115"/>
      <c r="AJ409" s="116"/>
      <c r="AK409" s="83" t="str">
        <f t="shared" si="197"/>
        <v/>
      </c>
      <c r="AL409" s="85" t="str">
        <f t="shared" si="198"/>
        <v/>
      </c>
      <c r="AM409" s="254" t="str">
        <f t="shared" si="199"/>
        <v/>
      </c>
      <c r="AN409" s="254" t="str">
        <f t="shared" ca="1" si="200"/>
        <v/>
      </c>
      <c r="AO409" s="255" t="str">
        <f t="shared" si="201"/>
        <v/>
      </c>
    </row>
    <row r="410" spans="2:41" x14ac:dyDescent="0.25">
      <c r="B410" s="321"/>
      <c r="C410" s="17"/>
      <c r="E410" s="117"/>
      <c r="F410" s="4" t="str">
        <f t="shared" si="179"/>
        <v/>
      </c>
      <c r="G410" s="4" t="str">
        <f t="shared" si="180"/>
        <v/>
      </c>
      <c r="H410" s="4" t="str">
        <f t="shared" si="181"/>
        <v/>
      </c>
      <c r="I410" s="4" t="str">
        <f t="shared" si="182"/>
        <v/>
      </c>
      <c r="J410" s="247"/>
      <c r="K410" s="117"/>
      <c r="L410" s="4" t="str">
        <f t="shared" si="183"/>
        <v/>
      </c>
      <c r="M410" s="4" t="str">
        <f t="shared" si="184"/>
        <v/>
      </c>
      <c r="N410" s="4" t="str">
        <f t="shared" si="185"/>
        <v/>
      </c>
      <c r="O410" s="4" t="str">
        <f t="shared" si="186"/>
        <v/>
      </c>
      <c r="P410" s="247"/>
      <c r="Q410" s="117"/>
      <c r="R410" s="4" t="str">
        <f t="shared" si="187"/>
        <v/>
      </c>
      <c r="S410" s="4" t="str">
        <f t="shared" si="188"/>
        <v/>
      </c>
      <c r="T410" s="4" t="str">
        <f t="shared" si="189"/>
        <v/>
      </c>
      <c r="U410" s="4" t="str">
        <f t="shared" si="190"/>
        <v/>
      </c>
      <c r="V410" s="247"/>
      <c r="W410" s="67" t="str">
        <f t="shared" si="191"/>
        <v/>
      </c>
      <c r="X410" s="118"/>
      <c r="Z410" s="67" t="str">
        <f t="shared" si="192"/>
        <v/>
      </c>
      <c r="AA410" s="13">
        <f t="shared" si="193"/>
        <v>0</v>
      </c>
      <c r="AB410" s="17">
        <f t="shared" si="194"/>
        <v>0</v>
      </c>
      <c r="AC410" s="163" t="str">
        <f t="shared" si="195"/>
        <v/>
      </c>
      <c r="AD410" s="119"/>
      <c r="AE410" s="21"/>
      <c r="AF410" s="121"/>
      <c r="AG410" s="122"/>
      <c r="AH410" s="83" t="str">
        <f t="shared" si="196"/>
        <v/>
      </c>
      <c r="AI410" s="115"/>
      <c r="AJ410" s="116"/>
      <c r="AK410" s="83" t="str">
        <f t="shared" si="197"/>
        <v/>
      </c>
      <c r="AL410" s="85" t="str">
        <f t="shared" si="198"/>
        <v/>
      </c>
      <c r="AM410" s="254" t="str">
        <f t="shared" si="199"/>
        <v/>
      </c>
      <c r="AN410" s="254" t="str">
        <f t="shared" ca="1" si="200"/>
        <v/>
      </c>
      <c r="AO410" s="255" t="str">
        <f t="shared" si="201"/>
        <v/>
      </c>
    </row>
    <row r="411" spans="2:41" x14ac:dyDescent="0.25">
      <c r="B411" s="321"/>
      <c r="C411" s="17"/>
      <c r="E411" s="117"/>
      <c r="F411" s="4" t="str">
        <f t="shared" si="179"/>
        <v/>
      </c>
      <c r="G411" s="4" t="str">
        <f t="shared" si="180"/>
        <v/>
      </c>
      <c r="H411" s="4" t="str">
        <f t="shared" si="181"/>
        <v/>
      </c>
      <c r="I411" s="4" t="str">
        <f t="shared" si="182"/>
        <v/>
      </c>
      <c r="J411" s="247"/>
      <c r="K411" s="117"/>
      <c r="L411" s="4" t="str">
        <f t="shared" si="183"/>
        <v/>
      </c>
      <c r="M411" s="4" t="str">
        <f t="shared" si="184"/>
        <v/>
      </c>
      <c r="N411" s="4" t="str">
        <f t="shared" si="185"/>
        <v/>
      </c>
      <c r="O411" s="4" t="str">
        <f t="shared" si="186"/>
        <v/>
      </c>
      <c r="P411" s="247"/>
      <c r="Q411" s="117"/>
      <c r="R411" s="4" t="str">
        <f t="shared" si="187"/>
        <v/>
      </c>
      <c r="S411" s="4" t="str">
        <f t="shared" si="188"/>
        <v/>
      </c>
      <c r="T411" s="4" t="str">
        <f t="shared" si="189"/>
        <v/>
      </c>
      <c r="U411" s="4" t="str">
        <f t="shared" si="190"/>
        <v/>
      </c>
      <c r="V411" s="247"/>
      <c r="W411" s="67" t="str">
        <f t="shared" si="191"/>
        <v/>
      </c>
      <c r="X411" s="118"/>
      <c r="Z411" s="67" t="str">
        <f t="shared" si="192"/>
        <v/>
      </c>
      <c r="AA411" s="13">
        <f t="shared" si="193"/>
        <v>0</v>
      </c>
      <c r="AB411" s="17">
        <f t="shared" si="194"/>
        <v>0</v>
      </c>
      <c r="AC411" s="163" t="str">
        <f t="shared" si="195"/>
        <v/>
      </c>
      <c r="AD411" s="119"/>
      <c r="AE411" s="21"/>
      <c r="AF411" s="121"/>
      <c r="AG411" s="122"/>
      <c r="AH411" s="83" t="str">
        <f t="shared" si="196"/>
        <v/>
      </c>
      <c r="AI411" s="115"/>
      <c r="AJ411" s="116"/>
      <c r="AK411" s="83" t="str">
        <f t="shared" si="197"/>
        <v/>
      </c>
      <c r="AL411" s="85" t="str">
        <f t="shared" si="198"/>
        <v/>
      </c>
      <c r="AM411" s="254" t="str">
        <f t="shared" si="199"/>
        <v/>
      </c>
      <c r="AN411" s="254" t="str">
        <f t="shared" ca="1" si="200"/>
        <v/>
      </c>
      <c r="AO411" s="255" t="str">
        <f t="shared" si="201"/>
        <v/>
      </c>
    </row>
    <row r="412" spans="2:41" x14ac:dyDescent="0.25">
      <c r="B412" s="321"/>
      <c r="C412" s="17"/>
      <c r="E412" s="117"/>
      <c r="F412" s="4" t="str">
        <f t="shared" si="179"/>
        <v/>
      </c>
      <c r="G412" s="4" t="str">
        <f t="shared" si="180"/>
        <v/>
      </c>
      <c r="H412" s="4" t="str">
        <f t="shared" si="181"/>
        <v/>
      </c>
      <c r="I412" s="4" t="str">
        <f t="shared" si="182"/>
        <v/>
      </c>
      <c r="J412" s="247"/>
      <c r="K412" s="117"/>
      <c r="L412" s="4" t="str">
        <f t="shared" si="183"/>
        <v/>
      </c>
      <c r="M412" s="4" t="str">
        <f t="shared" si="184"/>
        <v/>
      </c>
      <c r="N412" s="4" t="str">
        <f t="shared" si="185"/>
        <v/>
      </c>
      <c r="O412" s="4" t="str">
        <f t="shared" si="186"/>
        <v/>
      </c>
      <c r="P412" s="247"/>
      <c r="Q412" s="117"/>
      <c r="R412" s="4" t="str">
        <f t="shared" si="187"/>
        <v/>
      </c>
      <c r="S412" s="4" t="str">
        <f t="shared" si="188"/>
        <v/>
      </c>
      <c r="T412" s="4" t="str">
        <f t="shared" si="189"/>
        <v/>
      </c>
      <c r="U412" s="4" t="str">
        <f t="shared" si="190"/>
        <v/>
      </c>
      <c r="V412" s="247"/>
      <c r="W412" s="67" t="str">
        <f t="shared" si="191"/>
        <v/>
      </c>
      <c r="X412" s="118"/>
      <c r="Z412" s="67" t="str">
        <f t="shared" si="192"/>
        <v/>
      </c>
      <c r="AA412" s="13">
        <f t="shared" si="193"/>
        <v>0</v>
      </c>
      <c r="AB412" s="17">
        <f t="shared" si="194"/>
        <v>0</v>
      </c>
      <c r="AC412" s="163" t="str">
        <f t="shared" si="195"/>
        <v/>
      </c>
      <c r="AD412" s="119"/>
      <c r="AE412" s="21"/>
      <c r="AF412" s="121"/>
      <c r="AG412" s="122"/>
      <c r="AH412" s="83" t="str">
        <f t="shared" si="196"/>
        <v/>
      </c>
      <c r="AI412" s="115"/>
      <c r="AJ412" s="116"/>
      <c r="AK412" s="83" t="str">
        <f t="shared" si="197"/>
        <v/>
      </c>
      <c r="AL412" s="85" t="str">
        <f t="shared" si="198"/>
        <v/>
      </c>
      <c r="AM412" s="254" t="str">
        <f t="shared" si="199"/>
        <v/>
      </c>
      <c r="AN412" s="254" t="str">
        <f t="shared" ca="1" si="200"/>
        <v/>
      </c>
      <c r="AO412" s="255" t="str">
        <f t="shared" si="201"/>
        <v/>
      </c>
    </row>
    <row r="413" spans="2:41" x14ac:dyDescent="0.25">
      <c r="B413" s="321"/>
      <c r="C413" s="17"/>
      <c r="E413" s="117"/>
      <c r="F413" s="4" t="str">
        <f t="shared" si="179"/>
        <v/>
      </c>
      <c r="G413" s="4" t="str">
        <f t="shared" si="180"/>
        <v/>
      </c>
      <c r="H413" s="4" t="str">
        <f t="shared" si="181"/>
        <v/>
      </c>
      <c r="I413" s="4" t="str">
        <f t="shared" si="182"/>
        <v/>
      </c>
      <c r="J413" s="247"/>
      <c r="K413" s="117"/>
      <c r="L413" s="4" t="str">
        <f t="shared" si="183"/>
        <v/>
      </c>
      <c r="M413" s="4" t="str">
        <f t="shared" si="184"/>
        <v/>
      </c>
      <c r="N413" s="4" t="str">
        <f t="shared" si="185"/>
        <v/>
      </c>
      <c r="O413" s="4" t="str">
        <f t="shared" si="186"/>
        <v/>
      </c>
      <c r="P413" s="247"/>
      <c r="Q413" s="117"/>
      <c r="R413" s="4" t="str">
        <f t="shared" si="187"/>
        <v/>
      </c>
      <c r="S413" s="4" t="str">
        <f t="shared" si="188"/>
        <v/>
      </c>
      <c r="T413" s="4" t="str">
        <f t="shared" si="189"/>
        <v/>
      </c>
      <c r="U413" s="4" t="str">
        <f t="shared" si="190"/>
        <v/>
      </c>
      <c r="V413" s="247"/>
      <c r="W413" s="67" t="str">
        <f t="shared" si="191"/>
        <v/>
      </c>
      <c r="X413" s="118"/>
      <c r="Z413" s="67" t="str">
        <f t="shared" si="192"/>
        <v/>
      </c>
      <c r="AA413" s="13">
        <f t="shared" si="193"/>
        <v>0</v>
      </c>
      <c r="AB413" s="17">
        <f t="shared" si="194"/>
        <v>0</v>
      </c>
      <c r="AC413" s="163" t="str">
        <f t="shared" si="195"/>
        <v/>
      </c>
      <c r="AD413" s="119"/>
      <c r="AE413" s="21"/>
      <c r="AF413" s="121"/>
      <c r="AG413" s="122"/>
      <c r="AH413" s="83" t="str">
        <f t="shared" si="196"/>
        <v/>
      </c>
      <c r="AI413" s="115"/>
      <c r="AJ413" s="116"/>
      <c r="AK413" s="83" t="str">
        <f t="shared" si="197"/>
        <v/>
      </c>
      <c r="AL413" s="85" t="str">
        <f t="shared" si="198"/>
        <v/>
      </c>
      <c r="AM413" s="254" t="str">
        <f t="shared" si="199"/>
        <v/>
      </c>
      <c r="AN413" s="254" t="str">
        <f t="shared" ca="1" si="200"/>
        <v/>
      </c>
      <c r="AO413" s="255" t="str">
        <f t="shared" si="201"/>
        <v/>
      </c>
    </row>
    <row r="414" spans="2:41" x14ac:dyDescent="0.25">
      <c r="B414" s="321"/>
      <c r="C414" s="17"/>
      <c r="E414" s="117"/>
      <c r="F414" s="4" t="str">
        <f t="shared" si="179"/>
        <v/>
      </c>
      <c r="G414" s="4" t="str">
        <f t="shared" si="180"/>
        <v/>
      </c>
      <c r="H414" s="4" t="str">
        <f t="shared" si="181"/>
        <v/>
      </c>
      <c r="I414" s="4" t="str">
        <f t="shared" si="182"/>
        <v/>
      </c>
      <c r="J414" s="247"/>
      <c r="K414" s="117"/>
      <c r="L414" s="4" t="str">
        <f t="shared" si="183"/>
        <v/>
      </c>
      <c r="M414" s="4" t="str">
        <f t="shared" si="184"/>
        <v/>
      </c>
      <c r="N414" s="4" t="str">
        <f t="shared" si="185"/>
        <v/>
      </c>
      <c r="O414" s="4" t="str">
        <f t="shared" si="186"/>
        <v/>
      </c>
      <c r="P414" s="247"/>
      <c r="Q414" s="117"/>
      <c r="R414" s="4" t="str">
        <f t="shared" si="187"/>
        <v/>
      </c>
      <c r="S414" s="4" t="str">
        <f t="shared" si="188"/>
        <v/>
      </c>
      <c r="T414" s="4" t="str">
        <f t="shared" si="189"/>
        <v/>
      </c>
      <c r="U414" s="4" t="str">
        <f t="shared" si="190"/>
        <v/>
      </c>
      <c r="V414" s="247"/>
      <c r="W414" s="67" t="str">
        <f t="shared" si="191"/>
        <v/>
      </c>
      <c r="X414" s="118"/>
      <c r="Z414" s="67" t="str">
        <f t="shared" si="192"/>
        <v/>
      </c>
      <c r="AA414" s="13">
        <f t="shared" si="193"/>
        <v>0</v>
      </c>
      <c r="AB414" s="17">
        <f t="shared" si="194"/>
        <v>0</v>
      </c>
      <c r="AC414" s="163" t="str">
        <f t="shared" si="195"/>
        <v/>
      </c>
      <c r="AD414" s="119"/>
      <c r="AE414" s="21"/>
      <c r="AF414" s="121"/>
      <c r="AG414" s="122"/>
      <c r="AH414" s="83" t="str">
        <f t="shared" si="196"/>
        <v/>
      </c>
      <c r="AI414" s="115"/>
      <c r="AJ414" s="116"/>
      <c r="AK414" s="83" t="str">
        <f t="shared" si="197"/>
        <v/>
      </c>
      <c r="AL414" s="85" t="str">
        <f t="shared" si="198"/>
        <v/>
      </c>
      <c r="AM414" s="254" t="str">
        <f t="shared" si="199"/>
        <v/>
      </c>
      <c r="AN414" s="254" t="str">
        <f t="shared" ca="1" si="200"/>
        <v/>
      </c>
      <c r="AO414" s="255" t="str">
        <f t="shared" si="201"/>
        <v/>
      </c>
    </row>
    <row r="415" spans="2:41" x14ac:dyDescent="0.25">
      <c r="B415" s="321"/>
      <c r="C415" s="17"/>
      <c r="E415" s="117"/>
      <c r="F415" s="4" t="str">
        <f t="shared" si="179"/>
        <v/>
      </c>
      <c r="G415" s="4" t="str">
        <f t="shared" si="180"/>
        <v/>
      </c>
      <c r="H415" s="4" t="str">
        <f t="shared" si="181"/>
        <v/>
      </c>
      <c r="I415" s="4" t="str">
        <f t="shared" si="182"/>
        <v/>
      </c>
      <c r="J415" s="247"/>
      <c r="K415" s="117"/>
      <c r="L415" s="4" t="str">
        <f t="shared" si="183"/>
        <v/>
      </c>
      <c r="M415" s="4" t="str">
        <f t="shared" si="184"/>
        <v/>
      </c>
      <c r="N415" s="4" t="str">
        <f t="shared" si="185"/>
        <v/>
      </c>
      <c r="O415" s="4" t="str">
        <f t="shared" si="186"/>
        <v/>
      </c>
      <c r="P415" s="247"/>
      <c r="Q415" s="117"/>
      <c r="R415" s="4" t="str">
        <f t="shared" si="187"/>
        <v/>
      </c>
      <c r="S415" s="4" t="str">
        <f t="shared" si="188"/>
        <v/>
      </c>
      <c r="T415" s="4" t="str">
        <f t="shared" si="189"/>
        <v/>
      </c>
      <c r="U415" s="4" t="str">
        <f t="shared" si="190"/>
        <v/>
      </c>
      <c r="V415" s="247"/>
      <c r="W415" s="67" t="str">
        <f t="shared" si="191"/>
        <v/>
      </c>
      <c r="X415" s="118"/>
      <c r="Z415" s="67" t="str">
        <f t="shared" si="192"/>
        <v/>
      </c>
      <c r="AA415" s="13">
        <f t="shared" si="193"/>
        <v>0</v>
      </c>
      <c r="AB415" s="17">
        <f t="shared" si="194"/>
        <v>0</v>
      </c>
      <c r="AC415" s="163" t="str">
        <f t="shared" si="195"/>
        <v/>
      </c>
      <c r="AD415" s="119"/>
      <c r="AE415" s="21"/>
      <c r="AF415" s="121"/>
      <c r="AG415" s="122"/>
      <c r="AH415" s="83" t="str">
        <f t="shared" si="196"/>
        <v/>
      </c>
      <c r="AI415" s="115"/>
      <c r="AJ415" s="116"/>
      <c r="AK415" s="83" t="str">
        <f t="shared" si="197"/>
        <v/>
      </c>
      <c r="AL415" s="85" t="str">
        <f t="shared" si="198"/>
        <v/>
      </c>
      <c r="AM415" s="254" t="str">
        <f t="shared" si="199"/>
        <v/>
      </c>
      <c r="AN415" s="254" t="str">
        <f t="shared" ca="1" si="200"/>
        <v/>
      </c>
      <c r="AO415" s="255" t="str">
        <f t="shared" si="201"/>
        <v/>
      </c>
    </row>
    <row r="416" spans="2:41" x14ac:dyDescent="0.25">
      <c r="B416" s="321"/>
      <c r="C416" s="17"/>
      <c r="E416" s="117"/>
      <c r="F416" s="4" t="str">
        <f t="shared" si="179"/>
        <v/>
      </c>
      <c r="G416" s="4" t="str">
        <f t="shared" si="180"/>
        <v/>
      </c>
      <c r="H416" s="4" t="str">
        <f t="shared" si="181"/>
        <v/>
      </c>
      <c r="I416" s="4" t="str">
        <f t="shared" si="182"/>
        <v/>
      </c>
      <c r="J416" s="247"/>
      <c r="K416" s="117"/>
      <c r="L416" s="4" t="str">
        <f t="shared" si="183"/>
        <v/>
      </c>
      <c r="M416" s="4" t="str">
        <f t="shared" si="184"/>
        <v/>
      </c>
      <c r="N416" s="4" t="str">
        <f t="shared" si="185"/>
        <v/>
      </c>
      <c r="O416" s="4" t="str">
        <f t="shared" si="186"/>
        <v/>
      </c>
      <c r="P416" s="247"/>
      <c r="Q416" s="117"/>
      <c r="R416" s="4" t="str">
        <f t="shared" si="187"/>
        <v/>
      </c>
      <c r="S416" s="4" t="str">
        <f t="shared" si="188"/>
        <v/>
      </c>
      <c r="T416" s="4" t="str">
        <f t="shared" si="189"/>
        <v/>
      </c>
      <c r="U416" s="4" t="str">
        <f t="shared" si="190"/>
        <v/>
      </c>
      <c r="V416" s="247"/>
      <c r="W416" s="67" t="str">
        <f t="shared" si="191"/>
        <v/>
      </c>
      <c r="X416" s="118"/>
      <c r="Z416" s="67" t="str">
        <f t="shared" si="192"/>
        <v/>
      </c>
      <c r="AA416" s="13">
        <f t="shared" si="193"/>
        <v>0</v>
      </c>
      <c r="AB416" s="17">
        <f t="shared" si="194"/>
        <v>0</v>
      </c>
      <c r="AC416" s="163" t="str">
        <f t="shared" si="195"/>
        <v/>
      </c>
      <c r="AD416" s="119"/>
      <c r="AE416" s="21"/>
      <c r="AF416" s="121"/>
      <c r="AG416" s="122"/>
      <c r="AH416" s="83" t="str">
        <f t="shared" si="196"/>
        <v/>
      </c>
      <c r="AI416" s="115"/>
      <c r="AJ416" s="116"/>
      <c r="AK416" s="83" t="str">
        <f t="shared" si="197"/>
        <v/>
      </c>
      <c r="AL416" s="85" t="str">
        <f t="shared" si="198"/>
        <v/>
      </c>
      <c r="AM416" s="254" t="str">
        <f t="shared" si="199"/>
        <v/>
      </c>
      <c r="AN416" s="254" t="str">
        <f t="shared" ca="1" si="200"/>
        <v/>
      </c>
      <c r="AO416" s="255" t="str">
        <f t="shared" si="201"/>
        <v/>
      </c>
    </row>
    <row r="417" spans="2:41" x14ac:dyDescent="0.25">
      <c r="B417" s="321"/>
      <c r="C417" s="17"/>
      <c r="E417" s="117"/>
      <c r="F417" s="4" t="str">
        <f t="shared" si="179"/>
        <v/>
      </c>
      <c r="G417" s="4" t="str">
        <f t="shared" si="180"/>
        <v/>
      </c>
      <c r="H417" s="4" t="str">
        <f t="shared" si="181"/>
        <v/>
      </c>
      <c r="I417" s="4" t="str">
        <f t="shared" si="182"/>
        <v/>
      </c>
      <c r="J417" s="247"/>
      <c r="K417" s="117"/>
      <c r="L417" s="4" t="str">
        <f t="shared" si="183"/>
        <v/>
      </c>
      <c r="M417" s="4" t="str">
        <f t="shared" si="184"/>
        <v/>
      </c>
      <c r="N417" s="4" t="str">
        <f t="shared" si="185"/>
        <v/>
      </c>
      <c r="O417" s="4" t="str">
        <f t="shared" si="186"/>
        <v/>
      </c>
      <c r="P417" s="247"/>
      <c r="Q417" s="117"/>
      <c r="R417" s="4" t="str">
        <f t="shared" si="187"/>
        <v/>
      </c>
      <c r="S417" s="4" t="str">
        <f t="shared" si="188"/>
        <v/>
      </c>
      <c r="T417" s="4" t="str">
        <f t="shared" si="189"/>
        <v/>
      </c>
      <c r="U417" s="4" t="str">
        <f t="shared" si="190"/>
        <v/>
      </c>
      <c r="V417" s="247"/>
      <c r="W417" s="67" t="str">
        <f t="shared" si="191"/>
        <v/>
      </c>
      <c r="X417" s="118"/>
      <c r="Z417" s="67" t="str">
        <f t="shared" si="192"/>
        <v/>
      </c>
      <c r="AA417" s="13">
        <f t="shared" si="193"/>
        <v>0</v>
      </c>
      <c r="AB417" s="17">
        <f t="shared" si="194"/>
        <v>0</v>
      </c>
      <c r="AC417" s="163" t="str">
        <f t="shared" si="195"/>
        <v/>
      </c>
      <c r="AD417" s="119"/>
      <c r="AE417" s="21"/>
      <c r="AF417" s="121"/>
      <c r="AG417" s="122"/>
      <c r="AH417" s="83" t="str">
        <f t="shared" si="196"/>
        <v/>
      </c>
      <c r="AI417" s="115"/>
      <c r="AJ417" s="116"/>
      <c r="AK417" s="83" t="str">
        <f t="shared" si="197"/>
        <v/>
      </c>
      <c r="AL417" s="85" t="str">
        <f t="shared" si="198"/>
        <v/>
      </c>
      <c r="AM417" s="254" t="str">
        <f t="shared" si="199"/>
        <v/>
      </c>
      <c r="AN417" s="254" t="str">
        <f t="shared" ca="1" si="200"/>
        <v/>
      </c>
      <c r="AO417" s="255" t="str">
        <f t="shared" si="201"/>
        <v/>
      </c>
    </row>
    <row r="418" spans="2:41" x14ac:dyDescent="0.25">
      <c r="B418" s="321"/>
      <c r="C418" s="17"/>
      <c r="E418" s="117"/>
      <c r="F418" s="4" t="str">
        <f t="shared" si="179"/>
        <v/>
      </c>
      <c r="G418" s="4" t="str">
        <f t="shared" si="180"/>
        <v/>
      </c>
      <c r="H418" s="4" t="str">
        <f t="shared" si="181"/>
        <v/>
      </c>
      <c r="I418" s="4" t="str">
        <f t="shared" si="182"/>
        <v/>
      </c>
      <c r="J418" s="247"/>
      <c r="K418" s="117"/>
      <c r="L418" s="4" t="str">
        <f t="shared" si="183"/>
        <v/>
      </c>
      <c r="M418" s="4" t="str">
        <f t="shared" si="184"/>
        <v/>
      </c>
      <c r="N418" s="4" t="str">
        <f t="shared" si="185"/>
        <v/>
      </c>
      <c r="O418" s="4" t="str">
        <f t="shared" si="186"/>
        <v/>
      </c>
      <c r="P418" s="247"/>
      <c r="Q418" s="117"/>
      <c r="R418" s="4" t="str">
        <f t="shared" si="187"/>
        <v/>
      </c>
      <c r="S418" s="4" t="str">
        <f t="shared" si="188"/>
        <v/>
      </c>
      <c r="T418" s="4" t="str">
        <f t="shared" si="189"/>
        <v/>
      </c>
      <c r="U418" s="4" t="str">
        <f t="shared" si="190"/>
        <v/>
      </c>
      <c r="V418" s="247"/>
      <c r="W418" s="67" t="str">
        <f t="shared" si="191"/>
        <v/>
      </c>
      <c r="X418" s="118"/>
      <c r="Z418" s="67" t="str">
        <f t="shared" si="192"/>
        <v/>
      </c>
      <c r="AA418" s="13">
        <f t="shared" si="193"/>
        <v>0</v>
      </c>
      <c r="AB418" s="17">
        <f t="shared" si="194"/>
        <v>0</v>
      </c>
      <c r="AC418" s="163" t="str">
        <f t="shared" si="195"/>
        <v/>
      </c>
      <c r="AD418" s="119"/>
      <c r="AE418" s="21"/>
      <c r="AF418" s="121"/>
      <c r="AG418" s="122"/>
      <c r="AH418" s="83" t="str">
        <f t="shared" si="196"/>
        <v/>
      </c>
      <c r="AI418" s="115"/>
      <c r="AJ418" s="116"/>
      <c r="AK418" s="83" t="str">
        <f t="shared" si="197"/>
        <v/>
      </c>
      <c r="AL418" s="85" t="str">
        <f t="shared" si="198"/>
        <v/>
      </c>
      <c r="AM418" s="254" t="str">
        <f t="shared" si="199"/>
        <v/>
      </c>
      <c r="AN418" s="254" t="str">
        <f t="shared" ca="1" si="200"/>
        <v/>
      </c>
      <c r="AO418" s="255" t="str">
        <f t="shared" si="201"/>
        <v/>
      </c>
    </row>
    <row r="419" spans="2:41" x14ac:dyDescent="0.25">
      <c r="B419" s="321"/>
      <c r="C419" s="17"/>
      <c r="E419" s="117"/>
      <c r="F419" s="4" t="str">
        <f t="shared" si="179"/>
        <v/>
      </c>
      <c r="G419" s="4" t="str">
        <f t="shared" si="180"/>
        <v/>
      </c>
      <c r="H419" s="4" t="str">
        <f t="shared" si="181"/>
        <v/>
      </c>
      <c r="I419" s="4" t="str">
        <f t="shared" si="182"/>
        <v/>
      </c>
      <c r="J419" s="247"/>
      <c r="K419" s="117"/>
      <c r="L419" s="4" t="str">
        <f t="shared" si="183"/>
        <v/>
      </c>
      <c r="M419" s="4" t="str">
        <f t="shared" si="184"/>
        <v/>
      </c>
      <c r="N419" s="4" t="str">
        <f t="shared" si="185"/>
        <v/>
      </c>
      <c r="O419" s="4" t="str">
        <f t="shared" si="186"/>
        <v/>
      </c>
      <c r="P419" s="247"/>
      <c r="Q419" s="117"/>
      <c r="R419" s="4" t="str">
        <f t="shared" si="187"/>
        <v/>
      </c>
      <c r="S419" s="4" t="str">
        <f t="shared" si="188"/>
        <v/>
      </c>
      <c r="T419" s="4" t="str">
        <f t="shared" si="189"/>
        <v/>
      </c>
      <c r="U419" s="4" t="str">
        <f t="shared" si="190"/>
        <v/>
      </c>
      <c r="V419" s="247"/>
      <c r="W419" s="67" t="str">
        <f t="shared" si="191"/>
        <v/>
      </c>
      <c r="X419" s="118"/>
      <c r="Z419" s="67" t="str">
        <f t="shared" si="192"/>
        <v/>
      </c>
      <c r="AA419" s="13">
        <f t="shared" si="193"/>
        <v>0</v>
      </c>
      <c r="AB419" s="17">
        <f t="shared" si="194"/>
        <v>0</v>
      </c>
      <c r="AC419" s="163" t="str">
        <f t="shared" si="195"/>
        <v/>
      </c>
      <c r="AD419" s="119"/>
      <c r="AE419" s="21"/>
      <c r="AF419" s="121"/>
      <c r="AG419" s="122"/>
      <c r="AH419" s="83" t="str">
        <f t="shared" si="196"/>
        <v/>
      </c>
      <c r="AI419" s="115"/>
      <c r="AJ419" s="116"/>
      <c r="AK419" s="83" t="str">
        <f t="shared" si="197"/>
        <v/>
      </c>
      <c r="AL419" s="85" t="str">
        <f t="shared" si="198"/>
        <v/>
      </c>
      <c r="AM419" s="254" t="str">
        <f t="shared" si="199"/>
        <v/>
      </c>
      <c r="AN419" s="254" t="str">
        <f t="shared" ca="1" si="200"/>
        <v/>
      </c>
      <c r="AO419" s="255" t="str">
        <f t="shared" si="201"/>
        <v/>
      </c>
    </row>
    <row r="420" spans="2:41" x14ac:dyDescent="0.25">
      <c r="B420" s="321"/>
      <c r="C420" s="17"/>
      <c r="E420" s="117"/>
      <c r="F420" s="4" t="str">
        <f t="shared" si="179"/>
        <v/>
      </c>
      <c r="G420" s="4" t="str">
        <f t="shared" si="180"/>
        <v/>
      </c>
      <c r="H420" s="4" t="str">
        <f t="shared" si="181"/>
        <v/>
      </c>
      <c r="I420" s="4" t="str">
        <f t="shared" si="182"/>
        <v/>
      </c>
      <c r="J420" s="247"/>
      <c r="K420" s="117"/>
      <c r="L420" s="4" t="str">
        <f t="shared" si="183"/>
        <v/>
      </c>
      <c r="M420" s="4" t="str">
        <f t="shared" si="184"/>
        <v/>
      </c>
      <c r="N420" s="4" t="str">
        <f t="shared" si="185"/>
        <v/>
      </c>
      <c r="O420" s="4" t="str">
        <f t="shared" si="186"/>
        <v/>
      </c>
      <c r="P420" s="247"/>
      <c r="Q420" s="117"/>
      <c r="R420" s="4" t="str">
        <f t="shared" si="187"/>
        <v/>
      </c>
      <c r="S420" s="4" t="str">
        <f t="shared" si="188"/>
        <v/>
      </c>
      <c r="T420" s="4" t="str">
        <f t="shared" si="189"/>
        <v/>
      </c>
      <c r="U420" s="4" t="str">
        <f t="shared" si="190"/>
        <v/>
      </c>
      <c r="V420" s="247"/>
      <c r="W420" s="67" t="str">
        <f t="shared" si="191"/>
        <v/>
      </c>
      <c r="X420" s="118"/>
      <c r="Z420" s="67" t="str">
        <f t="shared" si="192"/>
        <v/>
      </c>
      <c r="AA420" s="13">
        <f t="shared" si="193"/>
        <v>0</v>
      </c>
      <c r="AB420" s="17">
        <f t="shared" si="194"/>
        <v>0</v>
      </c>
      <c r="AC420" s="163" t="str">
        <f t="shared" si="195"/>
        <v/>
      </c>
      <c r="AD420" s="119"/>
      <c r="AE420" s="21"/>
      <c r="AF420" s="121"/>
      <c r="AG420" s="122"/>
      <c r="AH420" s="83" t="str">
        <f t="shared" si="196"/>
        <v/>
      </c>
      <c r="AI420" s="115"/>
      <c r="AJ420" s="116"/>
      <c r="AK420" s="83" t="str">
        <f t="shared" si="197"/>
        <v/>
      </c>
      <c r="AL420" s="85" t="str">
        <f t="shared" si="198"/>
        <v/>
      </c>
      <c r="AM420" s="254" t="str">
        <f t="shared" si="199"/>
        <v/>
      </c>
      <c r="AN420" s="254" t="str">
        <f t="shared" ca="1" si="200"/>
        <v/>
      </c>
      <c r="AO420" s="255" t="str">
        <f t="shared" si="201"/>
        <v/>
      </c>
    </row>
    <row r="421" spans="2:41" x14ac:dyDescent="0.25">
      <c r="B421" s="321"/>
      <c r="C421" s="17"/>
      <c r="E421" s="117"/>
      <c r="F421" s="4" t="str">
        <f t="shared" si="179"/>
        <v/>
      </c>
      <c r="G421" s="4" t="str">
        <f t="shared" si="180"/>
        <v/>
      </c>
      <c r="H421" s="4" t="str">
        <f t="shared" si="181"/>
        <v/>
      </c>
      <c r="I421" s="4" t="str">
        <f t="shared" si="182"/>
        <v/>
      </c>
      <c r="J421" s="247"/>
      <c r="K421" s="117"/>
      <c r="L421" s="4" t="str">
        <f t="shared" si="183"/>
        <v/>
      </c>
      <c r="M421" s="4" t="str">
        <f t="shared" si="184"/>
        <v/>
      </c>
      <c r="N421" s="4" t="str">
        <f t="shared" si="185"/>
        <v/>
      </c>
      <c r="O421" s="4" t="str">
        <f t="shared" si="186"/>
        <v/>
      </c>
      <c r="P421" s="247"/>
      <c r="Q421" s="117"/>
      <c r="R421" s="4" t="str">
        <f t="shared" si="187"/>
        <v/>
      </c>
      <c r="S421" s="4" t="str">
        <f t="shared" si="188"/>
        <v/>
      </c>
      <c r="T421" s="4" t="str">
        <f t="shared" si="189"/>
        <v/>
      </c>
      <c r="U421" s="4" t="str">
        <f t="shared" si="190"/>
        <v/>
      </c>
      <c r="V421" s="247"/>
      <c r="W421" s="67" t="str">
        <f t="shared" si="191"/>
        <v/>
      </c>
      <c r="X421" s="118"/>
      <c r="Z421" s="67" t="str">
        <f t="shared" si="192"/>
        <v/>
      </c>
      <c r="AA421" s="13">
        <f t="shared" si="193"/>
        <v>0</v>
      </c>
      <c r="AB421" s="17">
        <f t="shared" si="194"/>
        <v>0</v>
      </c>
      <c r="AC421" s="163" t="str">
        <f t="shared" si="195"/>
        <v/>
      </c>
      <c r="AD421" s="119"/>
      <c r="AE421" s="21"/>
      <c r="AF421" s="121"/>
      <c r="AG421" s="122"/>
      <c r="AH421" s="83" t="str">
        <f t="shared" si="196"/>
        <v/>
      </c>
      <c r="AI421" s="115"/>
      <c r="AJ421" s="116"/>
      <c r="AK421" s="83" t="str">
        <f t="shared" si="197"/>
        <v/>
      </c>
      <c r="AL421" s="85" t="str">
        <f t="shared" si="198"/>
        <v/>
      </c>
      <c r="AM421" s="254" t="str">
        <f t="shared" si="199"/>
        <v/>
      </c>
      <c r="AN421" s="254" t="str">
        <f t="shared" ca="1" si="200"/>
        <v/>
      </c>
      <c r="AO421" s="255" t="str">
        <f t="shared" si="201"/>
        <v/>
      </c>
    </row>
    <row r="422" spans="2:41" x14ac:dyDescent="0.25">
      <c r="B422" s="321"/>
      <c r="C422" s="17"/>
      <c r="E422" s="117"/>
      <c r="F422" s="4" t="str">
        <f t="shared" si="179"/>
        <v/>
      </c>
      <c r="G422" s="4" t="str">
        <f t="shared" si="180"/>
        <v/>
      </c>
      <c r="H422" s="4" t="str">
        <f t="shared" si="181"/>
        <v/>
      </c>
      <c r="I422" s="4" t="str">
        <f t="shared" si="182"/>
        <v/>
      </c>
      <c r="J422" s="247"/>
      <c r="K422" s="117"/>
      <c r="L422" s="4" t="str">
        <f t="shared" si="183"/>
        <v/>
      </c>
      <c r="M422" s="4" t="str">
        <f t="shared" si="184"/>
        <v/>
      </c>
      <c r="N422" s="4" t="str">
        <f t="shared" si="185"/>
        <v/>
      </c>
      <c r="O422" s="4" t="str">
        <f t="shared" si="186"/>
        <v/>
      </c>
      <c r="P422" s="247"/>
      <c r="Q422" s="117"/>
      <c r="R422" s="4" t="str">
        <f t="shared" si="187"/>
        <v/>
      </c>
      <c r="S422" s="4" t="str">
        <f t="shared" si="188"/>
        <v/>
      </c>
      <c r="T422" s="4" t="str">
        <f t="shared" si="189"/>
        <v/>
      </c>
      <c r="U422" s="4" t="str">
        <f t="shared" si="190"/>
        <v/>
      </c>
      <c r="V422" s="247"/>
      <c r="W422" s="67" t="str">
        <f t="shared" si="191"/>
        <v/>
      </c>
      <c r="X422" s="118"/>
      <c r="Z422" s="67" t="str">
        <f t="shared" si="192"/>
        <v/>
      </c>
      <c r="AA422" s="13">
        <f t="shared" si="193"/>
        <v>0</v>
      </c>
      <c r="AB422" s="17">
        <f t="shared" si="194"/>
        <v>0</v>
      </c>
      <c r="AC422" s="163" t="str">
        <f t="shared" si="195"/>
        <v/>
      </c>
      <c r="AD422" s="119"/>
      <c r="AE422" s="21"/>
      <c r="AF422" s="121"/>
      <c r="AG422" s="122"/>
      <c r="AH422" s="83" t="str">
        <f t="shared" si="196"/>
        <v/>
      </c>
      <c r="AI422" s="115"/>
      <c r="AJ422" s="116"/>
      <c r="AK422" s="83" t="str">
        <f t="shared" si="197"/>
        <v/>
      </c>
      <c r="AL422" s="85" t="str">
        <f t="shared" si="198"/>
        <v/>
      </c>
      <c r="AM422" s="254" t="str">
        <f t="shared" si="199"/>
        <v/>
      </c>
      <c r="AN422" s="254" t="str">
        <f t="shared" ca="1" si="200"/>
        <v/>
      </c>
      <c r="AO422" s="255" t="str">
        <f t="shared" si="201"/>
        <v/>
      </c>
    </row>
    <row r="423" spans="2:41" x14ac:dyDescent="0.25">
      <c r="B423" s="321"/>
      <c r="C423" s="17"/>
      <c r="E423" s="117"/>
      <c r="F423" s="4" t="str">
        <f t="shared" si="179"/>
        <v/>
      </c>
      <c r="G423" s="4" t="str">
        <f t="shared" si="180"/>
        <v/>
      </c>
      <c r="H423" s="4" t="str">
        <f t="shared" si="181"/>
        <v/>
      </c>
      <c r="I423" s="4" t="str">
        <f t="shared" si="182"/>
        <v/>
      </c>
      <c r="J423" s="247"/>
      <c r="K423" s="117"/>
      <c r="L423" s="4" t="str">
        <f t="shared" si="183"/>
        <v/>
      </c>
      <c r="M423" s="4" t="str">
        <f t="shared" si="184"/>
        <v/>
      </c>
      <c r="N423" s="4" t="str">
        <f t="shared" si="185"/>
        <v/>
      </c>
      <c r="O423" s="4" t="str">
        <f t="shared" si="186"/>
        <v/>
      </c>
      <c r="P423" s="247"/>
      <c r="Q423" s="117"/>
      <c r="R423" s="4" t="str">
        <f t="shared" si="187"/>
        <v/>
      </c>
      <c r="S423" s="4" t="str">
        <f t="shared" si="188"/>
        <v/>
      </c>
      <c r="T423" s="4" t="str">
        <f t="shared" si="189"/>
        <v/>
      </c>
      <c r="U423" s="4" t="str">
        <f t="shared" si="190"/>
        <v/>
      </c>
      <c r="V423" s="247"/>
      <c r="W423" s="67" t="str">
        <f t="shared" si="191"/>
        <v/>
      </c>
      <c r="X423" s="118"/>
      <c r="Z423" s="67" t="str">
        <f t="shared" si="192"/>
        <v/>
      </c>
      <c r="AA423" s="13">
        <f t="shared" si="193"/>
        <v>0</v>
      </c>
      <c r="AB423" s="17">
        <f t="shared" si="194"/>
        <v>0</v>
      </c>
      <c r="AC423" s="163" t="str">
        <f t="shared" si="195"/>
        <v/>
      </c>
      <c r="AD423" s="119"/>
      <c r="AE423" s="21"/>
      <c r="AF423" s="121"/>
      <c r="AG423" s="122"/>
      <c r="AH423" s="83" t="str">
        <f t="shared" si="196"/>
        <v/>
      </c>
      <c r="AI423" s="115"/>
      <c r="AJ423" s="116"/>
      <c r="AK423" s="83" t="str">
        <f t="shared" si="197"/>
        <v/>
      </c>
      <c r="AL423" s="85" t="str">
        <f t="shared" si="198"/>
        <v/>
      </c>
      <c r="AM423" s="254" t="str">
        <f t="shared" si="199"/>
        <v/>
      </c>
      <c r="AN423" s="254" t="str">
        <f t="shared" ca="1" si="200"/>
        <v/>
      </c>
      <c r="AO423" s="255" t="str">
        <f t="shared" si="201"/>
        <v/>
      </c>
    </row>
    <row r="424" spans="2:41" x14ac:dyDescent="0.25">
      <c r="B424" s="321"/>
      <c r="C424" s="17"/>
      <c r="E424" s="117"/>
      <c r="F424" s="4" t="str">
        <f t="shared" si="179"/>
        <v/>
      </c>
      <c r="G424" s="4" t="str">
        <f t="shared" si="180"/>
        <v/>
      </c>
      <c r="H424" s="4" t="str">
        <f t="shared" si="181"/>
        <v/>
      </c>
      <c r="I424" s="4" t="str">
        <f t="shared" si="182"/>
        <v/>
      </c>
      <c r="J424" s="247"/>
      <c r="K424" s="117"/>
      <c r="L424" s="4" t="str">
        <f t="shared" si="183"/>
        <v/>
      </c>
      <c r="M424" s="4" t="str">
        <f t="shared" si="184"/>
        <v/>
      </c>
      <c r="N424" s="4" t="str">
        <f t="shared" si="185"/>
        <v/>
      </c>
      <c r="O424" s="4" t="str">
        <f t="shared" si="186"/>
        <v/>
      </c>
      <c r="P424" s="247"/>
      <c r="Q424" s="117"/>
      <c r="R424" s="4" t="str">
        <f t="shared" si="187"/>
        <v/>
      </c>
      <c r="S424" s="4" t="str">
        <f t="shared" si="188"/>
        <v/>
      </c>
      <c r="T424" s="4" t="str">
        <f t="shared" si="189"/>
        <v/>
      </c>
      <c r="U424" s="4" t="str">
        <f t="shared" si="190"/>
        <v/>
      </c>
      <c r="V424" s="247"/>
      <c r="W424" s="67" t="str">
        <f t="shared" si="191"/>
        <v/>
      </c>
      <c r="X424" s="118"/>
      <c r="Z424" s="67" t="str">
        <f t="shared" si="192"/>
        <v/>
      </c>
      <c r="AA424" s="13">
        <f t="shared" si="193"/>
        <v>0</v>
      </c>
      <c r="AB424" s="17">
        <f t="shared" si="194"/>
        <v>0</v>
      </c>
      <c r="AC424" s="163" t="str">
        <f t="shared" si="195"/>
        <v/>
      </c>
      <c r="AD424" s="119"/>
      <c r="AE424" s="21"/>
      <c r="AF424" s="121"/>
      <c r="AG424" s="122"/>
      <c r="AH424" s="83" t="str">
        <f t="shared" si="196"/>
        <v/>
      </c>
      <c r="AI424" s="115"/>
      <c r="AJ424" s="116"/>
      <c r="AK424" s="83" t="str">
        <f t="shared" si="197"/>
        <v/>
      </c>
      <c r="AL424" s="85" t="str">
        <f t="shared" si="198"/>
        <v/>
      </c>
      <c r="AM424" s="254" t="str">
        <f t="shared" si="199"/>
        <v/>
      </c>
      <c r="AN424" s="254" t="str">
        <f t="shared" ca="1" si="200"/>
        <v/>
      </c>
      <c r="AO424" s="255" t="str">
        <f t="shared" si="201"/>
        <v/>
      </c>
    </row>
    <row r="425" spans="2:41" x14ac:dyDescent="0.25">
      <c r="B425" s="321"/>
      <c r="C425" s="17"/>
      <c r="E425" s="117"/>
      <c r="F425" s="4" t="str">
        <f t="shared" si="179"/>
        <v/>
      </c>
      <c r="G425" s="4" t="str">
        <f t="shared" si="180"/>
        <v/>
      </c>
      <c r="H425" s="4" t="str">
        <f t="shared" si="181"/>
        <v/>
      </c>
      <c r="I425" s="4" t="str">
        <f t="shared" si="182"/>
        <v/>
      </c>
      <c r="J425" s="247"/>
      <c r="K425" s="117"/>
      <c r="L425" s="4" t="str">
        <f t="shared" si="183"/>
        <v/>
      </c>
      <c r="M425" s="4" t="str">
        <f t="shared" si="184"/>
        <v/>
      </c>
      <c r="N425" s="4" t="str">
        <f t="shared" si="185"/>
        <v/>
      </c>
      <c r="O425" s="4" t="str">
        <f t="shared" si="186"/>
        <v/>
      </c>
      <c r="P425" s="247"/>
      <c r="Q425" s="117"/>
      <c r="R425" s="4" t="str">
        <f t="shared" si="187"/>
        <v/>
      </c>
      <c r="S425" s="4" t="str">
        <f t="shared" si="188"/>
        <v/>
      </c>
      <c r="T425" s="4" t="str">
        <f t="shared" si="189"/>
        <v/>
      </c>
      <c r="U425" s="4" t="str">
        <f t="shared" si="190"/>
        <v/>
      </c>
      <c r="V425" s="247"/>
      <c r="W425" s="67" t="str">
        <f t="shared" si="191"/>
        <v/>
      </c>
      <c r="X425" s="118"/>
      <c r="Z425" s="67" t="str">
        <f t="shared" si="192"/>
        <v/>
      </c>
      <c r="AA425" s="13">
        <f t="shared" si="193"/>
        <v>0</v>
      </c>
      <c r="AB425" s="17">
        <f t="shared" si="194"/>
        <v>0</v>
      </c>
      <c r="AC425" s="163" t="str">
        <f t="shared" si="195"/>
        <v/>
      </c>
      <c r="AD425" s="119"/>
      <c r="AE425" s="21"/>
      <c r="AF425" s="121"/>
      <c r="AG425" s="122"/>
      <c r="AH425" s="83" t="str">
        <f t="shared" si="196"/>
        <v/>
      </c>
      <c r="AI425" s="115"/>
      <c r="AJ425" s="116"/>
      <c r="AK425" s="83" t="str">
        <f t="shared" si="197"/>
        <v/>
      </c>
      <c r="AL425" s="85" t="str">
        <f t="shared" si="198"/>
        <v/>
      </c>
      <c r="AM425" s="254" t="str">
        <f t="shared" si="199"/>
        <v/>
      </c>
      <c r="AN425" s="254" t="str">
        <f t="shared" ca="1" si="200"/>
        <v/>
      </c>
      <c r="AO425" s="255" t="str">
        <f t="shared" si="201"/>
        <v/>
      </c>
    </row>
    <row r="426" spans="2:41" x14ac:dyDescent="0.25">
      <c r="B426" s="321"/>
      <c r="C426" s="17"/>
      <c r="E426" s="117"/>
      <c r="F426" s="4" t="str">
        <f t="shared" si="179"/>
        <v/>
      </c>
      <c r="G426" s="4" t="str">
        <f t="shared" si="180"/>
        <v/>
      </c>
      <c r="H426" s="4" t="str">
        <f t="shared" si="181"/>
        <v/>
      </c>
      <c r="I426" s="4" t="str">
        <f t="shared" si="182"/>
        <v/>
      </c>
      <c r="J426" s="247"/>
      <c r="K426" s="117"/>
      <c r="L426" s="4" t="str">
        <f t="shared" si="183"/>
        <v/>
      </c>
      <c r="M426" s="4" t="str">
        <f t="shared" si="184"/>
        <v/>
      </c>
      <c r="N426" s="4" t="str">
        <f t="shared" si="185"/>
        <v/>
      </c>
      <c r="O426" s="4" t="str">
        <f t="shared" si="186"/>
        <v/>
      </c>
      <c r="P426" s="247"/>
      <c r="Q426" s="117"/>
      <c r="R426" s="4" t="str">
        <f t="shared" si="187"/>
        <v/>
      </c>
      <c r="S426" s="4" t="str">
        <f t="shared" si="188"/>
        <v/>
      </c>
      <c r="T426" s="4" t="str">
        <f t="shared" si="189"/>
        <v/>
      </c>
      <c r="U426" s="4" t="str">
        <f t="shared" si="190"/>
        <v/>
      </c>
      <c r="V426" s="247"/>
      <c r="W426" s="67" t="str">
        <f t="shared" si="191"/>
        <v/>
      </c>
      <c r="X426" s="118"/>
      <c r="Z426" s="67" t="str">
        <f t="shared" si="192"/>
        <v/>
      </c>
      <c r="AA426" s="13">
        <f t="shared" si="193"/>
        <v>0</v>
      </c>
      <c r="AB426" s="17">
        <f t="shared" si="194"/>
        <v>0</v>
      </c>
      <c r="AC426" s="163" t="str">
        <f t="shared" si="195"/>
        <v/>
      </c>
      <c r="AD426" s="119"/>
      <c r="AE426" s="21"/>
      <c r="AF426" s="121"/>
      <c r="AG426" s="122"/>
      <c r="AH426" s="83" t="str">
        <f t="shared" si="196"/>
        <v/>
      </c>
      <c r="AI426" s="115"/>
      <c r="AJ426" s="116"/>
      <c r="AK426" s="83" t="str">
        <f t="shared" si="197"/>
        <v/>
      </c>
      <c r="AL426" s="85" t="str">
        <f t="shared" si="198"/>
        <v/>
      </c>
      <c r="AM426" s="254" t="str">
        <f t="shared" si="199"/>
        <v/>
      </c>
      <c r="AN426" s="254" t="str">
        <f t="shared" ca="1" si="200"/>
        <v/>
      </c>
      <c r="AO426" s="255" t="str">
        <f t="shared" si="201"/>
        <v/>
      </c>
    </row>
    <row r="427" spans="2:41" x14ac:dyDescent="0.25">
      <c r="B427" s="321"/>
      <c r="C427" s="17"/>
      <c r="E427" s="117"/>
      <c r="F427" s="4" t="str">
        <f t="shared" si="179"/>
        <v/>
      </c>
      <c r="G427" s="4" t="str">
        <f t="shared" si="180"/>
        <v/>
      </c>
      <c r="H427" s="4" t="str">
        <f t="shared" si="181"/>
        <v/>
      </c>
      <c r="I427" s="4" t="str">
        <f t="shared" si="182"/>
        <v/>
      </c>
      <c r="J427" s="247"/>
      <c r="K427" s="117"/>
      <c r="L427" s="4" t="str">
        <f t="shared" si="183"/>
        <v/>
      </c>
      <c r="M427" s="4" t="str">
        <f t="shared" si="184"/>
        <v/>
      </c>
      <c r="N427" s="4" t="str">
        <f t="shared" si="185"/>
        <v/>
      </c>
      <c r="O427" s="4" t="str">
        <f t="shared" si="186"/>
        <v/>
      </c>
      <c r="P427" s="247"/>
      <c r="Q427" s="117"/>
      <c r="R427" s="4" t="str">
        <f t="shared" si="187"/>
        <v/>
      </c>
      <c r="S427" s="4" t="str">
        <f t="shared" si="188"/>
        <v/>
      </c>
      <c r="T427" s="4" t="str">
        <f t="shared" si="189"/>
        <v/>
      </c>
      <c r="U427" s="4" t="str">
        <f t="shared" si="190"/>
        <v/>
      </c>
      <c r="V427" s="247"/>
      <c r="W427" s="67" t="str">
        <f t="shared" si="191"/>
        <v/>
      </c>
      <c r="X427" s="118"/>
      <c r="Z427" s="67" t="str">
        <f t="shared" si="192"/>
        <v/>
      </c>
      <c r="AA427" s="13">
        <f t="shared" si="193"/>
        <v>0</v>
      </c>
      <c r="AB427" s="17">
        <f t="shared" si="194"/>
        <v>0</v>
      </c>
      <c r="AC427" s="163" t="str">
        <f t="shared" si="195"/>
        <v/>
      </c>
      <c r="AD427" s="119"/>
      <c r="AE427" s="21"/>
      <c r="AF427" s="121"/>
      <c r="AG427" s="122"/>
      <c r="AH427" s="83" t="str">
        <f t="shared" si="196"/>
        <v/>
      </c>
      <c r="AI427" s="115"/>
      <c r="AJ427" s="116"/>
      <c r="AK427" s="83" t="str">
        <f t="shared" si="197"/>
        <v/>
      </c>
      <c r="AL427" s="85" t="str">
        <f t="shared" si="198"/>
        <v/>
      </c>
      <c r="AM427" s="254" t="str">
        <f t="shared" si="199"/>
        <v/>
      </c>
      <c r="AN427" s="254" t="str">
        <f t="shared" ca="1" si="200"/>
        <v/>
      </c>
      <c r="AO427" s="255" t="str">
        <f t="shared" si="201"/>
        <v/>
      </c>
    </row>
    <row r="428" spans="2:41" x14ac:dyDescent="0.25">
      <c r="B428" s="321"/>
      <c r="C428" s="17"/>
      <c r="E428" s="117"/>
      <c r="F428" s="4" t="str">
        <f t="shared" si="179"/>
        <v/>
      </c>
      <c r="G428" s="4" t="str">
        <f t="shared" si="180"/>
        <v/>
      </c>
      <c r="H428" s="4" t="str">
        <f t="shared" si="181"/>
        <v/>
      </c>
      <c r="I428" s="4" t="str">
        <f t="shared" si="182"/>
        <v/>
      </c>
      <c r="J428" s="247"/>
      <c r="K428" s="117"/>
      <c r="L428" s="4" t="str">
        <f t="shared" si="183"/>
        <v/>
      </c>
      <c r="M428" s="4" t="str">
        <f t="shared" si="184"/>
        <v/>
      </c>
      <c r="N428" s="4" t="str">
        <f t="shared" si="185"/>
        <v/>
      </c>
      <c r="O428" s="4" t="str">
        <f t="shared" si="186"/>
        <v/>
      </c>
      <c r="P428" s="247"/>
      <c r="Q428" s="117"/>
      <c r="R428" s="4" t="str">
        <f t="shared" si="187"/>
        <v/>
      </c>
      <c r="S428" s="4" t="str">
        <f t="shared" si="188"/>
        <v/>
      </c>
      <c r="T428" s="4" t="str">
        <f t="shared" si="189"/>
        <v/>
      </c>
      <c r="U428" s="4" t="str">
        <f t="shared" si="190"/>
        <v/>
      </c>
      <c r="V428" s="247"/>
      <c r="W428" s="67" t="str">
        <f t="shared" si="191"/>
        <v/>
      </c>
      <c r="X428" s="118"/>
      <c r="Z428" s="67" t="str">
        <f t="shared" si="192"/>
        <v/>
      </c>
      <c r="AA428" s="13">
        <f t="shared" si="193"/>
        <v>0</v>
      </c>
      <c r="AB428" s="17">
        <f t="shared" si="194"/>
        <v>0</v>
      </c>
      <c r="AC428" s="163" t="str">
        <f t="shared" si="195"/>
        <v/>
      </c>
      <c r="AD428" s="119"/>
      <c r="AE428" s="21"/>
      <c r="AF428" s="121"/>
      <c r="AG428" s="122"/>
      <c r="AH428" s="83" t="str">
        <f t="shared" si="196"/>
        <v/>
      </c>
      <c r="AI428" s="115"/>
      <c r="AJ428" s="116"/>
      <c r="AK428" s="83" t="str">
        <f t="shared" si="197"/>
        <v/>
      </c>
      <c r="AL428" s="85" t="str">
        <f t="shared" si="198"/>
        <v/>
      </c>
      <c r="AM428" s="254" t="str">
        <f t="shared" si="199"/>
        <v/>
      </c>
      <c r="AN428" s="254" t="str">
        <f t="shared" ca="1" si="200"/>
        <v/>
      </c>
      <c r="AO428" s="255" t="str">
        <f t="shared" si="201"/>
        <v/>
      </c>
    </row>
    <row r="429" spans="2:41" x14ac:dyDescent="0.25">
      <c r="B429" s="321"/>
      <c r="C429" s="17"/>
      <c r="E429" s="117"/>
      <c r="F429" s="4" t="str">
        <f t="shared" si="179"/>
        <v/>
      </c>
      <c r="G429" s="4" t="str">
        <f t="shared" si="180"/>
        <v/>
      </c>
      <c r="H429" s="4" t="str">
        <f t="shared" si="181"/>
        <v/>
      </c>
      <c r="I429" s="4" t="str">
        <f t="shared" si="182"/>
        <v/>
      </c>
      <c r="J429" s="247"/>
      <c r="K429" s="117"/>
      <c r="L429" s="4" t="str">
        <f t="shared" si="183"/>
        <v/>
      </c>
      <c r="M429" s="4" t="str">
        <f t="shared" si="184"/>
        <v/>
      </c>
      <c r="N429" s="4" t="str">
        <f t="shared" si="185"/>
        <v/>
      </c>
      <c r="O429" s="4" t="str">
        <f t="shared" si="186"/>
        <v/>
      </c>
      <c r="P429" s="247"/>
      <c r="Q429" s="117"/>
      <c r="R429" s="4" t="str">
        <f t="shared" si="187"/>
        <v/>
      </c>
      <c r="S429" s="4" t="str">
        <f t="shared" si="188"/>
        <v/>
      </c>
      <c r="T429" s="4" t="str">
        <f t="shared" si="189"/>
        <v/>
      </c>
      <c r="U429" s="4" t="str">
        <f t="shared" si="190"/>
        <v/>
      </c>
      <c r="V429" s="247"/>
      <c r="W429" s="67" t="str">
        <f t="shared" si="191"/>
        <v/>
      </c>
      <c r="X429" s="118"/>
      <c r="Z429" s="67" t="str">
        <f t="shared" si="192"/>
        <v/>
      </c>
      <c r="AA429" s="13">
        <f t="shared" si="193"/>
        <v>0</v>
      </c>
      <c r="AB429" s="17">
        <f t="shared" si="194"/>
        <v>0</v>
      </c>
      <c r="AC429" s="163" t="str">
        <f t="shared" si="195"/>
        <v/>
      </c>
      <c r="AD429" s="119"/>
      <c r="AE429" s="21"/>
      <c r="AF429" s="121"/>
      <c r="AG429" s="122"/>
      <c r="AH429" s="83" t="str">
        <f t="shared" si="196"/>
        <v/>
      </c>
      <c r="AI429" s="115"/>
      <c r="AJ429" s="116"/>
      <c r="AK429" s="83" t="str">
        <f t="shared" si="197"/>
        <v/>
      </c>
      <c r="AL429" s="85" t="str">
        <f t="shared" si="198"/>
        <v/>
      </c>
      <c r="AM429" s="254" t="str">
        <f t="shared" si="199"/>
        <v/>
      </c>
      <c r="AN429" s="254" t="str">
        <f t="shared" ca="1" si="200"/>
        <v/>
      </c>
      <c r="AO429" s="255" t="str">
        <f t="shared" si="201"/>
        <v/>
      </c>
    </row>
    <row r="430" spans="2:41" x14ac:dyDescent="0.25">
      <c r="B430" s="321"/>
      <c r="C430" s="17"/>
      <c r="E430" s="117"/>
      <c r="F430" s="4" t="str">
        <f t="shared" si="179"/>
        <v/>
      </c>
      <c r="G430" s="4" t="str">
        <f t="shared" si="180"/>
        <v/>
      </c>
      <c r="H430" s="4" t="str">
        <f t="shared" si="181"/>
        <v/>
      </c>
      <c r="I430" s="4" t="str">
        <f t="shared" si="182"/>
        <v/>
      </c>
      <c r="J430" s="247"/>
      <c r="K430" s="117"/>
      <c r="L430" s="4" t="str">
        <f t="shared" si="183"/>
        <v/>
      </c>
      <c r="M430" s="4" t="str">
        <f t="shared" si="184"/>
        <v/>
      </c>
      <c r="N430" s="4" t="str">
        <f t="shared" si="185"/>
        <v/>
      </c>
      <c r="O430" s="4" t="str">
        <f t="shared" si="186"/>
        <v/>
      </c>
      <c r="P430" s="247"/>
      <c r="Q430" s="117"/>
      <c r="R430" s="4" t="str">
        <f t="shared" si="187"/>
        <v/>
      </c>
      <c r="S430" s="4" t="str">
        <f t="shared" si="188"/>
        <v/>
      </c>
      <c r="T430" s="4" t="str">
        <f t="shared" si="189"/>
        <v/>
      </c>
      <c r="U430" s="4" t="str">
        <f t="shared" si="190"/>
        <v/>
      </c>
      <c r="V430" s="247"/>
      <c r="W430" s="67" t="str">
        <f t="shared" si="191"/>
        <v/>
      </c>
      <c r="X430" s="118"/>
      <c r="Z430" s="67" t="str">
        <f t="shared" si="192"/>
        <v/>
      </c>
      <c r="AA430" s="13">
        <f t="shared" si="193"/>
        <v>0</v>
      </c>
      <c r="AB430" s="17">
        <f t="shared" si="194"/>
        <v>0</v>
      </c>
      <c r="AC430" s="163" t="str">
        <f t="shared" si="195"/>
        <v/>
      </c>
      <c r="AD430" s="119"/>
      <c r="AE430" s="21"/>
      <c r="AF430" s="121"/>
      <c r="AG430" s="122"/>
      <c r="AH430" s="83"/>
      <c r="AI430" s="115"/>
      <c r="AJ430" s="116"/>
      <c r="AK430" s="83"/>
      <c r="AL430" s="85"/>
      <c r="AM430" s="254"/>
      <c r="AN430" s="254"/>
      <c r="AO430" s="255"/>
    </row>
    <row r="431" spans="2:41" x14ac:dyDescent="0.25">
      <c r="B431" s="321"/>
      <c r="C431" s="17"/>
      <c r="E431" s="117"/>
      <c r="F431" s="4" t="str">
        <f t="shared" si="179"/>
        <v/>
      </c>
      <c r="G431" s="4" t="str">
        <f t="shared" si="180"/>
        <v/>
      </c>
      <c r="H431" s="4" t="str">
        <f t="shared" si="181"/>
        <v/>
      </c>
      <c r="I431" s="4" t="str">
        <f t="shared" si="182"/>
        <v/>
      </c>
      <c r="J431" s="247"/>
      <c r="K431" s="117"/>
      <c r="L431" s="4" t="str">
        <f t="shared" si="183"/>
        <v/>
      </c>
      <c r="M431" s="4" t="str">
        <f t="shared" si="184"/>
        <v/>
      </c>
      <c r="N431" s="4" t="str">
        <f t="shared" si="185"/>
        <v/>
      </c>
      <c r="O431" s="4" t="str">
        <f t="shared" si="186"/>
        <v/>
      </c>
      <c r="P431" s="247"/>
      <c r="Q431" s="117"/>
      <c r="R431" s="4" t="str">
        <f t="shared" si="187"/>
        <v/>
      </c>
      <c r="S431" s="4" t="str">
        <f t="shared" si="188"/>
        <v/>
      </c>
      <c r="T431" s="4" t="str">
        <f t="shared" si="189"/>
        <v/>
      </c>
      <c r="U431" s="4" t="str">
        <f t="shared" si="190"/>
        <v/>
      </c>
      <c r="V431" s="247"/>
      <c r="W431" s="67" t="str">
        <f t="shared" si="191"/>
        <v/>
      </c>
      <c r="X431" s="118"/>
      <c r="Z431" s="67" t="str">
        <f t="shared" si="192"/>
        <v/>
      </c>
      <c r="AA431" s="13">
        <f t="shared" si="193"/>
        <v>0</v>
      </c>
      <c r="AB431" s="17">
        <f t="shared" si="194"/>
        <v>0</v>
      </c>
      <c r="AC431" s="163" t="str">
        <f t="shared" si="195"/>
        <v/>
      </c>
      <c r="AD431" s="119"/>
      <c r="AE431" s="21"/>
      <c r="AF431" s="121"/>
      <c r="AG431" s="122"/>
      <c r="AH431" s="83"/>
      <c r="AI431" s="115"/>
      <c r="AJ431" s="116"/>
      <c r="AK431" s="83"/>
      <c r="AL431" s="85"/>
      <c r="AM431" s="254"/>
      <c r="AN431" s="254"/>
      <c r="AO431" s="255"/>
    </row>
    <row r="432" spans="2:41" x14ac:dyDescent="0.25">
      <c r="B432" s="321"/>
      <c r="C432" s="17"/>
      <c r="E432" s="117"/>
      <c r="F432" s="4" t="str">
        <f t="shared" si="179"/>
        <v/>
      </c>
      <c r="G432" s="4" t="str">
        <f t="shared" si="180"/>
        <v/>
      </c>
      <c r="H432" s="4" t="str">
        <f t="shared" si="181"/>
        <v/>
      </c>
      <c r="I432" s="4" t="str">
        <f t="shared" si="182"/>
        <v/>
      </c>
      <c r="J432" s="247"/>
      <c r="K432" s="117"/>
      <c r="L432" s="4" t="str">
        <f t="shared" si="183"/>
        <v/>
      </c>
      <c r="M432" s="4" t="str">
        <f t="shared" si="184"/>
        <v/>
      </c>
      <c r="N432" s="4" t="str">
        <f t="shared" si="185"/>
        <v/>
      </c>
      <c r="O432" s="4" t="str">
        <f t="shared" si="186"/>
        <v/>
      </c>
      <c r="P432" s="247"/>
      <c r="Q432" s="117"/>
      <c r="R432" s="4" t="str">
        <f t="shared" si="187"/>
        <v/>
      </c>
      <c r="S432" s="4" t="str">
        <f t="shared" si="188"/>
        <v/>
      </c>
      <c r="T432" s="4" t="str">
        <f t="shared" si="189"/>
        <v/>
      </c>
      <c r="U432" s="4" t="str">
        <f t="shared" si="190"/>
        <v/>
      </c>
      <c r="V432" s="247"/>
      <c r="W432" s="67" t="str">
        <f t="shared" si="191"/>
        <v/>
      </c>
      <c r="X432" s="118"/>
      <c r="Z432" s="67" t="str">
        <f t="shared" si="192"/>
        <v/>
      </c>
      <c r="AA432" s="13">
        <f t="shared" si="193"/>
        <v>0</v>
      </c>
      <c r="AB432" s="17">
        <f t="shared" si="194"/>
        <v>0</v>
      </c>
      <c r="AC432" s="163" t="str">
        <f t="shared" si="195"/>
        <v/>
      </c>
      <c r="AD432" s="119"/>
      <c r="AE432" s="21"/>
      <c r="AF432" s="121"/>
      <c r="AG432" s="122"/>
      <c r="AH432" s="83"/>
      <c r="AI432" s="115"/>
      <c r="AJ432" s="116"/>
      <c r="AK432" s="83"/>
      <c r="AL432" s="85"/>
      <c r="AM432" s="254"/>
      <c r="AN432" s="254"/>
      <c r="AO432" s="255"/>
    </row>
    <row r="433" spans="2:41" x14ac:dyDescent="0.25">
      <c r="B433" s="321"/>
      <c r="C433" s="17"/>
      <c r="E433" s="117"/>
      <c r="F433" s="4" t="str">
        <f t="shared" si="179"/>
        <v/>
      </c>
      <c r="G433" s="4" t="str">
        <f t="shared" si="180"/>
        <v/>
      </c>
      <c r="H433" s="4" t="str">
        <f t="shared" si="181"/>
        <v/>
      </c>
      <c r="I433" s="4" t="str">
        <f t="shared" si="182"/>
        <v/>
      </c>
      <c r="J433" s="247"/>
      <c r="K433" s="117"/>
      <c r="L433" s="4" t="str">
        <f t="shared" si="183"/>
        <v/>
      </c>
      <c r="M433" s="4" t="str">
        <f t="shared" si="184"/>
        <v/>
      </c>
      <c r="N433" s="4" t="str">
        <f t="shared" si="185"/>
        <v/>
      </c>
      <c r="O433" s="4" t="str">
        <f t="shared" si="186"/>
        <v/>
      </c>
      <c r="P433" s="247"/>
      <c r="Q433" s="117"/>
      <c r="R433" s="4" t="str">
        <f t="shared" si="187"/>
        <v/>
      </c>
      <c r="S433" s="4" t="str">
        <f t="shared" si="188"/>
        <v/>
      </c>
      <c r="T433" s="4" t="str">
        <f t="shared" si="189"/>
        <v/>
      </c>
      <c r="U433" s="4" t="str">
        <f t="shared" si="190"/>
        <v/>
      </c>
      <c r="V433" s="247"/>
      <c r="W433" s="67" t="str">
        <f t="shared" si="191"/>
        <v/>
      </c>
      <c r="X433" s="118"/>
      <c r="Z433" s="67" t="str">
        <f t="shared" si="192"/>
        <v/>
      </c>
      <c r="AA433" s="13">
        <f t="shared" si="193"/>
        <v>0</v>
      </c>
      <c r="AB433" s="17">
        <f t="shared" si="194"/>
        <v>0</v>
      </c>
      <c r="AC433" s="163" t="str">
        <f t="shared" si="195"/>
        <v/>
      </c>
      <c r="AD433" s="119"/>
      <c r="AE433" s="21"/>
      <c r="AF433" s="121"/>
      <c r="AG433" s="122"/>
      <c r="AH433" s="83"/>
      <c r="AI433" s="115"/>
      <c r="AJ433" s="116"/>
      <c r="AK433" s="83"/>
      <c r="AL433" s="85"/>
      <c r="AM433" s="254"/>
      <c r="AN433" s="254"/>
      <c r="AO433" s="255"/>
    </row>
    <row r="434" spans="2:41" x14ac:dyDescent="0.25">
      <c r="B434" s="321"/>
      <c r="C434" s="17"/>
      <c r="E434" s="117"/>
      <c r="F434" s="4" t="str">
        <f t="shared" si="179"/>
        <v/>
      </c>
      <c r="G434" s="4" t="str">
        <f t="shared" si="180"/>
        <v/>
      </c>
      <c r="H434" s="4" t="str">
        <f t="shared" si="181"/>
        <v/>
      </c>
      <c r="I434" s="4" t="str">
        <f t="shared" si="182"/>
        <v/>
      </c>
      <c r="J434" s="247"/>
      <c r="K434" s="117"/>
      <c r="L434" s="4" t="str">
        <f t="shared" si="183"/>
        <v/>
      </c>
      <c r="M434" s="4" t="str">
        <f t="shared" si="184"/>
        <v/>
      </c>
      <c r="N434" s="4" t="str">
        <f t="shared" si="185"/>
        <v/>
      </c>
      <c r="O434" s="4" t="str">
        <f t="shared" si="186"/>
        <v/>
      </c>
      <c r="P434" s="247"/>
      <c r="Q434" s="117"/>
      <c r="R434" s="4" t="str">
        <f t="shared" si="187"/>
        <v/>
      </c>
      <c r="S434" s="4" t="str">
        <f t="shared" si="188"/>
        <v/>
      </c>
      <c r="T434" s="4" t="str">
        <f t="shared" si="189"/>
        <v/>
      </c>
      <c r="U434" s="4" t="str">
        <f t="shared" si="190"/>
        <v/>
      </c>
      <c r="V434" s="247"/>
      <c r="W434" s="67" t="str">
        <f t="shared" si="191"/>
        <v/>
      </c>
      <c r="X434" s="118"/>
      <c r="Z434" s="67" t="str">
        <f t="shared" si="192"/>
        <v/>
      </c>
      <c r="AA434" s="13">
        <f t="shared" si="193"/>
        <v>0</v>
      </c>
      <c r="AB434" s="17">
        <f t="shared" si="194"/>
        <v>0</v>
      </c>
      <c r="AC434" s="163" t="str">
        <f t="shared" si="195"/>
        <v/>
      </c>
      <c r="AD434" s="119"/>
      <c r="AE434" s="21"/>
      <c r="AF434" s="121"/>
      <c r="AG434" s="122"/>
      <c r="AH434" s="83"/>
      <c r="AI434" s="115"/>
      <c r="AJ434" s="116"/>
      <c r="AK434" s="83"/>
      <c r="AL434" s="85"/>
      <c r="AM434" s="254"/>
      <c r="AN434" s="254"/>
      <c r="AO434" s="255"/>
    </row>
    <row r="435" spans="2:41" x14ac:dyDescent="0.25">
      <c r="B435" s="321"/>
      <c r="C435" s="17"/>
      <c r="E435" s="117"/>
      <c r="F435" s="4" t="str">
        <f t="shared" si="179"/>
        <v/>
      </c>
      <c r="G435" s="4" t="str">
        <f t="shared" si="180"/>
        <v/>
      </c>
      <c r="H435" s="4" t="str">
        <f t="shared" si="181"/>
        <v/>
      </c>
      <c r="I435" s="4" t="str">
        <f t="shared" si="182"/>
        <v/>
      </c>
      <c r="J435" s="247"/>
      <c r="K435" s="117"/>
      <c r="L435" s="4" t="str">
        <f t="shared" si="183"/>
        <v/>
      </c>
      <c r="M435" s="4" t="str">
        <f t="shared" si="184"/>
        <v/>
      </c>
      <c r="N435" s="4" t="str">
        <f t="shared" si="185"/>
        <v/>
      </c>
      <c r="O435" s="4" t="str">
        <f t="shared" si="186"/>
        <v/>
      </c>
      <c r="P435" s="247"/>
      <c r="Q435" s="117"/>
      <c r="R435" s="4" t="str">
        <f t="shared" si="187"/>
        <v/>
      </c>
      <c r="S435" s="4" t="str">
        <f t="shared" si="188"/>
        <v/>
      </c>
      <c r="T435" s="4" t="str">
        <f t="shared" si="189"/>
        <v/>
      </c>
      <c r="U435" s="4" t="str">
        <f t="shared" si="190"/>
        <v/>
      </c>
      <c r="V435" s="247"/>
      <c r="W435" s="67" t="str">
        <f t="shared" si="191"/>
        <v/>
      </c>
      <c r="X435" s="118"/>
      <c r="Z435" s="67" t="str">
        <f t="shared" si="192"/>
        <v/>
      </c>
      <c r="AA435" s="13">
        <f t="shared" si="193"/>
        <v>0</v>
      </c>
      <c r="AB435" s="17">
        <f t="shared" si="194"/>
        <v>0</v>
      </c>
      <c r="AC435" s="163" t="str">
        <f t="shared" si="195"/>
        <v/>
      </c>
      <c r="AD435" s="119"/>
      <c r="AE435" s="21"/>
      <c r="AF435" s="121"/>
      <c r="AG435" s="122"/>
      <c r="AH435" s="83"/>
      <c r="AI435" s="115"/>
      <c r="AJ435" s="116"/>
      <c r="AK435" s="83"/>
      <c r="AL435" s="85"/>
      <c r="AM435" s="254"/>
      <c r="AN435" s="254"/>
      <c r="AO435" s="255"/>
    </row>
    <row r="436" spans="2:41" x14ac:dyDescent="0.25">
      <c r="B436" s="321"/>
      <c r="C436" s="17"/>
      <c r="E436" s="117"/>
      <c r="F436" s="4" t="str">
        <f t="shared" si="179"/>
        <v/>
      </c>
      <c r="G436" s="4" t="str">
        <f t="shared" si="180"/>
        <v/>
      </c>
      <c r="H436" s="4" t="str">
        <f t="shared" si="181"/>
        <v/>
      </c>
      <c r="I436" s="4" t="str">
        <f t="shared" si="182"/>
        <v/>
      </c>
      <c r="J436" s="247"/>
      <c r="K436" s="117"/>
      <c r="L436" s="4" t="str">
        <f t="shared" si="183"/>
        <v/>
      </c>
      <c r="M436" s="4" t="str">
        <f t="shared" si="184"/>
        <v/>
      </c>
      <c r="N436" s="4" t="str">
        <f t="shared" si="185"/>
        <v/>
      </c>
      <c r="O436" s="4" t="str">
        <f t="shared" si="186"/>
        <v/>
      </c>
      <c r="P436" s="247"/>
      <c r="Q436" s="117"/>
      <c r="R436" s="4" t="str">
        <f t="shared" si="187"/>
        <v/>
      </c>
      <c r="S436" s="4" t="str">
        <f t="shared" si="188"/>
        <v/>
      </c>
      <c r="T436" s="4" t="str">
        <f t="shared" si="189"/>
        <v/>
      </c>
      <c r="U436" s="4" t="str">
        <f t="shared" si="190"/>
        <v/>
      </c>
      <c r="V436" s="247"/>
      <c r="W436" s="67" t="str">
        <f t="shared" si="191"/>
        <v/>
      </c>
      <c r="X436" s="118"/>
      <c r="Z436" s="67" t="str">
        <f t="shared" si="192"/>
        <v/>
      </c>
      <c r="AA436" s="13">
        <f t="shared" si="193"/>
        <v>0</v>
      </c>
      <c r="AB436" s="17">
        <f t="shared" si="194"/>
        <v>0</v>
      </c>
      <c r="AC436" s="163" t="str">
        <f t="shared" si="195"/>
        <v/>
      </c>
      <c r="AD436" s="119"/>
      <c r="AE436" s="21"/>
      <c r="AF436" s="121"/>
      <c r="AG436" s="122"/>
      <c r="AH436" s="83" t="str">
        <f t="shared" ref="AH436:AH490" si="202">IF(AG436&lt;&gt;0,((AF436+AG436)-(AD436+AE436)),"")</f>
        <v/>
      </c>
      <c r="AI436" s="115"/>
      <c r="AJ436" s="116"/>
      <c r="AK436" s="83" t="str">
        <f t="shared" ref="AK436:AK490" si="203">IF(AJ436&lt;&gt;0,((AI436+AJ436)-(AF436+AG436)),"")</f>
        <v/>
      </c>
      <c r="AL436" s="85" t="str">
        <f t="shared" ref="AL436:AL490" si="204">IFERROR((AH436+AK436),"")</f>
        <v/>
      </c>
      <c r="AM436" s="254" t="str">
        <f t="shared" ref="AM436:AM490" si="205">IF(AK436="","",AI436+AJ436)</f>
        <v/>
      </c>
      <c r="AN436" s="254" t="str">
        <f t="shared" ref="AN436:AN499" ca="1" si="206">IF(AK436="","",NOW())</f>
        <v/>
      </c>
      <c r="AO436" s="255" t="str">
        <f t="shared" ref="AO436:AO490" si="207">IF(AK436="","",AN436-AM436)</f>
        <v/>
      </c>
    </row>
    <row r="437" spans="2:41" x14ac:dyDescent="0.25">
      <c r="B437" s="321"/>
      <c r="C437" s="17"/>
      <c r="E437" s="117"/>
      <c r="F437" s="4" t="str">
        <f t="shared" ref="F437:F440" si="208">IFERROR(IF(VLOOKUP($E437,Inward,2,FALSE)&gt;0,VLOOKUP($E437,Inward,2,FALSE),""),"")</f>
        <v/>
      </c>
      <c r="G437" s="4" t="str">
        <f t="shared" ref="G437:G440" si="209">IFERROR(IF(VLOOKUP($E437,Inward,7,FALSE)&gt;0,VLOOKUP($E437,Inward,7,FALSE),""),"")</f>
        <v/>
      </c>
      <c r="H437" s="4" t="str">
        <f t="shared" ref="H437:H440" si="210">IFERROR(IF(VLOOKUP($E437,Inward,8,FALSE)&gt;0,VLOOKUP($E437,Inward,8,FALSE),""),"")</f>
        <v/>
      </c>
      <c r="I437" s="4" t="str">
        <f t="shared" ref="I437:I440" si="211">IFERROR(IF(VLOOKUP($E437,Inward,11,FALSE)&gt;0,VLOOKUP($E437,Inward,11,FALSE),""),"")</f>
        <v/>
      </c>
      <c r="J437" s="247"/>
      <c r="K437" s="117"/>
      <c r="L437" s="4" t="str">
        <f t="shared" ref="L437:L448" si="212">IFERROR(IF(VLOOKUP($K437,Inward,2,FALSE)&gt;0,VLOOKUP($K437,Inward,2,FALSE),""),"")</f>
        <v/>
      </c>
      <c r="M437" s="4" t="str">
        <f t="shared" ref="M437:M448" si="213">IFERROR(IF(VLOOKUP($K437,Inward,7,FALSE)&gt;0,VLOOKUP($K437,Inward,7,FALSE),""),"")</f>
        <v/>
      </c>
      <c r="N437" s="4" t="str">
        <f t="shared" ref="N437:N448" si="214">IFERROR(IF(VLOOKUP($K437,Inward,8,FALSE)&gt;0,VLOOKUP($K437,Inward,8,FALSE),""),"")</f>
        <v/>
      </c>
      <c r="O437" s="4" t="str">
        <f t="shared" ref="O437:O448" si="215">IFERROR(IF(VLOOKUP($K437,Inward,11,FALSE)&gt;0,VLOOKUP($K437,Inward,11,FALSE),""),"")</f>
        <v/>
      </c>
      <c r="P437" s="247"/>
      <c r="Q437" s="117"/>
      <c r="R437" s="4" t="str">
        <f t="shared" ref="R437:R448" si="216">IFERROR(IF(VLOOKUP($Q437,Inward,2,FALSE)&gt;0,VLOOKUP($Q437,Inward,2,FALSE),""),"")</f>
        <v/>
      </c>
      <c r="S437" s="4" t="str">
        <f t="shared" ref="S437:S448" si="217">IFERROR(IF(VLOOKUP($Q437,Inward,7,FALSE)&gt;0,VLOOKUP($Q437,Inward,7,FALSE),""),"")</f>
        <v/>
      </c>
      <c r="T437" s="4" t="str">
        <f t="shared" ref="T437:T448" si="218">IFERROR(IF(VLOOKUP($Q437,Inward,8,FALSE)&gt;0,VLOOKUP($Q437,Inward,8,FALSE),""),"")</f>
        <v/>
      </c>
      <c r="U437" s="4" t="str">
        <f t="shared" ref="U437:U448" si="219">IFERROR(IF(VLOOKUP($Q437,Inward,11,FALSE)&gt;0,VLOOKUP($Q437,Inward,11,FALSE),""),"")</f>
        <v/>
      </c>
      <c r="V437" s="247"/>
      <c r="W437" s="67" t="str">
        <f t="shared" ref="W437:W443" si="220">IF(SUM(I437,O437,U437)&gt;0,(SUM(I437,O437,U437)),"")</f>
        <v/>
      </c>
      <c r="X437" s="118"/>
      <c r="Z437" s="67" t="str">
        <f t="shared" ref="Z437:Z443" si="221">IF(SUM(W437,Y437)&gt;0,(SUM(W437,Y437)),"")</f>
        <v/>
      </c>
      <c r="AA437" s="13">
        <f t="shared" ref="AA437:AA443" si="222">B437</f>
        <v>0</v>
      </c>
      <c r="AB437" s="17">
        <f t="shared" ref="AB437:AB443" si="223">C437</f>
        <v>0</v>
      </c>
      <c r="AC437" s="163" t="str">
        <f t="shared" ref="AC437:AC443" si="224">F437</f>
        <v/>
      </c>
      <c r="AD437" s="119"/>
      <c r="AE437" s="21"/>
      <c r="AF437" s="121"/>
      <c r="AG437" s="122"/>
      <c r="AH437" s="83" t="str">
        <f t="shared" si="202"/>
        <v/>
      </c>
      <c r="AI437" s="115"/>
      <c r="AJ437" s="116"/>
      <c r="AK437" s="83" t="str">
        <f t="shared" si="203"/>
        <v/>
      </c>
      <c r="AL437" s="85" t="str">
        <f t="shared" si="204"/>
        <v/>
      </c>
      <c r="AM437" s="254" t="str">
        <f t="shared" si="205"/>
        <v/>
      </c>
      <c r="AN437" s="254" t="str">
        <f t="shared" ca="1" si="206"/>
        <v/>
      </c>
      <c r="AO437" s="255" t="str">
        <f t="shared" si="207"/>
        <v/>
      </c>
    </row>
    <row r="438" spans="2:41" x14ac:dyDescent="0.25">
      <c r="B438" s="321"/>
      <c r="C438" s="17"/>
      <c r="E438" s="117"/>
      <c r="F438" s="4" t="str">
        <f t="shared" si="208"/>
        <v/>
      </c>
      <c r="G438" s="4" t="str">
        <f t="shared" si="209"/>
        <v/>
      </c>
      <c r="H438" s="4" t="str">
        <f t="shared" si="210"/>
        <v/>
      </c>
      <c r="I438" s="4" t="str">
        <f t="shared" si="211"/>
        <v/>
      </c>
      <c r="J438" s="247"/>
      <c r="K438" s="117"/>
      <c r="L438" s="4" t="str">
        <f t="shared" si="212"/>
        <v/>
      </c>
      <c r="M438" s="4" t="str">
        <f t="shared" si="213"/>
        <v/>
      </c>
      <c r="N438" s="4" t="str">
        <f t="shared" si="214"/>
        <v/>
      </c>
      <c r="O438" s="4" t="str">
        <f t="shared" si="215"/>
        <v/>
      </c>
      <c r="P438" s="247"/>
      <c r="Q438" s="117"/>
      <c r="R438" s="4" t="str">
        <f t="shared" si="216"/>
        <v/>
      </c>
      <c r="S438" s="4" t="str">
        <f t="shared" si="217"/>
        <v/>
      </c>
      <c r="T438" s="4" t="str">
        <f t="shared" si="218"/>
        <v/>
      </c>
      <c r="U438" s="4" t="str">
        <f t="shared" si="219"/>
        <v/>
      </c>
      <c r="V438" s="247"/>
      <c r="W438" s="67" t="str">
        <f t="shared" si="220"/>
        <v/>
      </c>
      <c r="X438" s="118"/>
      <c r="Z438" s="67" t="str">
        <f t="shared" si="221"/>
        <v/>
      </c>
      <c r="AA438" s="13">
        <f t="shared" si="222"/>
        <v>0</v>
      </c>
      <c r="AB438" s="17">
        <f t="shared" si="223"/>
        <v>0</v>
      </c>
      <c r="AC438" s="163" t="str">
        <f t="shared" si="224"/>
        <v/>
      </c>
      <c r="AD438" s="119"/>
      <c r="AE438" s="21"/>
      <c r="AF438" s="121"/>
      <c r="AG438" s="122"/>
      <c r="AH438" s="83" t="str">
        <f t="shared" si="202"/>
        <v/>
      </c>
      <c r="AI438" s="115"/>
      <c r="AJ438" s="116"/>
      <c r="AK438" s="83" t="str">
        <f t="shared" si="203"/>
        <v/>
      </c>
      <c r="AL438" s="85" t="str">
        <f t="shared" si="204"/>
        <v/>
      </c>
      <c r="AM438" s="254" t="str">
        <f t="shared" si="205"/>
        <v/>
      </c>
      <c r="AN438" s="254" t="str">
        <f t="shared" ca="1" si="206"/>
        <v/>
      </c>
      <c r="AO438" s="255" t="str">
        <f t="shared" si="207"/>
        <v/>
      </c>
    </row>
    <row r="439" spans="2:41" x14ac:dyDescent="0.25">
      <c r="B439" s="321"/>
      <c r="C439" s="17"/>
      <c r="E439" s="117"/>
      <c r="F439" s="4" t="str">
        <f t="shared" si="208"/>
        <v/>
      </c>
      <c r="G439" s="4" t="str">
        <f t="shared" si="209"/>
        <v/>
      </c>
      <c r="H439" s="4" t="str">
        <f t="shared" si="210"/>
        <v/>
      </c>
      <c r="I439" s="4" t="str">
        <f t="shared" si="211"/>
        <v/>
      </c>
      <c r="J439" s="247"/>
      <c r="K439" s="117"/>
      <c r="L439" s="4" t="str">
        <f t="shared" si="212"/>
        <v/>
      </c>
      <c r="M439" s="4" t="str">
        <f t="shared" si="213"/>
        <v/>
      </c>
      <c r="N439" s="4" t="str">
        <f t="shared" si="214"/>
        <v/>
      </c>
      <c r="O439" s="4" t="str">
        <f t="shared" si="215"/>
        <v/>
      </c>
      <c r="P439" s="247"/>
      <c r="Q439" s="117"/>
      <c r="R439" s="4" t="str">
        <f t="shared" si="216"/>
        <v/>
      </c>
      <c r="S439" s="4" t="str">
        <f t="shared" si="217"/>
        <v/>
      </c>
      <c r="T439" s="4" t="str">
        <f t="shared" si="218"/>
        <v/>
      </c>
      <c r="U439" s="4" t="str">
        <f t="shared" si="219"/>
        <v/>
      </c>
      <c r="V439" s="247"/>
      <c r="W439" s="67" t="str">
        <f t="shared" si="220"/>
        <v/>
      </c>
      <c r="X439" s="118"/>
      <c r="Z439" s="67" t="str">
        <f t="shared" si="221"/>
        <v/>
      </c>
      <c r="AA439" s="13">
        <f t="shared" si="222"/>
        <v>0</v>
      </c>
      <c r="AB439" s="17">
        <f t="shared" si="223"/>
        <v>0</v>
      </c>
      <c r="AC439" s="163" t="str">
        <f t="shared" si="224"/>
        <v/>
      </c>
      <c r="AD439" s="119"/>
      <c r="AE439" s="21"/>
      <c r="AF439" s="121"/>
      <c r="AG439" s="122"/>
      <c r="AH439" s="83" t="str">
        <f t="shared" si="202"/>
        <v/>
      </c>
      <c r="AI439" s="115"/>
      <c r="AJ439" s="116"/>
      <c r="AK439" s="83" t="str">
        <f t="shared" si="203"/>
        <v/>
      </c>
      <c r="AL439" s="85" t="str">
        <f t="shared" si="204"/>
        <v/>
      </c>
      <c r="AM439" s="254" t="str">
        <f t="shared" si="205"/>
        <v/>
      </c>
      <c r="AN439" s="254" t="str">
        <f t="shared" ca="1" si="206"/>
        <v/>
      </c>
      <c r="AO439" s="255" t="str">
        <f t="shared" si="207"/>
        <v/>
      </c>
    </row>
    <row r="440" spans="2:41" x14ac:dyDescent="0.25">
      <c r="B440" s="321"/>
      <c r="C440" s="17"/>
      <c r="E440" s="117"/>
      <c r="F440" s="4" t="str">
        <f t="shared" si="208"/>
        <v/>
      </c>
      <c r="G440" s="4" t="str">
        <f t="shared" si="209"/>
        <v/>
      </c>
      <c r="H440" s="4" t="str">
        <f t="shared" si="210"/>
        <v/>
      </c>
      <c r="I440" s="4" t="str">
        <f t="shared" si="211"/>
        <v/>
      </c>
      <c r="J440" s="247"/>
      <c r="K440" s="117"/>
      <c r="L440" s="4" t="str">
        <f t="shared" si="212"/>
        <v/>
      </c>
      <c r="M440" s="4" t="str">
        <f t="shared" si="213"/>
        <v/>
      </c>
      <c r="N440" s="4" t="str">
        <f t="shared" si="214"/>
        <v/>
      </c>
      <c r="O440" s="4" t="str">
        <f t="shared" si="215"/>
        <v/>
      </c>
      <c r="P440" s="247"/>
      <c r="Q440" s="117"/>
      <c r="R440" s="4" t="str">
        <f t="shared" si="216"/>
        <v/>
      </c>
      <c r="S440" s="4" t="str">
        <f t="shared" si="217"/>
        <v/>
      </c>
      <c r="T440" s="4" t="str">
        <f t="shared" si="218"/>
        <v/>
      </c>
      <c r="U440" s="4" t="str">
        <f t="shared" si="219"/>
        <v/>
      </c>
      <c r="V440" s="247"/>
      <c r="W440" s="67" t="str">
        <f t="shared" si="220"/>
        <v/>
      </c>
      <c r="X440" s="118"/>
      <c r="Z440" s="67" t="str">
        <f t="shared" si="221"/>
        <v/>
      </c>
      <c r="AA440" s="13">
        <f t="shared" si="222"/>
        <v>0</v>
      </c>
      <c r="AB440" s="17">
        <f t="shared" si="223"/>
        <v>0</v>
      </c>
      <c r="AC440" s="163" t="str">
        <f t="shared" si="224"/>
        <v/>
      </c>
      <c r="AD440" s="119"/>
      <c r="AE440" s="21"/>
      <c r="AF440" s="121"/>
      <c r="AG440" s="122"/>
      <c r="AH440" s="83" t="str">
        <f t="shared" si="202"/>
        <v/>
      </c>
      <c r="AI440" s="115"/>
      <c r="AJ440" s="116"/>
      <c r="AK440" s="83" t="str">
        <f t="shared" si="203"/>
        <v/>
      </c>
      <c r="AL440" s="85" t="str">
        <f t="shared" si="204"/>
        <v/>
      </c>
      <c r="AM440" s="254" t="str">
        <f t="shared" si="205"/>
        <v/>
      </c>
      <c r="AN440" s="254" t="str">
        <f t="shared" ca="1" si="206"/>
        <v/>
      </c>
      <c r="AO440" s="255" t="str">
        <f t="shared" si="207"/>
        <v/>
      </c>
    </row>
    <row r="441" spans="2:41" x14ac:dyDescent="0.25">
      <c r="B441" s="321"/>
      <c r="C441" s="17"/>
      <c r="E441" s="117"/>
      <c r="F441" s="4" t="str">
        <f t="shared" ref="F441:F504" si="225">IFERROR(IF(VLOOKUP($E441,Inward,2,FALSE)&gt;0,VLOOKUP($E441,Inward,2,FALSE),""),"")</f>
        <v/>
      </c>
      <c r="G441" s="4" t="str">
        <f t="shared" ref="G441:G504" si="226">IFERROR(IF(VLOOKUP($E441,Inward,7,FALSE)&gt;0,VLOOKUP($E441,Inward,7,FALSE),""),"")</f>
        <v/>
      </c>
      <c r="H441" s="4" t="str">
        <f t="shared" ref="H441:H504" si="227">IFERROR(IF(VLOOKUP($E441,Inward,8,FALSE)&gt;0,VLOOKUP($E441,Inward,8,FALSE),""),"")</f>
        <v/>
      </c>
      <c r="I441" s="4" t="str">
        <f t="shared" ref="I441:I504" si="228">IFERROR(IF(VLOOKUP($E441,Inward,11,FALSE)&gt;0,VLOOKUP($E441,Inward,11,FALSE),""),"")</f>
        <v/>
      </c>
      <c r="J441" s="247"/>
      <c r="K441" s="117"/>
      <c r="L441" s="4" t="str">
        <f t="shared" si="212"/>
        <v/>
      </c>
      <c r="M441" s="4" t="str">
        <f t="shared" si="213"/>
        <v/>
      </c>
      <c r="N441" s="4" t="str">
        <f t="shared" si="214"/>
        <v/>
      </c>
      <c r="O441" s="4" t="str">
        <f t="shared" si="215"/>
        <v/>
      </c>
      <c r="P441" s="247"/>
      <c r="Q441" s="117"/>
      <c r="R441" s="4" t="str">
        <f t="shared" si="216"/>
        <v/>
      </c>
      <c r="S441" s="4" t="str">
        <f t="shared" si="217"/>
        <v/>
      </c>
      <c r="T441" s="4" t="str">
        <f t="shared" si="218"/>
        <v/>
      </c>
      <c r="U441" s="4" t="str">
        <f t="shared" si="219"/>
        <v/>
      </c>
      <c r="V441" s="247"/>
      <c r="W441" s="67" t="str">
        <f t="shared" si="220"/>
        <v/>
      </c>
      <c r="X441" s="118"/>
      <c r="Z441" s="67" t="str">
        <f t="shared" si="221"/>
        <v/>
      </c>
      <c r="AA441" s="13">
        <f t="shared" si="222"/>
        <v>0</v>
      </c>
      <c r="AB441" s="17">
        <f t="shared" si="223"/>
        <v>0</v>
      </c>
      <c r="AC441" s="163" t="str">
        <f t="shared" si="224"/>
        <v/>
      </c>
      <c r="AD441" s="119"/>
      <c r="AE441" s="21"/>
      <c r="AF441" s="121"/>
      <c r="AG441" s="122"/>
      <c r="AH441" s="83" t="str">
        <f t="shared" si="202"/>
        <v/>
      </c>
      <c r="AI441" s="115"/>
      <c r="AJ441" s="116"/>
      <c r="AK441" s="83" t="str">
        <f t="shared" si="203"/>
        <v/>
      </c>
      <c r="AL441" s="85" t="str">
        <f t="shared" si="204"/>
        <v/>
      </c>
      <c r="AM441" s="254" t="str">
        <f t="shared" si="205"/>
        <v/>
      </c>
      <c r="AN441" s="254" t="str">
        <f t="shared" ca="1" si="206"/>
        <v/>
      </c>
      <c r="AO441" s="255" t="str">
        <f t="shared" si="207"/>
        <v/>
      </c>
    </row>
    <row r="442" spans="2:41" x14ac:dyDescent="0.25">
      <c r="B442" s="321"/>
      <c r="C442" s="17"/>
      <c r="E442" s="117"/>
      <c r="F442" s="4" t="str">
        <f t="shared" si="225"/>
        <v/>
      </c>
      <c r="G442" s="4" t="str">
        <f t="shared" si="226"/>
        <v/>
      </c>
      <c r="H442" s="4" t="str">
        <f t="shared" si="227"/>
        <v/>
      </c>
      <c r="I442" s="4" t="str">
        <f t="shared" si="228"/>
        <v/>
      </c>
      <c r="J442" s="247"/>
      <c r="K442" s="117"/>
      <c r="L442" s="4" t="str">
        <f t="shared" si="212"/>
        <v/>
      </c>
      <c r="M442" s="4" t="str">
        <f t="shared" si="213"/>
        <v/>
      </c>
      <c r="N442" s="4" t="str">
        <f t="shared" si="214"/>
        <v/>
      </c>
      <c r="O442" s="4" t="str">
        <f t="shared" si="215"/>
        <v/>
      </c>
      <c r="P442" s="247"/>
      <c r="Q442" s="117"/>
      <c r="R442" s="4" t="str">
        <f t="shared" si="216"/>
        <v/>
      </c>
      <c r="S442" s="4" t="str">
        <f t="shared" si="217"/>
        <v/>
      </c>
      <c r="T442" s="4" t="str">
        <f t="shared" si="218"/>
        <v/>
      </c>
      <c r="U442" s="4" t="str">
        <f t="shared" si="219"/>
        <v/>
      </c>
      <c r="V442" s="247"/>
      <c r="W442" s="67" t="str">
        <f t="shared" si="220"/>
        <v/>
      </c>
      <c r="X442" s="118"/>
      <c r="Z442" s="67" t="str">
        <f t="shared" si="221"/>
        <v/>
      </c>
      <c r="AA442" s="13">
        <f t="shared" si="222"/>
        <v>0</v>
      </c>
      <c r="AB442" s="17">
        <f t="shared" si="223"/>
        <v>0</v>
      </c>
      <c r="AC442" s="163" t="str">
        <f t="shared" si="224"/>
        <v/>
      </c>
      <c r="AD442" s="119"/>
      <c r="AE442" s="21"/>
      <c r="AF442" s="121"/>
      <c r="AG442" s="122"/>
      <c r="AH442" s="83" t="str">
        <f t="shared" si="202"/>
        <v/>
      </c>
      <c r="AI442" s="115"/>
      <c r="AJ442" s="116"/>
      <c r="AK442" s="83" t="str">
        <f t="shared" si="203"/>
        <v/>
      </c>
      <c r="AL442" s="85" t="str">
        <f t="shared" si="204"/>
        <v/>
      </c>
      <c r="AM442" s="254" t="str">
        <f t="shared" si="205"/>
        <v/>
      </c>
      <c r="AN442" s="254" t="str">
        <f t="shared" ca="1" si="206"/>
        <v/>
      </c>
      <c r="AO442" s="255" t="str">
        <f t="shared" si="207"/>
        <v/>
      </c>
    </row>
    <row r="443" spans="2:41" x14ac:dyDescent="0.25">
      <c r="B443" s="321"/>
      <c r="C443" s="17"/>
      <c r="E443" s="117"/>
      <c r="F443" s="4" t="str">
        <f t="shared" si="225"/>
        <v/>
      </c>
      <c r="G443" s="4" t="str">
        <f t="shared" si="226"/>
        <v/>
      </c>
      <c r="H443" s="4" t="str">
        <f t="shared" si="227"/>
        <v/>
      </c>
      <c r="I443" s="4" t="str">
        <f t="shared" si="228"/>
        <v/>
      </c>
      <c r="J443" s="247"/>
      <c r="K443" s="117"/>
      <c r="L443" s="4" t="str">
        <f t="shared" si="212"/>
        <v/>
      </c>
      <c r="M443" s="4" t="str">
        <f t="shared" si="213"/>
        <v/>
      </c>
      <c r="N443" s="4" t="str">
        <f t="shared" si="214"/>
        <v/>
      </c>
      <c r="O443" s="4" t="str">
        <f t="shared" si="215"/>
        <v/>
      </c>
      <c r="P443" s="247"/>
      <c r="Q443" s="117"/>
      <c r="R443" s="4" t="str">
        <f t="shared" si="216"/>
        <v/>
      </c>
      <c r="S443" s="4" t="str">
        <f t="shared" si="217"/>
        <v/>
      </c>
      <c r="T443" s="4" t="str">
        <f t="shared" si="218"/>
        <v/>
      </c>
      <c r="U443" s="4" t="str">
        <f t="shared" si="219"/>
        <v/>
      </c>
      <c r="V443" s="247"/>
      <c r="W443" s="67" t="str">
        <f t="shared" si="220"/>
        <v/>
      </c>
      <c r="X443" s="118"/>
      <c r="Z443" s="67" t="str">
        <f t="shared" si="221"/>
        <v/>
      </c>
      <c r="AA443" s="13">
        <f t="shared" si="222"/>
        <v>0</v>
      </c>
      <c r="AB443" s="17">
        <f t="shared" si="223"/>
        <v>0</v>
      </c>
      <c r="AC443" s="163" t="str">
        <f t="shared" si="224"/>
        <v/>
      </c>
      <c r="AD443" s="119"/>
      <c r="AE443" s="21"/>
      <c r="AF443" s="121"/>
      <c r="AG443" s="122"/>
      <c r="AH443" s="83" t="str">
        <f t="shared" si="202"/>
        <v/>
      </c>
      <c r="AI443" s="115"/>
      <c r="AJ443" s="116"/>
      <c r="AK443" s="83" t="str">
        <f t="shared" si="203"/>
        <v/>
      </c>
      <c r="AL443" s="85" t="str">
        <f t="shared" si="204"/>
        <v/>
      </c>
      <c r="AM443" s="254" t="str">
        <f t="shared" si="205"/>
        <v/>
      </c>
      <c r="AN443" s="254" t="str">
        <f t="shared" ca="1" si="206"/>
        <v/>
      </c>
      <c r="AO443" s="255" t="str">
        <f t="shared" si="207"/>
        <v/>
      </c>
    </row>
    <row r="444" spans="2:41" x14ac:dyDescent="0.25">
      <c r="B444" s="321"/>
      <c r="C444" s="17"/>
      <c r="E444" s="117"/>
      <c r="F444" s="4" t="str">
        <f t="shared" si="225"/>
        <v/>
      </c>
      <c r="G444" s="4" t="str">
        <f t="shared" si="226"/>
        <v/>
      </c>
      <c r="H444" s="4" t="str">
        <f t="shared" si="227"/>
        <v/>
      </c>
      <c r="I444" s="4" t="str">
        <f t="shared" si="228"/>
        <v/>
      </c>
      <c r="J444" s="247"/>
      <c r="K444" s="117"/>
      <c r="L444" s="4" t="str">
        <f t="shared" si="212"/>
        <v/>
      </c>
      <c r="M444" s="4" t="str">
        <f t="shared" si="213"/>
        <v/>
      </c>
      <c r="N444" s="4" t="str">
        <f t="shared" si="214"/>
        <v/>
      </c>
      <c r="O444" s="4" t="str">
        <f t="shared" si="215"/>
        <v/>
      </c>
      <c r="P444" s="247"/>
      <c r="Q444" s="117"/>
      <c r="R444" s="4" t="str">
        <f t="shared" si="216"/>
        <v/>
      </c>
      <c r="S444" s="4" t="str">
        <f t="shared" si="217"/>
        <v/>
      </c>
      <c r="T444" s="4" t="str">
        <f t="shared" si="218"/>
        <v/>
      </c>
      <c r="U444" s="4" t="str">
        <f t="shared" si="219"/>
        <v/>
      </c>
      <c r="V444" s="247"/>
      <c r="W444" s="67" t="str">
        <f t="shared" ref="W444:W507" si="229">IF(SUM(I444,O444,U444)&gt;0,(SUM(I444,O444,U444)),"")</f>
        <v/>
      </c>
      <c r="X444" s="118"/>
      <c r="Z444" s="67" t="str">
        <f t="shared" ref="Z444:Z507" si="230">IF(SUM(W444,Y444)&gt;0,(SUM(W444,Y444)),"")</f>
        <v/>
      </c>
      <c r="AA444" s="13">
        <f t="shared" ref="AA444:AA507" si="231">B444</f>
        <v>0</v>
      </c>
      <c r="AB444" s="17">
        <f t="shared" ref="AB444:AB507" si="232">C444</f>
        <v>0</v>
      </c>
      <c r="AC444" s="163" t="str">
        <f t="shared" ref="AC444:AC507" si="233">F444</f>
        <v/>
      </c>
      <c r="AD444" s="119"/>
      <c r="AE444" s="21"/>
      <c r="AF444" s="121"/>
      <c r="AG444" s="122"/>
      <c r="AH444" s="83" t="str">
        <f t="shared" si="202"/>
        <v/>
      </c>
      <c r="AI444" s="115"/>
      <c r="AJ444" s="116"/>
      <c r="AK444" s="83" t="str">
        <f t="shared" si="203"/>
        <v/>
      </c>
      <c r="AL444" s="85" t="str">
        <f t="shared" si="204"/>
        <v/>
      </c>
      <c r="AM444" s="254" t="str">
        <f t="shared" si="205"/>
        <v/>
      </c>
      <c r="AN444" s="254" t="str">
        <f t="shared" ca="1" si="206"/>
        <v/>
      </c>
      <c r="AO444" s="255" t="str">
        <f t="shared" si="207"/>
        <v/>
      </c>
    </row>
    <row r="445" spans="2:41" x14ac:dyDescent="0.25">
      <c r="B445" s="321"/>
      <c r="C445" s="17"/>
      <c r="E445" s="117"/>
      <c r="F445" s="4" t="str">
        <f t="shared" si="225"/>
        <v/>
      </c>
      <c r="G445" s="4" t="str">
        <f t="shared" si="226"/>
        <v/>
      </c>
      <c r="H445" s="4" t="str">
        <f t="shared" si="227"/>
        <v/>
      </c>
      <c r="I445" s="4" t="str">
        <f t="shared" si="228"/>
        <v/>
      </c>
      <c r="J445" s="247"/>
      <c r="K445" s="117"/>
      <c r="L445" s="4" t="str">
        <f t="shared" si="212"/>
        <v/>
      </c>
      <c r="M445" s="4" t="str">
        <f t="shared" si="213"/>
        <v/>
      </c>
      <c r="N445" s="4" t="str">
        <f t="shared" si="214"/>
        <v/>
      </c>
      <c r="O445" s="4" t="str">
        <f t="shared" si="215"/>
        <v/>
      </c>
      <c r="P445" s="247"/>
      <c r="Q445" s="117"/>
      <c r="R445" s="4" t="str">
        <f t="shared" si="216"/>
        <v/>
      </c>
      <c r="S445" s="4" t="str">
        <f t="shared" si="217"/>
        <v/>
      </c>
      <c r="T445" s="4" t="str">
        <f t="shared" si="218"/>
        <v/>
      </c>
      <c r="U445" s="4" t="str">
        <f t="shared" si="219"/>
        <v/>
      </c>
      <c r="V445" s="247"/>
      <c r="W445" s="67" t="str">
        <f t="shared" si="229"/>
        <v/>
      </c>
      <c r="X445" s="118"/>
      <c r="Z445" s="67" t="str">
        <f t="shared" si="230"/>
        <v/>
      </c>
      <c r="AA445" s="13">
        <f t="shared" si="231"/>
        <v>0</v>
      </c>
      <c r="AB445" s="17">
        <f t="shared" si="232"/>
        <v>0</v>
      </c>
      <c r="AC445" s="163" t="str">
        <f t="shared" si="233"/>
        <v/>
      </c>
      <c r="AD445" s="119"/>
      <c r="AE445" s="21"/>
      <c r="AF445" s="121"/>
      <c r="AG445" s="122"/>
      <c r="AH445" s="83" t="str">
        <f t="shared" si="202"/>
        <v/>
      </c>
      <c r="AI445" s="115"/>
      <c r="AJ445" s="116"/>
      <c r="AK445" s="83" t="str">
        <f t="shared" si="203"/>
        <v/>
      </c>
      <c r="AL445" s="85" t="str">
        <f t="shared" si="204"/>
        <v/>
      </c>
      <c r="AM445" s="254" t="str">
        <f t="shared" si="205"/>
        <v/>
      </c>
      <c r="AN445" s="254" t="str">
        <f t="shared" ca="1" si="206"/>
        <v/>
      </c>
      <c r="AO445" s="255" t="str">
        <f t="shared" si="207"/>
        <v/>
      </c>
    </row>
    <row r="446" spans="2:41" x14ac:dyDescent="0.25">
      <c r="B446" s="321"/>
      <c r="C446" s="17"/>
      <c r="E446" s="117"/>
      <c r="F446" s="4" t="str">
        <f t="shared" si="225"/>
        <v/>
      </c>
      <c r="G446" s="4" t="str">
        <f t="shared" si="226"/>
        <v/>
      </c>
      <c r="H446" s="4" t="str">
        <f t="shared" si="227"/>
        <v/>
      </c>
      <c r="I446" s="4" t="str">
        <f t="shared" si="228"/>
        <v/>
      </c>
      <c r="J446" s="247"/>
      <c r="K446" s="117"/>
      <c r="L446" s="4" t="str">
        <f t="shared" si="212"/>
        <v/>
      </c>
      <c r="M446" s="4" t="str">
        <f t="shared" si="213"/>
        <v/>
      </c>
      <c r="N446" s="4" t="str">
        <f t="shared" si="214"/>
        <v/>
      </c>
      <c r="O446" s="4" t="str">
        <f t="shared" si="215"/>
        <v/>
      </c>
      <c r="P446" s="247"/>
      <c r="Q446" s="117"/>
      <c r="R446" s="4" t="str">
        <f t="shared" si="216"/>
        <v/>
      </c>
      <c r="S446" s="4" t="str">
        <f t="shared" si="217"/>
        <v/>
      </c>
      <c r="T446" s="4" t="str">
        <f t="shared" si="218"/>
        <v/>
      </c>
      <c r="U446" s="4" t="str">
        <f t="shared" si="219"/>
        <v/>
      </c>
      <c r="V446" s="247"/>
      <c r="W446" s="67" t="str">
        <f t="shared" si="229"/>
        <v/>
      </c>
      <c r="X446" s="118"/>
      <c r="Z446" s="67" t="str">
        <f t="shared" si="230"/>
        <v/>
      </c>
      <c r="AA446" s="13">
        <f t="shared" si="231"/>
        <v>0</v>
      </c>
      <c r="AB446" s="17">
        <f t="shared" si="232"/>
        <v>0</v>
      </c>
      <c r="AC446" s="163" t="str">
        <f t="shared" si="233"/>
        <v/>
      </c>
      <c r="AD446" s="119"/>
      <c r="AE446" s="21"/>
      <c r="AF446" s="121"/>
      <c r="AG446" s="122"/>
      <c r="AH446" s="83" t="str">
        <f t="shared" si="202"/>
        <v/>
      </c>
      <c r="AI446" s="115"/>
      <c r="AJ446" s="116"/>
      <c r="AK446" s="83" t="str">
        <f t="shared" si="203"/>
        <v/>
      </c>
      <c r="AL446" s="85" t="str">
        <f t="shared" si="204"/>
        <v/>
      </c>
      <c r="AM446" s="254" t="str">
        <f t="shared" si="205"/>
        <v/>
      </c>
      <c r="AN446" s="254" t="str">
        <f t="shared" ca="1" si="206"/>
        <v/>
      </c>
      <c r="AO446" s="255" t="str">
        <f t="shared" si="207"/>
        <v/>
      </c>
    </row>
    <row r="447" spans="2:41" x14ac:dyDescent="0.25">
      <c r="B447" s="321"/>
      <c r="C447" s="17"/>
      <c r="E447" s="117"/>
      <c r="F447" s="4" t="str">
        <f t="shared" si="225"/>
        <v/>
      </c>
      <c r="G447" s="4" t="str">
        <f t="shared" si="226"/>
        <v/>
      </c>
      <c r="H447" s="4" t="str">
        <f t="shared" si="227"/>
        <v/>
      </c>
      <c r="I447" s="4" t="str">
        <f t="shared" si="228"/>
        <v/>
      </c>
      <c r="J447" s="247"/>
      <c r="K447" s="117"/>
      <c r="L447" s="4" t="str">
        <f t="shared" si="212"/>
        <v/>
      </c>
      <c r="M447" s="4" t="str">
        <f t="shared" si="213"/>
        <v/>
      </c>
      <c r="N447" s="4" t="str">
        <f t="shared" si="214"/>
        <v/>
      </c>
      <c r="O447" s="4" t="str">
        <f t="shared" si="215"/>
        <v/>
      </c>
      <c r="P447" s="247"/>
      <c r="Q447" s="117"/>
      <c r="R447" s="4" t="str">
        <f t="shared" si="216"/>
        <v/>
      </c>
      <c r="S447" s="4" t="str">
        <f t="shared" si="217"/>
        <v/>
      </c>
      <c r="T447" s="4" t="str">
        <f t="shared" si="218"/>
        <v/>
      </c>
      <c r="U447" s="4" t="str">
        <f t="shared" si="219"/>
        <v/>
      </c>
      <c r="V447" s="247"/>
      <c r="W447" s="67" t="str">
        <f t="shared" si="229"/>
        <v/>
      </c>
      <c r="X447" s="118"/>
      <c r="Z447" s="67" t="str">
        <f t="shared" si="230"/>
        <v/>
      </c>
      <c r="AA447" s="13">
        <f t="shared" si="231"/>
        <v>0</v>
      </c>
      <c r="AB447" s="17">
        <f t="shared" si="232"/>
        <v>0</v>
      </c>
      <c r="AC447" s="163" t="str">
        <f t="shared" si="233"/>
        <v/>
      </c>
      <c r="AD447" s="119"/>
      <c r="AE447" s="21"/>
      <c r="AF447" s="121"/>
      <c r="AG447" s="122"/>
      <c r="AH447" s="83" t="str">
        <f t="shared" si="202"/>
        <v/>
      </c>
      <c r="AI447" s="115"/>
      <c r="AJ447" s="116"/>
      <c r="AK447" s="83" t="str">
        <f t="shared" si="203"/>
        <v/>
      </c>
      <c r="AL447" s="85" t="str">
        <f t="shared" si="204"/>
        <v/>
      </c>
      <c r="AM447" s="254" t="str">
        <f t="shared" si="205"/>
        <v/>
      </c>
      <c r="AN447" s="254" t="str">
        <f t="shared" ca="1" si="206"/>
        <v/>
      </c>
      <c r="AO447" s="255" t="str">
        <f t="shared" si="207"/>
        <v/>
      </c>
    </row>
    <row r="448" spans="2:41" x14ac:dyDescent="0.25">
      <c r="B448" s="321"/>
      <c r="C448" s="17"/>
      <c r="E448" s="117"/>
      <c r="F448" s="4" t="str">
        <f t="shared" si="225"/>
        <v/>
      </c>
      <c r="G448" s="4" t="str">
        <f t="shared" si="226"/>
        <v/>
      </c>
      <c r="H448" s="4" t="str">
        <f t="shared" si="227"/>
        <v/>
      </c>
      <c r="I448" s="4" t="str">
        <f t="shared" si="228"/>
        <v/>
      </c>
      <c r="J448" s="247"/>
      <c r="K448" s="117"/>
      <c r="L448" s="4" t="str">
        <f t="shared" si="212"/>
        <v/>
      </c>
      <c r="M448" s="4" t="str">
        <f t="shared" si="213"/>
        <v/>
      </c>
      <c r="N448" s="4" t="str">
        <f t="shared" si="214"/>
        <v/>
      </c>
      <c r="O448" s="4" t="str">
        <f t="shared" si="215"/>
        <v/>
      </c>
      <c r="P448" s="247"/>
      <c r="Q448" s="117"/>
      <c r="R448" s="4" t="str">
        <f t="shared" si="216"/>
        <v/>
      </c>
      <c r="S448" s="4" t="str">
        <f t="shared" si="217"/>
        <v/>
      </c>
      <c r="T448" s="4" t="str">
        <f t="shared" si="218"/>
        <v/>
      </c>
      <c r="U448" s="4" t="str">
        <f t="shared" si="219"/>
        <v/>
      </c>
      <c r="V448" s="247"/>
      <c r="W448" s="67" t="str">
        <f t="shared" si="229"/>
        <v/>
      </c>
      <c r="X448" s="118"/>
      <c r="Z448" s="67" t="str">
        <f t="shared" si="230"/>
        <v/>
      </c>
      <c r="AA448" s="13">
        <f t="shared" si="231"/>
        <v>0</v>
      </c>
      <c r="AB448" s="17">
        <f t="shared" si="232"/>
        <v>0</v>
      </c>
      <c r="AC448" s="163" t="str">
        <f t="shared" si="233"/>
        <v/>
      </c>
      <c r="AD448" s="119"/>
      <c r="AE448" s="21"/>
      <c r="AF448" s="121"/>
      <c r="AG448" s="122"/>
      <c r="AH448" s="83" t="str">
        <f t="shared" si="202"/>
        <v/>
      </c>
      <c r="AI448" s="115"/>
      <c r="AJ448" s="116"/>
      <c r="AK448" s="83" t="str">
        <f t="shared" si="203"/>
        <v/>
      </c>
      <c r="AL448" s="85" t="str">
        <f t="shared" si="204"/>
        <v/>
      </c>
      <c r="AM448" s="254" t="str">
        <f t="shared" si="205"/>
        <v/>
      </c>
      <c r="AN448" s="254" t="str">
        <f t="shared" ca="1" si="206"/>
        <v/>
      </c>
      <c r="AO448" s="255" t="str">
        <f t="shared" si="207"/>
        <v/>
      </c>
    </row>
    <row r="449" spans="2:41" x14ac:dyDescent="0.25">
      <c r="B449" s="321"/>
      <c r="C449" s="17"/>
      <c r="E449" s="117"/>
      <c r="F449" s="4" t="str">
        <f t="shared" si="225"/>
        <v/>
      </c>
      <c r="G449" s="4" t="str">
        <f t="shared" si="226"/>
        <v/>
      </c>
      <c r="H449" s="4" t="str">
        <f t="shared" si="227"/>
        <v/>
      </c>
      <c r="I449" s="4" t="str">
        <f t="shared" si="228"/>
        <v/>
      </c>
      <c r="J449" s="247"/>
      <c r="K449" s="117"/>
      <c r="L449" s="4" t="str">
        <f t="shared" ref="L449:L512" si="234">IFERROR(IF(VLOOKUP($K449,Inward,2,FALSE)&gt;0,VLOOKUP($K449,Inward,2,FALSE),""),"")</f>
        <v/>
      </c>
      <c r="M449" s="4" t="str">
        <f t="shared" ref="M449:M512" si="235">IFERROR(IF(VLOOKUP($K449,Inward,7,FALSE)&gt;0,VLOOKUP($K449,Inward,7,FALSE),""),"")</f>
        <v/>
      </c>
      <c r="N449" s="4" t="str">
        <f t="shared" ref="N449:N512" si="236">IFERROR(IF(VLOOKUP($K449,Inward,8,FALSE)&gt;0,VLOOKUP($K449,Inward,8,FALSE),""),"")</f>
        <v/>
      </c>
      <c r="O449" s="4" t="str">
        <f t="shared" ref="O449:O512" si="237">IFERROR(IF(VLOOKUP($K449,Inward,11,FALSE)&gt;0,VLOOKUP($K449,Inward,11,FALSE),""),"")</f>
        <v/>
      </c>
      <c r="P449" s="247"/>
      <c r="Q449" s="117"/>
      <c r="R449" s="4" t="str">
        <f t="shared" ref="R449:R512" si="238">IFERROR(IF(VLOOKUP($Q449,Inward,2,FALSE)&gt;0,VLOOKUP($Q449,Inward,2,FALSE),""),"")</f>
        <v/>
      </c>
      <c r="S449" s="4" t="str">
        <f t="shared" ref="S449:S512" si="239">IFERROR(IF(VLOOKUP($Q449,Inward,7,FALSE)&gt;0,VLOOKUP($Q449,Inward,7,FALSE),""),"")</f>
        <v/>
      </c>
      <c r="T449" s="4" t="str">
        <f t="shared" ref="T449:T512" si="240">IFERROR(IF(VLOOKUP($Q449,Inward,8,FALSE)&gt;0,VLOOKUP($Q449,Inward,8,FALSE),""),"")</f>
        <v/>
      </c>
      <c r="U449" s="4" t="str">
        <f t="shared" ref="U449:U512" si="241">IFERROR(IF(VLOOKUP($Q449,Inward,11,FALSE)&gt;0,VLOOKUP($Q449,Inward,11,FALSE),""),"")</f>
        <v/>
      </c>
      <c r="V449" s="247"/>
      <c r="W449" s="67" t="str">
        <f t="shared" si="229"/>
        <v/>
      </c>
      <c r="X449" s="118"/>
      <c r="Z449" s="67" t="str">
        <f t="shared" si="230"/>
        <v/>
      </c>
      <c r="AA449" s="13">
        <f t="shared" si="231"/>
        <v>0</v>
      </c>
      <c r="AB449" s="17">
        <f t="shared" si="232"/>
        <v>0</v>
      </c>
      <c r="AC449" s="163" t="str">
        <f t="shared" si="233"/>
        <v/>
      </c>
      <c r="AD449" s="119"/>
      <c r="AE449" s="21"/>
      <c r="AF449" s="121"/>
      <c r="AG449" s="122"/>
      <c r="AH449" s="83" t="str">
        <f t="shared" si="202"/>
        <v/>
      </c>
      <c r="AI449" s="115"/>
      <c r="AJ449" s="116"/>
      <c r="AK449" s="83" t="str">
        <f t="shared" si="203"/>
        <v/>
      </c>
      <c r="AL449" s="85" t="str">
        <f t="shared" si="204"/>
        <v/>
      </c>
      <c r="AM449" s="254" t="str">
        <f t="shared" si="205"/>
        <v/>
      </c>
      <c r="AN449" s="254" t="str">
        <f t="shared" ca="1" si="206"/>
        <v/>
      </c>
      <c r="AO449" s="255" t="str">
        <f t="shared" si="207"/>
        <v/>
      </c>
    </row>
    <row r="450" spans="2:41" x14ac:dyDescent="0.25">
      <c r="B450" s="321"/>
      <c r="C450" s="17"/>
      <c r="E450" s="117"/>
      <c r="F450" s="4" t="str">
        <f t="shared" si="225"/>
        <v/>
      </c>
      <c r="G450" s="4" t="str">
        <f t="shared" si="226"/>
        <v/>
      </c>
      <c r="H450" s="4" t="str">
        <f t="shared" si="227"/>
        <v/>
      </c>
      <c r="I450" s="4" t="str">
        <f t="shared" si="228"/>
        <v/>
      </c>
      <c r="J450" s="247"/>
      <c r="K450" s="117"/>
      <c r="L450" s="4" t="str">
        <f t="shared" si="234"/>
        <v/>
      </c>
      <c r="M450" s="4" t="str">
        <f t="shared" si="235"/>
        <v/>
      </c>
      <c r="N450" s="4" t="str">
        <f t="shared" si="236"/>
        <v/>
      </c>
      <c r="O450" s="4" t="str">
        <f t="shared" si="237"/>
        <v/>
      </c>
      <c r="P450" s="247"/>
      <c r="Q450" s="117"/>
      <c r="R450" s="4" t="str">
        <f t="shared" si="238"/>
        <v/>
      </c>
      <c r="S450" s="4" t="str">
        <f t="shared" si="239"/>
        <v/>
      </c>
      <c r="T450" s="4" t="str">
        <f t="shared" si="240"/>
        <v/>
      </c>
      <c r="U450" s="4" t="str">
        <f t="shared" si="241"/>
        <v/>
      </c>
      <c r="V450" s="247"/>
      <c r="W450" s="67" t="str">
        <f t="shared" si="229"/>
        <v/>
      </c>
      <c r="X450" s="118"/>
      <c r="Z450" s="67" t="str">
        <f t="shared" si="230"/>
        <v/>
      </c>
      <c r="AA450" s="13">
        <f t="shared" si="231"/>
        <v>0</v>
      </c>
      <c r="AB450" s="17">
        <f t="shared" si="232"/>
        <v>0</v>
      </c>
      <c r="AC450" s="163" t="str">
        <f t="shared" si="233"/>
        <v/>
      </c>
      <c r="AD450" s="119"/>
      <c r="AE450" s="21"/>
      <c r="AF450" s="121"/>
      <c r="AG450" s="122"/>
      <c r="AH450" s="83" t="str">
        <f t="shared" si="202"/>
        <v/>
      </c>
      <c r="AI450" s="115"/>
      <c r="AJ450" s="116"/>
      <c r="AK450" s="83" t="str">
        <f t="shared" si="203"/>
        <v/>
      </c>
      <c r="AL450" s="85" t="str">
        <f t="shared" si="204"/>
        <v/>
      </c>
      <c r="AM450" s="254" t="str">
        <f t="shared" si="205"/>
        <v/>
      </c>
      <c r="AN450" s="254" t="str">
        <f t="shared" ca="1" si="206"/>
        <v/>
      </c>
      <c r="AO450" s="255" t="str">
        <f t="shared" si="207"/>
        <v/>
      </c>
    </row>
    <row r="451" spans="2:41" x14ac:dyDescent="0.25">
      <c r="B451" s="321"/>
      <c r="C451" s="17"/>
      <c r="E451" s="117"/>
      <c r="F451" s="4" t="str">
        <f t="shared" si="225"/>
        <v/>
      </c>
      <c r="G451" s="4" t="str">
        <f t="shared" si="226"/>
        <v/>
      </c>
      <c r="H451" s="4" t="str">
        <f t="shared" si="227"/>
        <v/>
      </c>
      <c r="I451" s="4" t="str">
        <f t="shared" si="228"/>
        <v/>
      </c>
      <c r="J451" s="247"/>
      <c r="K451" s="117"/>
      <c r="L451" s="4" t="str">
        <f t="shared" si="234"/>
        <v/>
      </c>
      <c r="M451" s="4" t="str">
        <f t="shared" si="235"/>
        <v/>
      </c>
      <c r="N451" s="4" t="str">
        <f t="shared" si="236"/>
        <v/>
      </c>
      <c r="O451" s="4" t="str">
        <f t="shared" si="237"/>
        <v/>
      </c>
      <c r="P451" s="247"/>
      <c r="Q451" s="117"/>
      <c r="R451" s="4" t="str">
        <f t="shared" si="238"/>
        <v/>
      </c>
      <c r="S451" s="4" t="str">
        <f t="shared" si="239"/>
        <v/>
      </c>
      <c r="T451" s="4" t="str">
        <f t="shared" si="240"/>
        <v/>
      </c>
      <c r="U451" s="4" t="str">
        <f t="shared" si="241"/>
        <v/>
      </c>
      <c r="V451" s="247"/>
      <c r="W451" s="67" t="str">
        <f t="shared" si="229"/>
        <v/>
      </c>
      <c r="X451" s="118"/>
      <c r="Z451" s="67" t="str">
        <f t="shared" si="230"/>
        <v/>
      </c>
      <c r="AA451" s="13">
        <f t="shared" si="231"/>
        <v>0</v>
      </c>
      <c r="AB451" s="17">
        <f t="shared" si="232"/>
        <v>0</v>
      </c>
      <c r="AC451" s="163" t="str">
        <f t="shared" si="233"/>
        <v/>
      </c>
      <c r="AD451" s="119"/>
      <c r="AE451" s="21"/>
      <c r="AF451" s="121"/>
      <c r="AG451" s="122"/>
      <c r="AH451" s="83" t="str">
        <f t="shared" si="202"/>
        <v/>
      </c>
      <c r="AI451" s="115"/>
      <c r="AJ451" s="116"/>
      <c r="AK451" s="83" t="str">
        <f t="shared" si="203"/>
        <v/>
      </c>
      <c r="AL451" s="85" t="str">
        <f t="shared" si="204"/>
        <v/>
      </c>
      <c r="AM451" s="254" t="str">
        <f t="shared" si="205"/>
        <v/>
      </c>
      <c r="AN451" s="254" t="str">
        <f t="shared" ca="1" si="206"/>
        <v/>
      </c>
      <c r="AO451" s="255" t="str">
        <f t="shared" si="207"/>
        <v/>
      </c>
    </row>
    <row r="452" spans="2:41" x14ac:dyDescent="0.25">
      <c r="B452" s="321"/>
      <c r="C452" s="17"/>
      <c r="E452" s="117"/>
      <c r="F452" s="4" t="str">
        <f t="shared" si="225"/>
        <v/>
      </c>
      <c r="G452" s="4" t="str">
        <f t="shared" si="226"/>
        <v/>
      </c>
      <c r="H452" s="4" t="str">
        <f t="shared" si="227"/>
        <v/>
      </c>
      <c r="I452" s="4" t="str">
        <f t="shared" si="228"/>
        <v/>
      </c>
      <c r="J452" s="247"/>
      <c r="K452" s="117"/>
      <c r="L452" s="4" t="str">
        <f t="shared" si="234"/>
        <v/>
      </c>
      <c r="M452" s="4" t="str">
        <f t="shared" si="235"/>
        <v/>
      </c>
      <c r="N452" s="4" t="str">
        <f t="shared" si="236"/>
        <v/>
      </c>
      <c r="O452" s="4" t="str">
        <f t="shared" si="237"/>
        <v/>
      </c>
      <c r="P452" s="247"/>
      <c r="Q452" s="117"/>
      <c r="R452" s="4" t="str">
        <f t="shared" si="238"/>
        <v/>
      </c>
      <c r="S452" s="4" t="str">
        <f t="shared" si="239"/>
        <v/>
      </c>
      <c r="T452" s="4" t="str">
        <f t="shared" si="240"/>
        <v/>
      </c>
      <c r="U452" s="4" t="str">
        <f t="shared" si="241"/>
        <v/>
      </c>
      <c r="V452" s="247"/>
      <c r="W452" s="67" t="str">
        <f t="shared" si="229"/>
        <v/>
      </c>
      <c r="X452" s="118"/>
      <c r="Z452" s="67" t="str">
        <f t="shared" si="230"/>
        <v/>
      </c>
      <c r="AA452" s="13">
        <f t="shared" si="231"/>
        <v>0</v>
      </c>
      <c r="AB452" s="17">
        <f t="shared" si="232"/>
        <v>0</v>
      </c>
      <c r="AC452" s="163" t="str">
        <f t="shared" si="233"/>
        <v/>
      </c>
      <c r="AD452" s="119"/>
      <c r="AE452" s="21"/>
      <c r="AF452" s="121"/>
      <c r="AG452" s="122"/>
      <c r="AH452" s="83" t="str">
        <f t="shared" si="202"/>
        <v/>
      </c>
      <c r="AI452" s="115"/>
      <c r="AJ452" s="116"/>
      <c r="AK452" s="83" t="str">
        <f t="shared" si="203"/>
        <v/>
      </c>
      <c r="AL452" s="85" t="str">
        <f t="shared" si="204"/>
        <v/>
      </c>
      <c r="AM452" s="254" t="str">
        <f t="shared" si="205"/>
        <v/>
      </c>
      <c r="AN452" s="254" t="str">
        <f t="shared" ca="1" si="206"/>
        <v/>
      </c>
      <c r="AO452" s="255" t="str">
        <f t="shared" si="207"/>
        <v/>
      </c>
    </row>
    <row r="453" spans="2:41" x14ac:dyDescent="0.25">
      <c r="B453" s="321"/>
      <c r="C453" s="17"/>
      <c r="E453" s="117"/>
      <c r="F453" s="4" t="str">
        <f t="shared" si="225"/>
        <v/>
      </c>
      <c r="G453" s="4" t="str">
        <f t="shared" si="226"/>
        <v/>
      </c>
      <c r="H453" s="4" t="str">
        <f t="shared" si="227"/>
        <v/>
      </c>
      <c r="I453" s="4" t="str">
        <f t="shared" si="228"/>
        <v/>
      </c>
      <c r="J453" s="247"/>
      <c r="K453" s="117"/>
      <c r="L453" s="4" t="str">
        <f t="shared" si="234"/>
        <v/>
      </c>
      <c r="M453" s="4" t="str">
        <f t="shared" si="235"/>
        <v/>
      </c>
      <c r="N453" s="4" t="str">
        <f t="shared" si="236"/>
        <v/>
      </c>
      <c r="O453" s="4" t="str">
        <f t="shared" si="237"/>
        <v/>
      </c>
      <c r="P453" s="247"/>
      <c r="Q453" s="117"/>
      <c r="R453" s="4" t="str">
        <f t="shared" si="238"/>
        <v/>
      </c>
      <c r="S453" s="4" t="str">
        <f t="shared" si="239"/>
        <v/>
      </c>
      <c r="T453" s="4" t="str">
        <f t="shared" si="240"/>
        <v/>
      </c>
      <c r="U453" s="4" t="str">
        <f t="shared" si="241"/>
        <v/>
      </c>
      <c r="V453" s="247"/>
      <c r="W453" s="67" t="str">
        <f t="shared" si="229"/>
        <v/>
      </c>
      <c r="X453" s="118"/>
      <c r="Z453" s="67" t="str">
        <f t="shared" si="230"/>
        <v/>
      </c>
      <c r="AA453" s="13">
        <f t="shared" si="231"/>
        <v>0</v>
      </c>
      <c r="AB453" s="17">
        <f t="shared" si="232"/>
        <v>0</v>
      </c>
      <c r="AC453" s="163" t="str">
        <f t="shared" si="233"/>
        <v/>
      </c>
      <c r="AD453" s="119"/>
      <c r="AE453" s="21"/>
      <c r="AF453" s="121"/>
      <c r="AG453" s="122"/>
      <c r="AH453" s="83" t="str">
        <f t="shared" si="202"/>
        <v/>
      </c>
      <c r="AI453" s="115"/>
      <c r="AJ453" s="116"/>
      <c r="AK453" s="83" t="str">
        <f t="shared" si="203"/>
        <v/>
      </c>
      <c r="AL453" s="85" t="str">
        <f t="shared" si="204"/>
        <v/>
      </c>
      <c r="AM453" s="254" t="str">
        <f t="shared" si="205"/>
        <v/>
      </c>
      <c r="AN453" s="254" t="str">
        <f t="shared" ca="1" si="206"/>
        <v/>
      </c>
      <c r="AO453" s="255" t="str">
        <f t="shared" si="207"/>
        <v/>
      </c>
    </row>
    <row r="454" spans="2:41" x14ac:dyDescent="0.25">
      <c r="B454" s="321"/>
      <c r="C454" s="17"/>
      <c r="E454" s="117"/>
      <c r="F454" s="4" t="str">
        <f t="shared" si="225"/>
        <v/>
      </c>
      <c r="G454" s="4" t="str">
        <f t="shared" si="226"/>
        <v/>
      </c>
      <c r="H454" s="4" t="str">
        <f t="shared" si="227"/>
        <v/>
      </c>
      <c r="I454" s="4" t="str">
        <f t="shared" si="228"/>
        <v/>
      </c>
      <c r="J454" s="247"/>
      <c r="K454" s="117"/>
      <c r="L454" s="4" t="str">
        <f t="shared" si="234"/>
        <v/>
      </c>
      <c r="M454" s="4" t="str">
        <f t="shared" si="235"/>
        <v/>
      </c>
      <c r="N454" s="4" t="str">
        <f t="shared" si="236"/>
        <v/>
      </c>
      <c r="O454" s="4" t="str">
        <f t="shared" si="237"/>
        <v/>
      </c>
      <c r="P454" s="247"/>
      <c r="Q454" s="117"/>
      <c r="R454" s="4" t="str">
        <f t="shared" si="238"/>
        <v/>
      </c>
      <c r="S454" s="4" t="str">
        <f t="shared" si="239"/>
        <v/>
      </c>
      <c r="T454" s="4" t="str">
        <f t="shared" si="240"/>
        <v/>
      </c>
      <c r="U454" s="4" t="str">
        <f t="shared" si="241"/>
        <v/>
      </c>
      <c r="V454" s="247"/>
      <c r="W454" s="67" t="str">
        <f t="shared" si="229"/>
        <v/>
      </c>
      <c r="X454" s="118"/>
      <c r="Z454" s="67" t="str">
        <f t="shared" si="230"/>
        <v/>
      </c>
      <c r="AA454" s="13">
        <f t="shared" si="231"/>
        <v>0</v>
      </c>
      <c r="AB454" s="17">
        <f t="shared" si="232"/>
        <v>0</v>
      </c>
      <c r="AC454" s="163" t="str">
        <f t="shared" si="233"/>
        <v/>
      </c>
      <c r="AD454" s="119"/>
      <c r="AE454" s="21"/>
      <c r="AF454" s="121"/>
      <c r="AG454" s="122"/>
      <c r="AH454" s="83" t="str">
        <f t="shared" si="202"/>
        <v/>
      </c>
      <c r="AI454" s="115"/>
      <c r="AJ454" s="116"/>
      <c r="AK454" s="83" t="str">
        <f t="shared" si="203"/>
        <v/>
      </c>
      <c r="AL454" s="85" t="str">
        <f t="shared" si="204"/>
        <v/>
      </c>
      <c r="AM454" s="254" t="str">
        <f t="shared" si="205"/>
        <v/>
      </c>
      <c r="AN454" s="254" t="str">
        <f t="shared" ca="1" si="206"/>
        <v/>
      </c>
      <c r="AO454" s="255" t="str">
        <f t="shared" si="207"/>
        <v/>
      </c>
    </row>
    <row r="455" spans="2:41" x14ac:dyDescent="0.25">
      <c r="B455" s="321"/>
      <c r="C455" s="17"/>
      <c r="E455" s="117"/>
      <c r="F455" s="4" t="str">
        <f t="shared" si="225"/>
        <v/>
      </c>
      <c r="G455" s="4" t="str">
        <f t="shared" si="226"/>
        <v/>
      </c>
      <c r="H455" s="4" t="str">
        <f t="shared" si="227"/>
        <v/>
      </c>
      <c r="I455" s="4" t="str">
        <f t="shared" si="228"/>
        <v/>
      </c>
      <c r="J455" s="247"/>
      <c r="K455" s="117"/>
      <c r="L455" s="4" t="str">
        <f t="shared" si="234"/>
        <v/>
      </c>
      <c r="M455" s="4" t="str">
        <f t="shared" si="235"/>
        <v/>
      </c>
      <c r="N455" s="4" t="str">
        <f t="shared" si="236"/>
        <v/>
      </c>
      <c r="O455" s="4" t="str">
        <f t="shared" si="237"/>
        <v/>
      </c>
      <c r="P455" s="247"/>
      <c r="Q455" s="117"/>
      <c r="R455" s="4" t="str">
        <f t="shared" si="238"/>
        <v/>
      </c>
      <c r="S455" s="4" t="str">
        <f t="shared" si="239"/>
        <v/>
      </c>
      <c r="T455" s="4" t="str">
        <f t="shared" si="240"/>
        <v/>
      </c>
      <c r="U455" s="4" t="str">
        <f t="shared" si="241"/>
        <v/>
      </c>
      <c r="V455" s="247"/>
      <c r="W455" s="67" t="str">
        <f t="shared" si="229"/>
        <v/>
      </c>
      <c r="X455" s="118"/>
      <c r="Z455" s="67" t="str">
        <f t="shared" si="230"/>
        <v/>
      </c>
      <c r="AA455" s="13">
        <f t="shared" si="231"/>
        <v>0</v>
      </c>
      <c r="AB455" s="17">
        <f t="shared" si="232"/>
        <v>0</v>
      </c>
      <c r="AC455" s="163" t="str">
        <f t="shared" si="233"/>
        <v/>
      </c>
      <c r="AD455" s="119"/>
      <c r="AE455" s="21"/>
      <c r="AF455" s="121"/>
      <c r="AG455" s="122"/>
      <c r="AH455" s="83" t="str">
        <f t="shared" si="202"/>
        <v/>
      </c>
      <c r="AI455" s="115"/>
      <c r="AJ455" s="116"/>
      <c r="AK455" s="83" t="str">
        <f t="shared" si="203"/>
        <v/>
      </c>
      <c r="AL455" s="85" t="str">
        <f t="shared" si="204"/>
        <v/>
      </c>
      <c r="AM455" s="254" t="str">
        <f t="shared" si="205"/>
        <v/>
      </c>
      <c r="AN455" s="254" t="str">
        <f t="shared" ca="1" si="206"/>
        <v/>
      </c>
      <c r="AO455" s="255" t="str">
        <f t="shared" si="207"/>
        <v/>
      </c>
    </row>
    <row r="456" spans="2:41" x14ac:dyDescent="0.25">
      <c r="B456" s="321"/>
      <c r="C456" s="17"/>
      <c r="E456" s="117"/>
      <c r="F456" s="4" t="str">
        <f t="shared" si="225"/>
        <v/>
      </c>
      <c r="G456" s="4" t="str">
        <f t="shared" si="226"/>
        <v/>
      </c>
      <c r="H456" s="4" t="str">
        <f t="shared" si="227"/>
        <v/>
      </c>
      <c r="I456" s="4" t="str">
        <f t="shared" si="228"/>
        <v/>
      </c>
      <c r="J456" s="247"/>
      <c r="K456" s="117"/>
      <c r="L456" s="4" t="str">
        <f t="shared" si="234"/>
        <v/>
      </c>
      <c r="M456" s="4" t="str">
        <f t="shared" si="235"/>
        <v/>
      </c>
      <c r="N456" s="4" t="str">
        <f t="shared" si="236"/>
        <v/>
      </c>
      <c r="O456" s="4" t="str">
        <f t="shared" si="237"/>
        <v/>
      </c>
      <c r="P456" s="247"/>
      <c r="Q456" s="117"/>
      <c r="R456" s="4" t="str">
        <f t="shared" si="238"/>
        <v/>
      </c>
      <c r="S456" s="4" t="str">
        <f t="shared" si="239"/>
        <v/>
      </c>
      <c r="T456" s="4" t="str">
        <f t="shared" si="240"/>
        <v/>
      </c>
      <c r="U456" s="4" t="str">
        <f t="shared" si="241"/>
        <v/>
      </c>
      <c r="V456" s="247"/>
      <c r="W456" s="67" t="str">
        <f t="shared" si="229"/>
        <v/>
      </c>
      <c r="X456" s="118"/>
      <c r="Z456" s="67" t="str">
        <f t="shared" si="230"/>
        <v/>
      </c>
      <c r="AA456" s="13">
        <f t="shared" si="231"/>
        <v>0</v>
      </c>
      <c r="AB456" s="17">
        <f t="shared" si="232"/>
        <v>0</v>
      </c>
      <c r="AC456" s="163" t="str">
        <f t="shared" si="233"/>
        <v/>
      </c>
      <c r="AD456" s="119"/>
      <c r="AE456" s="21"/>
      <c r="AF456" s="121"/>
      <c r="AG456" s="122"/>
      <c r="AH456" s="83" t="str">
        <f t="shared" si="202"/>
        <v/>
      </c>
      <c r="AI456" s="115"/>
      <c r="AJ456" s="116"/>
      <c r="AK456" s="83" t="str">
        <f t="shared" si="203"/>
        <v/>
      </c>
      <c r="AL456" s="85" t="str">
        <f t="shared" si="204"/>
        <v/>
      </c>
      <c r="AM456" s="254" t="str">
        <f t="shared" si="205"/>
        <v/>
      </c>
      <c r="AN456" s="254" t="str">
        <f t="shared" ca="1" si="206"/>
        <v/>
      </c>
      <c r="AO456" s="255" t="str">
        <f t="shared" si="207"/>
        <v/>
      </c>
    </row>
    <row r="457" spans="2:41" x14ac:dyDescent="0.25">
      <c r="B457" s="321"/>
      <c r="C457" s="17"/>
      <c r="E457" s="117"/>
      <c r="F457" s="4" t="str">
        <f t="shared" si="225"/>
        <v/>
      </c>
      <c r="G457" s="4" t="str">
        <f t="shared" si="226"/>
        <v/>
      </c>
      <c r="H457" s="4" t="str">
        <f t="shared" si="227"/>
        <v/>
      </c>
      <c r="I457" s="4" t="str">
        <f t="shared" si="228"/>
        <v/>
      </c>
      <c r="J457" s="247"/>
      <c r="K457" s="117"/>
      <c r="L457" s="4" t="str">
        <f t="shared" si="234"/>
        <v/>
      </c>
      <c r="M457" s="4" t="str">
        <f t="shared" si="235"/>
        <v/>
      </c>
      <c r="N457" s="4" t="str">
        <f t="shared" si="236"/>
        <v/>
      </c>
      <c r="O457" s="4" t="str">
        <f t="shared" si="237"/>
        <v/>
      </c>
      <c r="P457" s="247"/>
      <c r="Q457" s="117"/>
      <c r="R457" s="4" t="str">
        <f t="shared" si="238"/>
        <v/>
      </c>
      <c r="S457" s="4" t="str">
        <f t="shared" si="239"/>
        <v/>
      </c>
      <c r="T457" s="4" t="str">
        <f t="shared" si="240"/>
        <v/>
      </c>
      <c r="U457" s="4" t="str">
        <f t="shared" si="241"/>
        <v/>
      </c>
      <c r="V457" s="247"/>
      <c r="W457" s="67" t="str">
        <f t="shared" si="229"/>
        <v/>
      </c>
      <c r="X457" s="118"/>
      <c r="Z457" s="67" t="str">
        <f t="shared" si="230"/>
        <v/>
      </c>
      <c r="AA457" s="13">
        <f t="shared" si="231"/>
        <v>0</v>
      </c>
      <c r="AB457" s="17">
        <f t="shared" si="232"/>
        <v>0</v>
      </c>
      <c r="AC457" s="163" t="str">
        <f t="shared" si="233"/>
        <v/>
      </c>
      <c r="AD457" s="119"/>
      <c r="AE457" s="21"/>
      <c r="AF457" s="121"/>
      <c r="AG457" s="122"/>
      <c r="AH457" s="83" t="str">
        <f t="shared" si="202"/>
        <v/>
      </c>
      <c r="AI457" s="115"/>
      <c r="AJ457" s="116"/>
      <c r="AK457" s="83" t="str">
        <f t="shared" si="203"/>
        <v/>
      </c>
      <c r="AL457" s="85" t="str">
        <f t="shared" si="204"/>
        <v/>
      </c>
      <c r="AM457" s="254" t="str">
        <f t="shared" si="205"/>
        <v/>
      </c>
      <c r="AN457" s="254" t="str">
        <f t="shared" ca="1" si="206"/>
        <v/>
      </c>
      <c r="AO457" s="255" t="str">
        <f t="shared" si="207"/>
        <v/>
      </c>
    </row>
    <row r="458" spans="2:41" x14ac:dyDescent="0.25">
      <c r="B458" s="321"/>
      <c r="C458" s="17"/>
      <c r="E458" s="117"/>
      <c r="F458" s="4" t="str">
        <f t="shared" si="225"/>
        <v/>
      </c>
      <c r="G458" s="4" t="str">
        <f t="shared" si="226"/>
        <v/>
      </c>
      <c r="H458" s="4" t="str">
        <f t="shared" si="227"/>
        <v/>
      </c>
      <c r="I458" s="4" t="str">
        <f t="shared" si="228"/>
        <v/>
      </c>
      <c r="J458" s="247"/>
      <c r="K458" s="117"/>
      <c r="L458" s="4" t="str">
        <f t="shared" si="234"/>
        <v/>
      </c>
      <c r="M458" s="4" t="str">
        <f t="shared" si="235"/>
        <v/>
      </c>
      <c r="N458" s="4" t="str">
        <f t="shared" si="236"/>
        <v/>
      </c>
      <c r="O458" s="4" t="str">
        <f t="shared" si="237"/>
        <v/>
      </c>
      <c r="P458" s="247"/>
      <c r="Q458" s="117"/>
      <c r="R458" s="4" t="str">
        <f t="shared" si="238"/>
        <v/>
      </c>
      <c r="S458" s="4" t="str">
        <f t="shared" si="239"/>
        <v/>
      </c>
      <c r="T458" s="4" t="str">
        <f t="shared" si="240"/>
        <v/>
      </c>
      <c r="U458" s="4" t="str">
        <f t="shared" si="241"/>
        <v/>
      </c>
      <c r="V458" s="247"/>
      <c r="W458" s="67" t="str">
        <f t="shared" si="229"/>
        <v/>
      </c>
      <c r="X458" s="118"/>
      <c r="Z458" s="67" t="str">
        <f t="shared" si="230"/>
        <v/>
      </c>
      <c r="AA458" s="13">
        <f t="shared" si="231"/>
        <v>0</v>
      </c>
      <c r="AB458" s="17">
        <f t="shared" si="232"/>
        <v>0</v>
      </c>
      <c r="AC458" s="163" t="str">
        <f t="shared" si="233"/>
        <v/>
      </c>
      <c r="AD458" s="119"/>
      <c r="AE458" s="21"/>
      <c r="AF458" s="121"/>
      <c r="AG458" s="122"/>
      <c r="AH458" s="83" t="str">
        <f t="shared" si="202"/>
        <v/>
      </c>
      <c r="AI458" s="115"/>
      <c r="AJ458" s="116"/>
      <c r="AK458" s="83" t="str">
        <f t="shared" si="203"/>
        <v/>
      </c>
      <c r="AL458" s="85" t="str">
        <f t="shared" si="204"/>
        <v/>
      </c>
      <c r="AM458" s="254" t="str">
        <f t="shared" si="205"/>
        <v/>
      </c>
      <c r="AN458" s="254" t="str">
        <f t="shared" ca="1" si="206"/>
        <v/>
      </c>
      <c r="AO458" s="255" t="str">
        <f t="shared" si="207"/>
        <v/>
      </c>
    </row>
    <row r="459" spans="2:41" x14ac:dyDescent="0.25">
      <c r="B459" s="321"/>
      <c r="C459" s="17"/>
      <c r="E459" s="117"/>
      <c r="F459" s="4" t="str">
        <f t="shared" si="225"/>
        <v/>
      </c>
      <c r="G459" s="4" t="str">
        <f t="shared" si="226"/>
        <v/>
      </c>
      <c r="H459" s="4" t="str">
        <f t="shared" si="227"/>
        <v/>
      </c>
      <c r="I459" s="4" t="str">
        <f t="shared" si="228"/>
        <v/>
      </c>
      <c r="J459" s="247"/>
      <c r="K459" s="117"/>
      <c r="L459" s="4" t="str">
        <f t="shared" si="234"/>
        <v/>
      </c>
      <c r="M459" s="4" t="str">
        <f t="shared" si="235"/>
        <v/>
      </c>
      <c r="N459" s="4" t="str">
        <f t="shared" si="236"/>
        <v/>
      </c>
      <c r="O459" s="4" t="str">
        <f t="shared" si="237"/>
        <v/>
      </c>
      <c r="P459" s="247"/>
      <c r="Q459" s="117"/>
      <c r="R459" s="4" t="str">
        <f t="shared" si="238"/>
        <v/>
      </c>
      <c r="S459" s="4" t="str">
        <f t="shared" si="239"/>
        <v/>
      </c>
      <c r="T459" s="4" t="str">
        <f t="shared" si="240"/>
        <v/>
      </c>
      <c r="U459" s="4" t="str">
        <f t="shared" si="241"/>
        <v/>
      </c>
      <c r="V459" s="247"/>
      <c r="W459" s="67" t="str">
        <f t="shared" si="229"/>
        <v/>
      </c>
      <c r="X459" s="118"/>
      <c r="Z459" s="67" t="str">
        <f t="shared" si="230"/>
        <v/>
      </c>
      <c r="AA459" s="13">
        <f t="shared" si="231"/>
        <v>0</v>
      </c>
      <c r="AB459" s="17">
        <f t="shared" si="232"/>
        <v>0</v>
      </c>
      <c r="AC459" s="163" t="str">
        <f t="shared" si="233"/>
        <v/>
      </c>
      <c r="AD459" s="119"/>
      <c r="AE459" s="21"/>
      <c r="AF459" s="121"/>
      <c r="AG459" s="122"/>
      <c r="AH459" s="83" t="str">
        <f t="shared" si="202"/>
        <v/>
      </c>
      <c r="AI459" s="115"/>
      <c r="AJ459" s="116"/>
      <c r="AK459" s="83" t="str">
        <f t="shared" si="203"/>
        <v/>
      </c>
      <c r="AL459" s="85" t="str">
        <f t="shared" si="204"/>
        <v/>
      </c>
      <c r="AM459" s="254" t="str">
        <f t="shared" si="205"/>
        <v/>
      </c>
      <c r="AN459" s="254" t="str">
        <f t="shared" ca="1" si="206"/>
        <v/>
      </c>
      <c r="AO459" s="255" t="str">
        <f t="shared" si="207"/>
        <v/>
      </c>
    </row>
    <row r="460" spans="2:41" x14ac:dyDescent="0.25">
      <c r="B460" s="321"/>
      <c r="C460" s="17"/>
      <c r="E460" s="117"/>
      <c r="F460" s="4" t="str">
        <f t="shared" si="225"/>
        <v/>
      </c>
      <c r="G460" s="4" t="str">
        <f t="shared" si="226"/>
        <v/>
      </c>
      <c r="H460" s="4" t="str">
        <f t="shared" si="227"/>
        <v/>
      </c>
      <c r="I460" s="4" t="str">
        <f t="shared" si="228"/>
        <v/>
      </c>
      <c r="J460" s="247"/>
      <c r="K460" s="117"/>
      <c r="L460" s="4" t="str">
        <f t="shared" si="234"/>
        <v/>
      </c>
      <c r="M460" s="4" t="str">
        <f t="shared" si="235"/>
        <v/>
      </c>
      <c r="N460" s="4" t="str">
        <f t="shared" si="236"/>
        <v/>
      </c>
      <c r="O460" s="4" t="str">
        <f t="shared" si="237"/>
        <v/>
      </c>
      <c r="P460" s="247"/>
      <c r="Q460" s="117"/>
      <c r="R460" s="4" t="str">
        <f t="shared" si="238"/>
        <v/>
      </c>
      <c r="S460" s="4" t="str">
        <f t="shared" si="239"/>
        <v/>
      </c>
      <c r="T460" s="4" t="str">
        <f t="shared" si="240"/>
        <v/>
      </c>
      <c r="U460" s="4" t="str">
        <f t="shared" si="241"/>
        <v/>
      </c>
      <c r="V460" s="247"/>
      <c r="W460" s="67" t="str">
        <f t="shared" si="229"/>
        <v/>
      </c>
      <c r="X460" s="118"/>
      <c r="Z460" s="67" t="str">
        <f t="shared" si="230"/>
        <v/>
      </c>
      <c r="AA460" s="13">
        <f t="shared" si="231"/>
        <v>0</v>
      </c>
      <c r="AB460" s="17">
        <f t="shared" si="232"/>
        <v>0</v>
      </c>
      <c r="AC460" s="163" t="str">
        <f t="shared" si="233"/>
        <v/>
      </c>
      <c r="AD460" s="119"/>
      <c r="AE460" s="21"/>
      <c r="AF460" s="121"/>
      <c r="AG460" s="122"/>
      <c r="AH460" s="83" t="str">
        <f t="shared" si="202"/>
        <v/>
      </c>
      <c r="AI460" s="115"/>
      <c r="AJ460" s="116"/>
      <c r="AK460" s="83" t="str">
        <f t="shared" si="203"/>
        <v/>
      </c>
      <c r="AL460" s="85" t="str">
        <f t="shared" si="204"/>
        <v/>
      </c>
      <c r="AM460" s="254" t="str">
        <f t="shared" si="205"/>
        <v/>
      </c>
      <c r="AN460" s="254" t="str">
        <f t="shared" ca="1" si="206"/>
        <v/>
      </c>
      <c r="AO460" s="255" t="str">
        <f t="shared" si="207"/>
        <v/>
      </c>
    </row>
    <row r="461" spans="2:41" x14ac:dyDescent="0.25">
      <c r="B461" s="321"/>
      <c r="C461" s="17"/>
      <c r="E461" s="117"/>
      <c r="F461" s="4" t="str">
        <f t="shared" si="225"/>
        <v/>
      </c>
      <c r="G461" s="4" t="str">
        <f t="shared" si="226"/>
        <v/>
      </c>
      <c r="H461" s="4" t="str">
        <f t="shared" si="227"/>
        <v/>
      </c>
      <c r="I461" s="4" t="str">
        <f t="shared" si="228"/>
        <v/>
      </c>
      <c r="J461" s="247"/>
      <c r="K461" s="117"/>
      <c r="L461" s="4" t="str">
        <f t="shared" si="234"/>
        <v/>
      </c>
      <c r="M461" s="4" t="str">
        <f t="shared" si="235"/>
        <v/>
      </c>
      <c r="N461" s="4" t="str">
        <f t="shared" si="236"/>
        <v/>
      </c>
      <c r="O461" s="4" t="str">
        <f t="shared" si="237"/>
        <v/>
      </c>
      <c r="P461" s="247"/>
      <c r="Q461" s="117"/>
      <c r="R461" s="4" t="str">
        <f t="shared" si="238"/>
        <v/>
      </c>
      <c r="S461" s="4" t="str">
        <f t="shared" si="239"/>
        <v/>
      </c>
      <c r="T461" s="4" t="str">
        <f t="shared" si="240"/>
        <v/>
      </c>
      <c r="U461" s="4" t="str">
        <f t="shared" si="241"/>
        <v/>
      </c>
      <c r="V461" s="247"/>
      <c r="W461" s="67" t="str">
        <f t="shared" si="229"/>
        <v/>
      </c>
      <c r="X461" s="118"/>
      <c r="Z461" s="67" t="str">
        <f t="shared" si="230"/>
        <v/>
      </c>
      <c r="AA461" s="13">
        <f t="shared" si="231"/>
        <v>0</v>
      </c>
      <c r="AB461" s="17">
        <f t="shared" si="232"/>
        <v>0</v>
      </c>
      <c r="AC461" s="163" t="str">
        <f t="shared" si="233"/>
        <v/>
      </c>
      <c r="AD461" s="119"/>
      <c r="AE461" s="21"/>
      <c r="AF461" s="121"/>
      <c r="AG461" s="122"/>
      <c r="AH461" s="83" t="str">
        <f t="shared" si="202"/>
        <v/>
      </c>
      <c r="AI461" s="115"/>
      <c r="AJ461" s="116"/>
      <c r="AK461" s="83" t="str">
        <f t="shared" si="203"/>
        <v/>
      </c>
      <c r="AL461" s="85" t="str">
        <f t="shared" si="204"/>
        <v/>
      </c>
      <c r="AM461" s="254" t="str">
        <f t="shared" si="205"/>
        <v/>
      </c>
      <c r="AN461" s="254" t="str">
        <f t="shared" ca="1" si="206"/>
        <v/>
      </c>
      <c r="AO461" s="255" t="str">
        <f t="shared" si="207"/>
        <v/>
      </c>
    </row>
    <row r="462" spans="2:41" x14ac:dyDescent="0.25">
      <c r="B462" s="321"/>
      <c r="C462" s="17"/>
      <c r="E462" s="117"/>
      <c r="F462" s="4" t="str">
        <f t="shared" si="225"/>
        <v/>
      </c>
      <c r="G462" s="4" t="str">
        <f t="shared" si="226"/>
        <v/>
      </c>
      <c r="H462" s="4" t="str">
        <f t="shared" si="227"/>
        <v/>
      </c>
      <c r="I462" s="4" t="str">
        <f t="shared" si="228"/>
        <v/>
      </c>
      <c r="J462" s="247"/>
      <c r="K462" s="117"/>
      <c r="L462" s="4" t="str">
        <f t="shared" si="234"/>
        <v/>
      </c>
      <c r="M462" s="4" t="str">
        <f t="shared" si="235"/>
        <v/>
      </c>
      <c r="N462" s="4" t="str">
        <f t="shared" si="236"/>
        <v/>
      </c>
      <c r="O462" s="4" t="str">
        <f t="shared" si="237"/>
        <v/>
      </c>
      <c r="P462" s="247"/>
      <c r="Q462" s="117"/>
      <c r="R462" s="4" t="str">
        <f t="shared" si="238"/>
        <v/>
      </c>
      <c r="S462" s="4" t="str">
        <f t="shared" si="239"/>
        <v/>
      </c>
      <c r="T462" s="4" t="str">
        <f t="shared" si="240"/>
        <v/>
      </c>
      <c r="U462" s="4" t="str">
        <f t="shared" si="241"/>
        <v/>
      </c>
      <c r="V462" s="247"/>
      <c r="W462" s="67" t="str">
        <f t="shared" si="229"/>
        <v/>
      </c>
      <c r="X462" s="118"/>
      <c r="Z462" s="67" t="str">
        <f t="shared" si="230"/>
        <v/>
      </c>
      <c r="AA462" s="13">
        <f t="shared" si="231"/>
        <v>0</v>
      </c>
      <c r="AB462" s="17">
        <f t="shared" si="232"/>
        <v>0</v>
      </c>
      <c r="AC462" s="163" t="str">
        <f t="shared" si="233"/>
        <v/>
      </c>
      <c r="AD462" s="119"/>
      <c r="AE462" s="21"/>
      <c r="AF462" s="121"/>
      <c r="AG462" s="122"/>
      <c r="AH462" s="83" t="str">
        <f t="shared" si="202"/>
        <v/>
      </c>
      <c r="AI462" s="115"/>
      <c r="AJ462" s="116"/>
      <c r="AK462" s="83" t="str">
        <f t="shared" si="203"/>
        <v/>
      </c>
      <c r="AL462" s="85" t="str">
        <f t="shared" si="204"/>
        <v/>
      </c>
      <c r="AM462" s="254" t="str">
        <f t="shared" si="205"/>
        <v/>
      </c>
      <c r="AN462" s="254" t="str">
        <f t="shared" ca="1" si="206"/>
        <v/>
      </c>
      <c r="AO462" s="255" t="str">
        <f t="shared" si="207"/>
        <v/>
      </c>
    </row>
    <row r="463" spans="2:41" x14ac:dyDescent="0.25">
      <c r="B463" s="321"/>
      <c r="C463" s="17"/>
      <c r="E463" s="117"/>
      <c r="F463" s="4" t="str">
        <f t="shared" si="225"/>
        <v/>
      </c>
      <c r="G463" s="4" t="str">
        <f t="shared" si="226"/>
        <v/>
      </c>
      <c r="H463" s="4" t="str">
        <f t="shared" si="227"/>
        <v/>
      </c>
      <c r="I463" s="4" t="str">
        <f t="shared" si="228"/>
        <v/>
      </c>
      <c r="J463" s="247"/>
      <c r="K463" s="117"/>
      <c r="L463" s="4" t="str">
        <f t="shared" si="234"/>
        <v/>
      </c>
      <c r="M463" s="4" t="str">
        <f t="shared" si="235"/>
        <v/>
      </c>
      <c r="N463" s="4" t="str">
        <f t="shared" si="236"/>
        <v/>
      </c>
      <c r="O463" s="4" t="str">
        <f t="shared" si="237"/>
        <v/>
      </c>
      <c r="P463" s="247"/>
      <c r="Q463" s="117"/>
      <c r="R463" s="4" t="str">
        <f t="shared" si="238"/>
        <v/>
      </c>
      <c r="S463" s="4" t="str">
        <f t="shared" si="239"/>
        <v/>
      </c>
      <c r="T463" s="4" t="str">
        <f t="shared" si="240"/>
        <v/>
      </c>
      <c r="U463" s="4" t="str">
        <f t="shared" si="241"/>
        <v/>
      </c>
      <c r="V463" s="247"/>
      <c r="W463" s="67" t="str">
        <f t="shared" si="229"/>
        <v/>
      </c>
      <c r="X463" s="118"/>
      <c r="Z463" s="67" t="str">
        <f t="shared" si="230"/>
        <v/>
      </c>
      <c r="AA463" s="13">
        <f t="shared" si="231"/>
        <v>0</v>
      </c>
      <c r="AB463" s="17">
        <f t="shared" si="232"/>
        <v>0</v>
      </c>
      <c r="AC463" s="163" t="str">
        <f t="shared" si="233"/>
        <v/>
      </c>
      <c r="AD463" s="119"/>
      <c r="AE463" s="21"/>
      <c r="AF463" s="121"/>
      <c r="AG463" s="122"/>
      <c r="AH463" s="83" t="str">
        <f t="shared" si="202"/>
        <v/>
      </c>
      <c r="AI463" s="115"/>
      <c r="AJ463" s="116"/>
      <c r="AK463" s="83" t="str">
        <f t="shared" si="203"/>
        <v/>
      </c>
      <c r="AL463" s="85" t="str">
        <f t="shared" si="204"/>
        <v/>
      </c>
      <c r="AM463" s="254" t="str">
        <f t="shared" si="205"/>
        <v/>
      </c>
      <c r="AN463" s="254" t="str">
        <f t="shared" ca="1" si="206"/>
        <v/>
      </c>
      <c r="AO463" s="255" t="str">
        <f t="shared" si="207"/>
        <v/>
      </c>
    </row>
    <row r="464" spans="2:41" x14ac:dyDescent="0.25">
      <c r="B464" s="321"/>
      <c r="C464" s="17"/>
      <c r="E464" s="117"/>
      <c r="F464" s="4" t="str">
        <f t="shared" si="225"/>
        <v/>
      </c>
      <c r="G464" s="4" t="str">
        <f t="shared" si="226"/>
        <v/>
      </c>
      <c r="H464" s="4" t="str">
        <f t="shared" si="227"/>
        <v/>
      </c>
      <c r="I464" s="4" t="str">
        <f t="shared" si="228"/>
        <v/>
      </c>
      <c r="J464" s="247"/>
      <c r="K464" s="117"/>
      <c r="L464" s="4" t="str">
        <f t="shared" si="234"/>
        <v/>
      </c>
      <c r="M464" s="4" t="str">
        <f t="shared" si="235"/>
        <v/>
      </c>
      <c r="N464" s="4" t="str">
        <f t="shared" si="236"/>
        <v/>
      </c>
      <c r="O464" s="4" t="str">
        <f t="shared" si="237"/>
        <v/>
      </c>
      <c r="P464" s="247"/>
      <c r="Q464" s="117"/>
      <c r="R464" s="4" t="str">
        <f t="shared" si="238"/>
        <v/>
      </c>
      <c r="S464" s="4" t="str">
        <f t="shared" si="239"/>
        <v/>
      </c>
      <c r="T464" s="4" t="str">
        <f t="shared" si="240"/>
        <v/>
      </c>
      <c r="U464" s="4" t="str">
        <f t="shared" si="241"/>
        <v/>
      </c>
      <c r="V464" s="247"/>
      <c r="W464" s="67" t="str">
        <f t="shared" si="229"/>
        <v/>
      </c>
      <c r="X464" s="118"/>
      <c r="Z464" s="67" t="str">
        <f t="shared" si="230"/>
        <v/>
      </c>
      <c r="AA464" s="13">
        <f t="shared" si="231"/>
        <v>0</v>
      </c>
      <c r="AB464" s="17">
        <f t="shared" si="232"/>
        <v>0</v>
      </c>
      <c r="AC464" s="163" t="str">
        <f t="shared" si="233"/>
        <v/>
      </c>
      <c r="AD464" s="119"/>
      <c r="AE464" s="21"/>
      <c r="AF464" s="121"/>
      <c r="AG464" s="122"/>
      <c r="AH464" s="83" t="str">
        <f t="shared" si="202"/>
        <v/>
      </c>
      <c r="AI464" s="115"/>
      <c r="AJ464" s="116"/>
      <c r="AK464" s="83" t="str">
        <f t="shared" si="203"/>
        <v/>
      </c>
      <c r="AL464" s="85" t="str">
        <f t="shared" si="204"/>
        <v/>
      </c>
      <c r="AM464" s="254" t="str">
        <f t="shared" si="205"/>
        <v/>
      </c>
      <c r="AN464" s="254" t="str">
        <f t="shared" ca="1" si="206"/>
        <v/>
      </c>
      <c r="AO464" s="255" t="str">
        <f t="shared" si="207"/>
        <v/>
      </c>
    </row>
    <row r="465" spans="2:41" x14ac:dyDescent="0.25">
      <c r="B465" s="321"/>
      <c r="C465" s="17"/>
      <c r="E465" s="117"/>
      <c r="F465" s="4" t="str">
        <f t="shared" si="225"/>
        <v/>
      </c>
      <c r="G465" s="4" t="str">
        <f t="shared" si="226"/>
        <v/>
      </c>
      <c r="H465" s="4" t="str">
        <f t="shared" si="227"/>
        <v/>
      </c>
      <c r="I465" s="4" t="str">
        <f t="shared" si="228"/>
        <v/>
      </c>
      <c r="J465" s="247"/>
      <c r="K465" s="117"/>
      <c r="L465" s="4" t="str">
        <f t="shared" si="234"/>
        <v/>
      </c>
      <c r="M465" s="4" t="str">
        <f t="shared" si="235"/>
        <v/>
      </c>
      <c r="N465" s="4" t="str">
        <f t="shared" si="236"/>
        <v/>
      </c>
      <c r="O465" s="4" t="str">
        <f t="shared" si="237"/>
        <v/>
      </c>
      <c r="P465" s="247"/>
      <c r="Q465" s="117"/>
      <c r="R465" s="4" t="str">
        <f t="shared" si="238"/>
        <v/>
      </c>
      <c r="S465" s="4" t="str">
        <f t="shared" si="239"/>
        <v/>
      </c>
      <c r="T465" s="4" t="str">
        <f t="shared" si="240"/>
        <v/>
      </c>
      <c r="U465" s="4" t="str">
        <f t="shared" si="241"/>
        <v/>
      </c>
      <c r="V465" s="247"/>
      <c r="W465" s="67" t="str">
        <f t="shared" si="229"/>
        <v/>
      </c>
      <c r="X465" s="118"/>
      <c r="Z465" s="67" t="str">
        <f t="shared" si="230"/>
        <v/>
      </c>
      <c r="AA465" s="13">
        <f t="shared" si="231"/>
        <v>0</v>
      </c>
      <c r="AB465" s="17">
        <f t="shared" si="232"/>
        <v>0</v>
      </c>
      <c r="AC465" s="163" t="str">
        <f t="shared" si="233"/>
        <v/>
      </c>
      <c r="AD465" s="119"/>
      <c r="AE465" s="21"/>
      <c r="AF465" s="121"/>
      <c r="AG465" s="122"/>
      <c r="AH465" s="83" t="str">
        <f t="shared" si="202"/>
        <v/>
      </c>
      <c r="AI465" s="115"/>
      <c r="AJ465" s="116"/>
      <c r="AK465" s="83" t="str">
        <f t="shared" si="203"/>
        <v/>
      </c>
      <c r="AL465" s="85" t="str">
        <f t="shared" si="204"/>
        <v/>
      </c>
      <c r="AM465" s="254" t="str">
        <f t="shared" si="205"/>
        <v/>
      </c>
      <c r="AN465" s="254" t="str">
        <f t="shared" ca="1" si="206"/>
        <v/>
      </c>
      <c r="AO465" s="255" t="str">
        <f t="shared" si="207"/>
        <v/>
      </c>
    </row>
    <row r="466" spans="2:41" x14ac:dyDescent="0.25">
      <c r="B466" s="321"/>
      <c r="C466" s="17"/>
      <c r="E466" s="117"/>
      <c r="F466" s="4" t="str">
        <f t="shared" si="225"/>
        <v/>
      </c>
      <c r="G466" s="4" t="str">
        <f t="shared" si="226"/>
        <v/>
      </c>
      <c r="H466" s="4" t="str">
        <f t="shared" si="227"/>
        <v/>
      </c>
      <c r="I466" s="4" t="str">
        <f t="shared" si="228"/>
        <v/>
      </c>
      <c r="J466" s="247"/>
      <c r="K466" s="117"/>
      <c r="L466" s="4" t="str">
        <f t="shared" si="234"/>
        <v/>
      </c>
      <c r="M466" s="4" t="str">
        <f t="shared" si="235"/>
        <v/>
      </c>
      <c r="N466" s="4" t="str">
        <f t="shared" si="236"/>
        <v/>
      </c>
      <c r="O466" s="4" t="str">
        <f t="shared" si="237"/>
        <v/>
      </c>
      <c r="P466" s="247"/>
      <c r="Q466" s="117"/>
      <c r="R466" s="4" t="str">
        <f t="shared" si="238"/>
        <v/>
      </c>
      <c r="S466" s="4" t="str">
        <f t="shared" si="239"/>
        <v/>
      </c>
      <c r="T466" s="4" t="str">
        <f t="shared" si="240"/>
        <v/>
      </c>
      <c r="U466" s="4" t="str">
        <f t="shared" si="241"/>
        <v/>
      </c>
      <c r="V466" s="247"/>
      <c r="W466" s="67" t="str">
        <f t="shared" si="229"/>
        <v/>
      </c>
      <c r="X466" s="118"/>
      <c r="Z466" s="67" t="str">
        <f t="shared" si="230"/>
        <v/>
      </c>
      <c r="AA466" s="13">
        <f t="shared" si="231"/>
        <v>0</v>
      </c>
      <c r="AB466" s="17">
        <f t="shared" si="232"/>
        <v>0</v>
      </c>
      <c r="AC466" s="163" t="str">
        <f t="shared" si="233"/>
        <v/>
      </c>
      <c r="AD466" s="119"/>
      <c r="AE466" s="21"/>
      <c r="AF466" s="121"/>
      <c r="AG466" s="122"/>
      <c r="AH466" s="83" t="str">
        <f t="shared" si="202"/>
        <v/>
      </c>
      <c r="AI466" s="115"/>
      <c r="AJ466" s="116"/>
      <c r="AK466" s="83" t="str">
        <f t="shared" si="203"/>
        <v/>
      </c>
      <c r="AL466" s="85" t="str">
        <f t="shared" si="204"/>
        <v/>
      </c>
      <c r="AM466" s="254" t="str">
        <f t="shared" si="205"/>
        <v/>
      </c>
      <c r="AN466" s="254" t="str">
        <f t="shared" ca="1" si="206"/>
        <v/>
      </c>
      <c r="AO466" s="255" t="str">
        <f t="shared" si="207"/>
        <v/>
      </c>
    </row>
    <row r="467" spans="2:41" x14ac:dyDescent="0.25">
      <c r="B467" s="321"/>
      <c r="C467" s="17"/>
      <c r="E467" s="117"/>
      <c r="F467" s="4" t="str">
        <f t="shared" si="225"/>
        <v/>
      </c>
      <c r="G467" s="4" t="str">
        <f t="shared" si="226"/>
        <v/>
      </c>
      <c r="H467" s="4" t="str">
        <f t="shared" si="227"/>
        <v/>
      </c>
      <c r="I467" s="4" t="str">
        <f t="shared" si="228"/>
        <v/>
      </c>
      <c r="J467" s="247"/>
      <c r="K467" s="117"/>
      <c r="L467" s="4" t="str">
        <f t="shared" si="234"/>
        <v/>
      </c>
      <c r="M467" s="4" t="str">
        <f t="shared" si="235"/>
        <v/>
      </c>
      <c r="N467" s="4" t="str">
        <f t="shared" si="236"/>
        <v/>
      </c>
      <c r="O467" s="4" t="str">
        <f t="shared" si="237"/>
        <v/>
      </c>
      <c r="P467" s="247"/>
      <c r="Q467" s="117"/>
      <c r="R467" s="4" t="str">
        <f t="shared" si="238"/>
        <v/>
      </c>
      <c r="S467" s="4" t="str">
        <f t="shared" si="239"/>
        <v/>
      </c>
      <c r="T467" s="4" t="str">
        <f t="shared" si="240"/>
        <v/>
      </c>
      <c r="U467" s="4" t="str">
        <f t="shared" si="241"/>
        <v/>
      </c>
      <c r="V467" s="247"/>
      <c r="W467" s="67" t="str">
        <f t="shared" si="229"/>
        <v/>
      </c>
      <c r="X467" s="118"/>
      <c r="Z467" s="67" t="str">
        <f t="shared" si="230"/>
        <v/>
      </c>
      <c r="AA467" s="13">
        <f t="shared" si="231"/>
        <v>0</v>
      </c>
      <c r="AB467" s="17">
        <f t="shared" si="232"/>
        <v>0</v>
      </c>
      <c r="AC467" s="163" t="str">
        <f t="shared" si="233"/>
        <v/>
      </c>
      <c r="AD467" s="119"/>
      <c r="AE467" s="21"/>
      <c r="AF467" s="121"/>
      <c r="AG467" s="122"/>
      <c r="AH467" s="83" t="str">
        <f t="shared" si="202"/>
        <v/>
      </c>
      <c r="AI467" s="115"/>
      <c r="AJ467" s="116"/>
      <c r="AK467" s="83" t="str">
        <f t="shared" si="203"/>
        <v/>
      </c>
      <c r="AL467" s="85" t="str">
        <f t="shared" si="204"/>
        <v/>
      </c>
      <c r="AM467" s="254" t="str">
        <f t="shared" si="205"/>
        <v/>
      </c>
      <c r="AN467" s="254" t="str">
        <f t="shared" ca="1" si="206"/>
        <v/>
      </c>
      <c r="AO467" s="255" t="str">
        <f t="shared" si="207"/>
        <v/>
      </c>
    </row>
    <row r="468" spans="2:41" x14ac:dyDescent="0.25">
      <c r="B468" s="321"/>
      <c r="C468" s="17"/>
      <c r="E468" s="117"/>
      <c r="F468" s="4" t="str">
        <f t="shared" si="225"/>
        <v/>
      </c>
      <c r="G468" s="4" t="str">
        <f t="shared" si="226"/>
        <v/>
      </c>
      <c r="H468" s="4" t="str">
        <f t="shared" si="227"/>
        <v/>
      </c>
      <c r="I468" s="4" t="str">
        <f t="shared" si="228"/>
        <v/>
      </c>
      <c r="J468" s="247"/>
      <c r="K468" s="117"/>
      <c r="L468" s="4" t="str">
        <f t="shared" si="234"/>
        <v/>
      </c>
      <c r="M468" s="4" t="str">
        <f t="shared" si="235"/>
        <v/>
      </c>
      <c r="N468" s="4" t="str">
        <f t="shared" si="236"/>
        <v/>
      </c>
      <c r="O468" s="4" t="str">
        <f t="shared" si="237"/>
        <v/>
      </c>
      <c r="P468" s="247"/>
      <c r="Q468" s="117"/>
      <c r="R468" s="4" t="str">
        <f t="shared" si="238"/>
        <v/>
      </c>
      <c r="S468" s="4" t="str">
        <f t="shared" si="239"/>
        <v/>
      </c>
      <c r="T468" s="4" t="str">
        <f t="shared" si="240"/>
        <v/>
      </c>
      <c r="U468" s="4" t="str">
        <f t="shared" si="241"/>
        <v/>
      </c>
      <c r="V468" s="247"/>
      <c r="W468" s="67" t="str">
        <f t="shared" si="229"/>
        <v/>
      </c>
      <c r="X468" s="118"/>
      <c r="Z468" s="67" t="str">
        <f t="shared" si="230"/>
        <v/>
      </c>
      <c r="AA468" s="13">
        <f t="shared" si="231"/>
        <v>0</v>
      </c>
      <c r="AB468" s="17">
        <f t="shared" si="232"/>
        <v>0</v>
      </c>
      <c r="AC468" s="163" t="str">
        <f t="shared" si="233"/>
        <v/>
      </c>
      <c r="AD468" s="119"/>
      <c r="AE468" s="21"/>
      <c r="AF468" s="121"/>
      <c r="AG468" s="122"/>
      <c r="AH468" s="83" t="str">
        <f t="shared" si="202"/>
        <v/>
      </c>
      <c r="AI468" s="115"/>
      <c r="AJ468" s="116"/>
      <c r="AK468" s="83" t="str">
        <f t="shared" si="203"/>
        <v/>
      </c>
      <c r="AL468" s="85" t="str">
        <f t="shared" si="204"/>
        <v/>
      </c>
      <c r="AM468" s="254" t="str">
        <f t="shared" si="205"/>
        <v/>
      </c>
      <c r="AN468" s="254" t="str">
        <f t="shared" ca="1" si="206"/>
        <v/>
      </c>
      <c r="AO468" s="255" t="str">
        <f t="shared" si="207"/>
        <v/>
      </c>
    </row>
    <row r="469" spans="2:41" x14ac:dyDescent="0.25">
      <c r="B469" s="321"/>
      <c r="C469" s="17"/>
      <c r="E469" s="117"/>
      <c r="F469" s="4" t="str">
        <f t="shared" si="225"/>
        <v/>
      </c>
      <c r="G469" s="4" t="str">
        <f t="shared" si="226"/>
        <v/>
      </c>
      <c r="H469" s="4" t="str">
        <f t="shared" si="227"/>
        <v/>
      </c>
      <c r="I469" s="4" t="str">
        <f t="shared" si="228"/>
        <v/>
      </c>
      <c r="J469" s="247"/>
      <c r="K469" s="117"/>
      <c r="L469" s="4" t="str">
        <f t="shared" si="234"/>
        <v/>
      </c>
      <c r="M469" s="4" t="str">
        <f t="shared" si="235"/>
        <v/>
      </c>
      <c r="N469" s="4" t="str">
        <f t="shared" si="236"/>
        <v/>
      </c>
      <c r="O469" s="4" t="str">
        <f t="shared" si="237"/>
        <v/>
      </c>
      <c r="P469" s="247"/>
      <c r="Q469" s="117"/>
      <c r="R469" s="4" t="str">
        <f t="shared" si="238"/>
        <v/>
      </c>
      <c r="S469" s="4" t="str">
        <f t="shared" si="239"/>
        <v/>
      </c>
      <c r="T469" s="4" t="str">
        <f t="shared" si="240"/>
        <v/>
      </c>
      <c r="U469" s="4" t="str">
        <f t="shared" si="241"/>
        <v/>
      </c>
      <c r="V469" s="247"/>
      <c r="W469" s="67" t="str">
        <f t="shared" si="229"/>
        <v/>
      </c>
      <c r="X469" s="118"/>
      <c r="Z469" s="67" t="str">
        <f t="shared" si="230"/>
        <v/>
      </c>
      <c r="AA469" s="13">
        <f t="shared" si="231"/>
        <v>0</v>
      </c>
      <c r="AB469" s="17">
        <f t="shared" si="232"/>
        <v>0</v>
      </c>
      <c r="AC469" s="163" t="str">
        <f t="shared" si="233"/>
        <v/>
      </c>
      <c r="AD469" s="119"/>
      <c r="AE469" s="21"/>
      <c r="AF469" s="121"/>
      <c r="AG469" s="122"/>
      <c r="AH469" s="83" t="str">
        <f t="shared" si="202"/>
        <v/>
      </c>
      <c r="AI469" s="115"/>
      <c r="AJ469" s="116"/>
      <c r="AK469" s="83" t="str">
        <f t="shared" si="203"/>
        <v/>
      </c>
      <c r="AL469" s="85" t="str">
        <f t="shared" si="204"/>
        <v/>
      </c>
      <c r="AM469" s="254" t="str">
        <f t="shared" si="205"/>
        <v/>
      </c>
      <c r="AN469" s="254" t="str">
        <f t="shared" ca="1" si="206"/>
        <v/>
      </c>
      <c r="AO469" s="255" t="str">
        <f t="shared" si="207"/>
        <v/>
      </c>
    </row>
    <row r="470" spans="2:41" x14ac:dyDescent="0.25">
      <c r="B470" s="321"/>
      <c r="C470" s="17"/>
      <c r="E470" s="117"/>
      <c r="F470" s="4" t="str">
        <f t="shared" si="225"/>
        <v/>
      </c>
      <c r="G470" s="4" t="str">
        <f t="shared" si="226"/>
        <v/>
      </c>
      <c r="H470" s="4" t="str">
        <f t="shared" si="227"/>
        <v/>
      </c>
      <c r="I470" s="4" t="str">
        <f t="shared" si="228"/>
        <v/>
      </c>
      <c r="J470" s="247"/>
      <c r="K470" s="117"/>
      <c r="L470" s="4" t="str">
        <f t="shared" si="234"/>
        <v/>
      </c>
      <c r="M470" s="4" t="str">
        <f t="shared" si="235"/>
        <v/>
      </c>
      <c r="N470" s="4" t="str">
        <f t="shared" si="236"/>
        <v/>
      </c>
      <c r="O470" s="4" t="str">
        <f t="shared" si="237"/>
        <v/>
      </c>
      <c r="P470" s="247"/>
      <c r="Q470" s="117"/>
      <c r="R470" s="4" t="str">
        <f t="shared" si="238"/>
        <v/>
      </c>
      <c r="S470" s="4" t="str">
        <f t="shared" si="239"/>
        <v/>
      </c>
      <c r="T470" s="4" t="str">
        <f t="shared" si="240"/>
        <v/>
      </c>
      <c r="U470" s="4" t="str">
        <f t="shared" si="241"/>
        <v/>
      </c>
      <c r="V470" s="247"/>
      <c r="W470" s="67" t="str">
        <f t="shared" si="229"/>
        <v/>
      </c>
      <c r="X470" s="118"/>
      <c r="Z470" s="67" t="str">
        <f t="shared" si="230"/>
        <v/>
      </c>
      <c r="AA470" s="13">
        <f t="shared" si="231"/>
        <v>0</v>
      </c>
      <c r="AB470" s="17">
        <f t="shared" si="232"/>
        <v>0</v>
      </c>
      <c r="AC470" s="163" t="str">
        <f t="shared" si="233"/>
        <v/>
      </c>
      <c r="AD470" s="119"/>
      <c r="AE470" s="21"/>
      <c r="AF470" s="121"/>
      <c r="AG470" s="122"/>
      <c r="AH470" s="83" t="str">
        <f t="shared" si="202"/>
        <v/>
      </c>
      <c r="AI470" s="115"/>
      <c r="AJ470" s="116"/>
      <c r="AK470" s="83" t="str">
        <f t="shared" si="203"/>
        <v/>
      </c>
      <c r="AL470" s="85" t="str">
        <f t="shared" si="204"/>
        <v/>
      </c>
      <c r="AM470" s="254" t="str">
        <f t="shared" si="205"/>
        <v/>
      </c>
      <c r="AN470" s="254" t="str">
        <f t="shared" ca="1" si="206"/>
        <v/>
      </c>
      <c r="AO470" s="255" t="str">
        <f t="shared" si="207"/>
        <v/>
      </c>
    </row>
    <row r="471" spans="2:41" x14ac:dyDescent="0.25">
      <c r="B471" s="321"/>
      <c r="C471" s="17"/>
      <c r="E471" s="117"/>
      <c r="F471" s="4" t="str">
        <f t="shared" si="225"/>
        <v/>
      </c>
      <c r="G471" s="4" t="str">
        <f t="shared" si="226"/>
        <v/>
      </c>
      <c r="H471" s="4" t="str">
        <f t="shared" si="227"/>
        <v/>
      </c>
      <c r="I471" s="4" t="str">
        <f t="shared" si="228"/>
        <v/>
      </c>
      <c r="J471" s="247"/>
      <c r="K471" s="117"/>
      <c r="L471" s="4" t="str">
        <f t="shared" si="234"/>
        <v/>
      </c>
      <c r="M471" s="4" t="str">
        <f t="shared" si="235"/>
        <v/>
      </c>
      <c r="N471" s="4" t="str">
        <f t="shared" si="236"/>
        <v/>
      </c>
      <c r="O471" s="4" t="str">
        <f t="shared" si="237"/>
        <v/>
      </c>
      <c r="P471" s="247"/>
      <c r="Q471" s="117"/>
      <c r="R471" s="4" t="str">
        <f t="shared" si="238"/>
        <v/>
      </c>
      <c r="S471" s="4" t="str">
        <f t="shared" si="239"/>
        <v/>
      </c>
      <c r="T471" s="4" t="str">
        <f t="shared" si="240"/>
        <v/>
      </c>
      <c r="U471" s="4" t="str">
        <f t="shared" si="241"/>
        <v/>
      </c>
      <c r="V471" s="247"/>
      <c r="W471" s="67" t="str">
        <f t="shared" si="229"/>
        <v/>
      </c>
      <c r="X471" s="118"/>
      <c r="Z471" s="67" t="str">
        <f t="shared" si="230"/>
        <v/>
      </c>
      <c r="AA471" s="13">
        <f t="shared" si="231"/>
        <v>0</v>
      </c>
      <c r="AB471" s="17">
        <f t="shared" si="232"/>
        <v>0</v>
      </c>
      <c r="AC471" s="163" t="str">
        <f t="shared" si="233"/>
        <v/>
      </c>
      <c r="AD471" s="119"/>
      <c r="AE471" s="21"/>
      <c r="AF471" s="121"/>
      <c r="AG471" s="122"/>
      <c r="AH471" s="83" t="str">
        <f t="shared" si="202"/>
        <v/>
      </c>
      <c r="AI471" s="115"/>
      <c r="AJ471" s="116"/>
      <c r="AK471" s="83" t="str">
        <f t="shared" si="203"/>
        <v/>
      </c>
      <c r="AL471" s="85" t="str">
        <f t="shared" si="204"/>
        <v/>
      </c>
      <c r="AM471" s="254" t="str">
        <f t="shared" si="205"/>
        <v/>
      </c>
      <c r="AN471" s="254" t="str">
        <f t="shared" ca="1" si="206"/>
        <v/>
      </c>
      <c r="AO471" s="255" t="str">
        <f t="shared" si="207"/>
        <v/>
      </c>
    </row>
    <row r="472" spans="2:41" x14ac:dyDescent="0.25">
      <c r="B472" s="321"/>
      <c r="C472" s="17"/>
      <c r="E472" s="117"/>
      <c r="F472" s="4" t="str">
        <f t="shared" si="225"/>
        <v/>
      </c>
      <c r="G472" s="4" t="str">
        <f t="shared" si="226"/>
        <v/>
      </c>
      <c r="H472" s="4" t="str">
        <f t="shared" si="227"/>
        <v/>
      </c>
      <c r="I472" s="4" t="str">
        <f t="shared" si="228"/>
        <v/>
      </c>
      <c r="J472" s="247"/>
      <c r="K472" s="117"/>
      <c r="L472" s="4" t="str">
        <f t="shared" si="234"/>
        <v/>
      </c>
      <c r="M472" s="4" t="str">
        <f t="shared" si="235"/>
        <v/>
      </c>
      <c r="N472" s="4" t="str">
        <f t="shared" si="236"/>
        <v/>
      </c>
      <c r="O472" s="4" t="str">
        <f t="shared" si="237"/>
        <v/>
      </c>
      <c r="P472" s="247"/>
      <c r="Q472" s="117"/>
      <c r="R472" s="4" t="str">
        <f t="shared" si="238"/>
        <v/>
      </c>
      <c r="S472" s="4" t="str">
        <f t="shared" si="239"/>
        <v/>
      </c>
      <c r="T472" s="4" t="str">
        <f t="shared" si="240"/>
        <v/>
      </c>
      <c r="U472" s="4" t="str">
        <f t="shared" si="241"/>
        <v/>
      </c>
      <c r="V472" s="247"/>
      <c r="W472" s="67" t="str">
        <f t="shared" si="229"/>
        <v/>
      </c>
      <c r="X472" s="118"/>
      <c r="Z472" s="67" t="str">
        <f t="shared" si="230"/>
        <v/>
      </c>
      <c r="AA472" s="13">
        <f t="shared" si="231"/>
        <v>0</v>
      </c>
      <c r="AB472" s="17">
        <f t="shared" si="232"/>
        <v>0</v>
      </c>
      <c r="AC472" s="163" t="str">
        <f t="shared" si="233"/>
        <v/>
      </c>
      <c r="AD472" s="119"/>
      <c r="AE472" s="21"/>
      <c r="AF472" s="121"/>
      <c r="AG472" s="122"/>
      <c r="AH472" s="83" t="str">
        <f t="shared" si="202"/>
        <v/>
      </c>
      <c r="AI472" s="115"/>
      <c r="AJ472" s="116"/>
      <c r="AK472" s="83" t="str">
        <f t="shared" si="203"/>
        <v/>
      </c>
      <c r="AL472" s="85" t="str">
        <f t="shared" si="204"/>
        <v/>
      </c>
      <c r="AM472" s="254" t="str">
        <f t="shared" si="205"/>
        <v/>
      </c>
      <c r="AN472" s="254" t="str">
        <f t="shared" ca="1" si="206"/>
        <v/>
      </c>
      <c r="AO472" s="255" t="str">
        <f t="shared" si="207"/>
        <v/>
      </c>
    </row>
    <row r="473" spans="2:41" x14ac:dyDescent="0.25">
      <c r="B473" s="321"/>
      <c r="C473" s="17"/>
      <c r="E473" s="117"/>
      <c r="F473" s="4" t="str">
        <f t="shared" si="225"/>
        <v/>
      </c>
      <c r="G473" s="4" t="str">
        <f t="shared" si="226"/>
        <v/>
      </c>
      <c r="H473" s="4" t="str">
        <f t="shared" si="227"/>
        <v/>
      </c>
      <c r="I473" s="4" t="str">
        <f t="shared" si="228"/>
        <v/>
      </c>
      <c r="J473" s="247"/>
      <c r="K473" s="117"/>
      <c r="L473" s="4" t="str">
        <f t="shared" si="234"/>
        <v/>
      </c>
      <c r="M473" s="4" t="str">
        <f t="shared" si="235"/>
        <v/>
      </c>
      <c r="N473" s="4" t="str">
        <f t="shared" si="236"/>
        <v/>
      </c>
      <c r="O473" s="4" t="str">
        <f t="shared" si="237"/>
        <v/>
      </c>
      <c r="P473" s="247"/>
      <c r="Q473" s="117"/>
      <c r="R473" s="4" t="str">
        <f t="shared" si="238"/>
        <v/>
      </c>
      <c r="S473" s="4" t="str">
        <f t="shared" si="239"/>
        <v/>
      </c>
      <c r="T473" s="4" t="str">
        <f t="shared" si="240"/>
        <v/>
      </c>
      <c r="U473" s="4" t="str">
        <f t="shared" si="241"/>
        <v/>
      </c>
      <c r="V473" s="247"/>
      <c r="W473" s="67" t="str">
        <f t="shared" si="229"/>
        <v/>
      </c>
      <c r="X473" s="118"/>
      <c r="Z473" s="67" t="str">
        <f t="shared" si="230"/>
        <v/>
      </c>
      <c r="AA473" s="13">
        <f t="shared" si="231"/>
        <v>0</v>
      </c>
      <c r="AB473" s="17">
        <f t="shared" si="232"/>
        <v>0</v>
      </c>
      <c r="AC473" s="163" t="str">
        <f t="shared" si="233"/>
        <v/>
      </c>
      <c r="AD473" s="119"/>
      <c r="AE473" s="21"/>
      <c r="AF473" s="121"/>
      <c r="AG473" s="122"/>
      <c r="AH473" s="83" t="str">
        <f t="shared" si="202"/>
        <v/>
      </c>
      <c r="AI473" s="115"/>
      <c r="AJ473" s="116"/>
      <c r="AK473" s="83" t="str">
        <f t="shared" si="203"/>
        <v/>
      </c>
      <c r="AL473" s="85" t="str">
        <f t="shared" si="204"/>
        <v/>
      </c>
      <c r="AM473" s="254" t="str">
        <f t="shared" si="205"/>
        <v/>
      </c>
      <c r="AN473" s="254" t="str">
        <f t="shared" ca="1" si="206"/>
        <v/>
      </c>
      <c r="AO473" s="255" t="str">
        <f t="shared" si="207"/>
        <v/>
      </c>
    </row>
    <row r="474" spans="2:41" x14ac:dyDescent="0.25">
      <c r="B474" s="321"/>
      <c r="C474" s="17"/>
      <c r="E474" s="117"/>
      <c r="F474" s="4" t="str">
        <f t="shared" si="225"/>
        <v/>
      </c>
      <c r="G474" s="4" t="str">
        <f t="shared" si="226"/>
        <v/>
      </c>
      <c r="H474" s="4" t="str">
        <f t="shared" si="227"/>
        <v/>
      </c>
      <c r="I474" s="4" t="str">
        <f t="shared" si="228"/>
        <v/>
      </c>
      <c r="J474" s="247"/>
      <c r="K474" s="117"/>
      <c r="L474" s="4" t="str">
        <f t="shared" si="234"/>
        <v/>
      </c>
      <c r="M474" s="4" t="str">
        <f t="shared" si="235"/>
        <v/>
      </c>
      <c r="N474" s="4" t="str">
        <f t="shared" si="236"/>
        <v/>
      </c>
      <c r="O474" s="4" t="str">
        <f t="shared" si="237"/>
        <v/>
      </c>
      <c r="P474" s="247"/>
      <c r="Q474" s="117"/>
      <c r="R474" s="4" t="str">
        <f t="shared" si="238"/>
        <v/>
      </c>
      <c r="S474" s="4" t="str">
        <f t="shared" si="239"/>
        <v/>
      </c>
      <c r="T474" s="4" t="str">
        <f t="shared" si="240"/>
        <v/>
      </c>
      <c r="U474" s="4" t="str">
        <f t="shared" si="241"/>
        <v/>
      </c>
      <c r="V474" s="247"/>
      <c r="W474" s="67" t="str">
        <f t="shared" si="229"/>
        <v/>
      </c>
      <c r="X474" s="118"/>
      <c r="Z474" s="67" t="str">
        <f t="shared" si="230"/>
        <v/>
      </c>
      <c r="AA474" s="13">
        <f t="shared" si="231"/>
        <v>0</v>
      </c>
      <c r="AB474" s="17">
        <f t="shared" si="232"/>
        <v>0</v>
      </c>
      <c r="AC474" s="163" t="str">
        <f t="shared" si="233"/>
        <v/>
      </c>
      <c r="AD474" s="119"/>
      <c r="AE474" s="21"/>
      <c r="AF474" s="121"/>
      <c r="AG474" s="122"/>
      <c r="AH474" s="83" t="str">
        <f t="shared" si="202"/>
        <v/>
      </c>
      <c r="AI474" s="115"/>
      <c r="AJ474" s="116"/>
      <c r="AK474" s="83" t="str">
        <f t="shared" si="203"/>
        <v/>
      </c>
      <c r="AL474" s="85" t="str">
        <f t="shared" si="204"/>
        <v/>
      </c>
      <c r="AM474" s="254" t="str">
        <f t="shared" si="205"/>
        <v/>
      </c>
      <c r="AN474" s="254" t="str">
        <f t="shared" ca="1" si="206"/>
        <v/>
      </c>
      <c r="AO474" s="255" t="str">
        <f t="shared" si="207"/>
        <v/>
      </c>
    </row>
    <row r="475" spans="2:41" x14ac:dyDescent="0.25">
      <c r="B475" s="321"/>
      <c r="C475" s="17"/>
      <c r="E475" s="117"/>
      <c r="F475" s="4" t="str">
        <f t="shared" si="225"/>
        <v/>
      </c>
      <c r="G475" s="4" t="str">
        <f t="shared" si="226"/>
        <v/>
      </c>
      <c r="H475" s="4" t="str">
        <f t="shared" si="227"/>
        <v/>
      </c>
      <c r="I475" s="4" t="str">
        <f t="shared" si="228"/>
        <v/>
      </c>
      <c r="J475" s="247"/>
      <c r="K475" s="117"/>
      <c r="L475" s="4" t="str">
        <f t="shared" si="234"/>
        <v/>
      </c>
      <c r="M475" s="4" t="str">
        <f t="shared" si="235"/>
        <v/>
      </c>
      <c r="N475" s="4" t="str">
        <f t="shared" si="236"/>
        <v/>
      </c>
      <c r="O475" s="4" t="str">
        <f t="shared" si="237"/>
        <v/>
      </c>
      <c r="P475" s="247"/>
      <c r="Q475" s="117"/>
      <c r="R475" s="4" t="str">
        <f t="shared" si="238"/>
        <v/>
      </c>
      <c r="S475" s="4" t="str">
        <f t="shared" si="239"/>
        <v/>
      </c>
      <c r="T475" s="4" t="str">
        <f t="shared" si="240"/>
        <v/>
      </c>
      <c r="U475" s="4" t="str">
        <f t="shared" si="241"/>
        <v/>
      </c>
      <c r="V475" s="247"/>
      <c r="W475" s="67" t="str">
        <f t="shared" si="229"/>
        <v/>
      </c>
      <c r="X475" s="118"/>
      <c r="Z475" s="67" t="str">
        <f t="shared" si="230"/>
        <v/>
      </c>
      <c r="AA475" s="13">
        <f t="shared" si="231"/>
        <v>0</v>
      </c>
      <c r="AB475" s="17">
        <f t="shared" si="232"/>
        <v>0</v>
      </c>
      <c r="AC475" s="163" t="str">
        <f t="shared" si="233"/>
        <v/>
      </c>
      <c r="AD475" s="119"/>
      <c r="AE475" s="21"/>
      <c r="AF475" s="121"/>
      <c r="AG475" s="122"/>
      <c r="AH475" s="83" t="str">
        <f t="shared" si="202"/>
        <v/>
      </c>
      <c r="AI475" s="115"/>
      <c r="AJ475" s="116"/>
      <c r="AK475" s="83" t="str">
        <f t="shared" si="203"/>
        <v/>
      </c>
      <c r="AL475" s="85" t="str">
        <f t="shared" si="204"/>
        <v/>
      </c>
      <c r="AM475" s="254" t="str">
        <f t="shared" si="205"/>
        <v/>
      </c>
      <c r="AN475" s="254" t="str">
        <f t="shared" ca="1" si="206"/>
        <v/>
      </c>
      <c r="AO475" s="255" t="str">
        <f t="shared" si="207"/>
        <v/>
      </c>
    </row>
    <row r="476" spans="2:41" x14ac:dyDescent="0.25">
      <c r="B476" s="321"/>
      <c r="C476" s="17"/>
      <c r="E476" s="117"/>
      <c r="F476" s="4" t="str">
        <f t="shared" si="225"/>
        <v/>
      </c>
      <c r="G476" s="4" t="str">
        <f t="shared" si="226"/>
        <v/>
      </c>
      <c r="H476" s="4" t="str">
        <f t="shared" si="227"/>
        <v/>
      </c>
      <c r="I476" s="4" t="str">
        <f t="shared" si="228"/>
        <v/>
      </c>
      <c r="J476" s="247"/>
      <c r="K476" s="117"/>
      <c r="L476" s="4" t="str">
        <f t="shared" si="234"/>
        <v/>
      </c>
      <c r="M476" s="4" t="str">
        <f t="shared" si="235"/>
        <v/>
      </c>
      <c r="N476" s="4" t="str">
        <f t="shared" si="236"/>
        <v/>
      </c>
      <c r="O476" s="4" t="str">
        <f t="shared" si="237"/>
        <v/>
      </c>
      <c r="P476" s="247"/>
      <c r="Q476" s="117"/>
      <c r="R476" s="4" t="str">
        <f t="shared" si="238"/>
        <v/>
      </c>
      <c r="S476" s="4" t="str">
        <f t="shared" si="239"/>
        <v/>
      </c>
      <c r="T476" s="4" t="str">
        <f t="shared" si="240"/>
        <v/>
      </c>
      <c r="U476" s="4" t="str">
        <f t="shared" si="241"/>
        <v/>
      </c>
      <c r="V476" s="247"/>
      <c r="W476" s="67" t="str">
        <f t="shared" si="229"/>
        <v/>
      </c>
      <c r="X476" s="118"/>
      <c r="Z476" s="67" t="str">
        <f t="shared" si="230"/>
        <v/>
      </c>
      <c r="AA476" s="13">
        <f t="shared" si="231"/>
        <v>0</v>
      </c>
      <c r="AB476" s="17">
        <f t="shared" si="232"/>
        <v>0</v>
      </c>
      <c r="AC476" s="163" t="str">
        <f t="shared" si="233"/>
        <v/>
      </c>
      <c r="AD476" s="119"/>
      <c r="AE476" s="21"/>
      <c r="AF476" s="121"/>
      <c r="AG476" s="122"/>
      <c r="AH476" s="83" t="str">
        <f t="shared" si="202"/>
        <v/>
      </c>
      <c r="AI476" s="115"/>
      <c r="AJ476" s="116"/>
      <c r="AK476" s="83" t="str">
        <f t="shared" si="203"/>
        <v/>
      </c>
      <c r="AL476" s="85" t="str">
        <f t="shared" si="204"/>
        <v/>
      </c>
      <c r="AM476" s="254" t="str">
        <f t="shared" si="205"/>
        <v/>
      </c>
      <c r="AN476" s="254" t="str">
        <f t="shared" ca="1" si="206"/>
        <v/>
      </c>
      <c r="AO476" s="255" t="str">
        <f t="shared" si="207"/>
        <v/>
      </c>
    </row>
    <row r="477" spans="2:41" x14ac:dyDescent="0.25">
      <c r="B477" s="321"/>
      <c r="C477" s="17"/>
      <c r="E477" s="117"/>
      <c r="F477" s="4" t="str">
        <f t="shared" si="225"/>
        <v/>
      </c>
      <c r="G477" s="4" t="str">
        <f t="shared" si="226"/>
        <v/>
      </c>
      <c r="H477" s="4" t="str">
        <f t="shared" si="227"/>
        <v/>
      </c>
      <c r="I477" s="4" t="str">
        <f t="shared" si="228"/>
        <v/>
      </c>
      <c r="J477" s="247"/>
      <c r="K477" s="117"/>
      <c r="L477" s="4" t="str">
        <f t="shared" si="234"/>
        <v/>
      </c>
      <c r="M477" s="4" t="str">
        <f t="shared" si="235"/>
        <v/>
      </c>
      <c r="N477" s="4" t="str">
        <f t="shared" si="236"/>
        <v/>
      </c>
      <c r="O477" s="4" t="str">
        <f t="shared" si="237"/>
        <v/>
      </c>
      <c r="P477" s="247"/>
      <c r="Q477" s="117"/>
      <c r="R477" s="4" t="str">
        <f t="shared" si="238"/>
        <v/>
      </c>
      <c r="S477" s="4" t="str">
        <f t="shared" si="239"/>
        <v/>
      </c>
      <c r="T477" s="4" t="str">
        <f t="shared" si="240"/>
        <v/>
      </c>
      <c r="U477" s="4" t="str">
        <f t="shared" si="241"/>
        <v/>
      </c>
      <c r="V477" s="247"/>
      <c r="W477" s="67" t="str">
        <f t="shared" si="229"/>
        <v/>
      </c>
      <c r="X477" s="118"/>
      <c r="Z477" s="67" t="str">
        <f t="shared" si="230"/>
        <v/>
      </c>
      <c r="AA477" s="13">
        <f t="shared" si="231"/>
        <v>0</v>
      </c>
      <c r="AB477" s="17">
        <f t="shared" si="232"/>
        <v>0</v>
      </c>
      <c r="AC477" s="163" t="str">
        <f t="shared" si="233"/>
        <v/>
      </c>
      <c r="AD477" s="119"/>
      <c r="AE477" s="21"/>
      <c r="AF477" s="121"/>
      <c r="AG477" s="122"/>
      <c r="AH477" s="83" t="str">
        <f t="shared" si="202"/>
        <v/>
      </c>
      <c r="AI477" s="115"/>
      <c r="AJ477" s="116"/>
      <c r="AK477" s="83" t="str">
        <f t="shared" si="203"/>
        <v/>
      </c>
      <c r="AL477" s="85" t="str">
        <f t="shared" si="204"/>
        <v/>
      </c>
      <c r="AM477" s="254" t="str">
        <f t="shared" si="205"/>
        <v/>
      </c>
      <c r="AN477" s="254" t="str">
        <f t="shared" ca="1" si="206"/>
        <v/>
      </c>
      <c r="AO477" s="255" t="str">
        <f t="shared" si="207"/>
        <v/>
      </c>
    </row>
    <row r="478" spans="2:41" x14ac:dyDescent="0.25">
      <c r="B478" s="321"/>
      <c r="C478" s="17"/>
      <c r="E478" s="117"/>
      <c r="F478" s="4" t="str">
        <f t="shared" si="225"/>
        <v/>
      </c>
      <c r="G478" s="4" t="str">
        <f t="shared" si="226"/>
        <v/>
      </c>
      <c r="H478" s="4" t="str">
        <f t="shared" si="227"/>
        <v/>
      </c>
      <c r="I478" s="4" t="str">
        <f t="shared" si="228"/>
        <v/>
      </c>
      <c r="J478" s="247"/>
      <c r="K478" s="117"/>
      <c r="L478" s="4" t="str">
        <f t="shared" si="234"/>
        <v/>
      </c>
      <c r="M478" s="4" t="str">
        <f t="shared" si="235"/>
        <v/>
      </c>
      <c r="N478" s="4" t="str">
        <f t="shared" si="236"/>
        <v/>
      </c>
      <c r="O478" s="4" t="str">
        <f t="shared" si="237"/>
        <v/>
      </c>
      <c r="P478" s="247"/>
      <c r="Q478" s="117"/>
      <c r="R478" s="4" t="str">
        <f t="shared" si="238"/>
        <v/>
      </c>
      <c r="S478" s="4" t="str">
        <f t="shared" si="239"/>
        <v/>
      </c>
      <c r="T478" s="4" t="str">
        <f t="shared" si="240"/>
        <v/>
      </c>
      <c r="U478" s="4" t="str">
        <f t="shared" si="241"/>
        <v/>
      </c>
      <c r="V478" s="247"/>
      <c r="W478" s="67" t="str">
        <f t="shared" si="229"/>
        <v/>
      </c>
      <c r="X478" s="118"/>
      <c r="Z478" s="67" t="str">
        <f t="shared" si="230"/>
        <v/>
      </c>
      <c r="AA478" s="13">
        <f t="shared" si="231"/>
        <v>0</v>
      </c>
      <c r="AB478" s="17">
        <f t="shared" si="232"/>
        <v>0</v>
      </c>
      <c r="AC478" s="163" t="str">
        <f t="shared" si="233"/>
        <v/>
      </c>
      <c r="AD478" s="119"/>
      <c r="AE478" s="21"/>
      <c r="AF478" s="121"/>
      <c r="AG478" s="122"/>
      <c r="AH478" s="83" t="str">
        <f t="shared" si="202"/>
        <v/>
      </c>
      <c r="AI478" s="115"/>
      <c r="AJ478" s="116"/>
      <c r="AK478" s="83" t="str">
        <f t="shared" si="203"/>
        <v/>
      </c>
      <c r="AL478" s="85" t="str">
        <f t="shared" si="204"/>
        <v/>
      </c>
      <c r="AM478" s="254" t="str">
        <f t="shared" si="205"/>
        <v/>
      </c>
      <c r="AN478" s="254" t="str">
        <f t="shared" ca="1" si="206"/>
        <v/>
      </c>
      <c r="AO478" s="255" t="str">
        <f t="shared" si="207"/>
        <v/>
      </c>
    </row>
    <row r="479" spans="2:41" x14ac:dyDescent="0.25">
      <c r="B479" s="321"/>
      <c r="C479" s="17"/>
      <c r="E479" s="117"/>
      <c r="F479" s="4" t="str">
        <f t="shared" si="225"/>
        <v/>
      </c>
      <c r="G479" s="4" t="str">
        <f t="shared" si="226"/>
        <v/>
      </c>
      <c r="H479" s="4" t="str">
        <f t="shared" si="227"/>
        <v/>
      </c>
      <c r="I479" s="4" t="str">
        <f t="shared" si="228"/>
        <v/>
      </c>
      <c r="J479" s="247"/>
      <c r="K479" s="117"/>
      <c r="L479" s="4" t="str">
        <f t="shared" si="234"/>
        <v/>
      </c>
      <c r="M479" s="4" t="str">
        <f t="shared" si="235"/>
        <v/>
      </c>
      <c r="N479" s="4" t="str">
        <f t="shared" si="236"/>
        <v/>
      </c>
      <c r="O479" s="4" t="str">
        <f t="shared" si="237"/>
        <v/>
      </c>
      <c r="P479" s="247"/>
      <c r="Q479" s="117"/>
      <c r="R479" s="4" t="str">
        <f t="shared" si="238"/>
        <v/>
      </c>
      <c r="S479" s="4" t="str">
        <f t="shared" si="239"/>
        <v/>
      </c>
      <c r="T479" s="4" t="str">
        <f t="shared" si="240"/>
        <v/>
      </c>
      <c r="U479" s="4" t="str">
        <f t="shared" si="241"/>
        <v/>
      </c>
      <c r="V479" s="247"/>
      <c r="W479" s="67" t="str">
        <f t="shared" si="229"/>
        <v/>
      </c>
      <c r="X479" s="118"/>
      <c r="Z479" s="67" t="str">
        <f t="shared" si="230"/>
        <v/>
      </c>
      <c r="AA479" s="13">
        <f t="shared" si="231"/>
        <v>0</v>
      </c>
      <c r="AB479" s="17">
        <f t="shared" si="232"/>
        <v>0</v>
      </c>
      <c r="AC479" s="163" t="str">
        <f t="shared" si="233"/>
        <v/>
      </c>
      <c r="AD479" s="119"/>
      <c r="AE479" s="21"/>
      <c r="AF479" s="121"/>
      <c r="AG479" s="122"/>
      <c r="AH479" s="83" t="str">
        <f t="shared" si="202"/>
        <v/>
      </c>
      <c r="AI479" s="115"/>
      <c r="AJ479" s="116"/>
      <c r="AK479" s="83" t="str">
        <f t="shared" si="203"/>
        <v/>
      </c>
      <c r="AL479" s="85" t="str">
        <f t="shared" si="204"/>
        <v/>
      </c>
      <c r="AM479" s="254" t="str">
        <f t="shared" si="205"/>
        <v/>
      </c>
      <c r="AN479" s="254" t="str">
        <f t="shared" ca="1" si="206"/>
        <v/>
      </c>
      <c r="AO479" s="255" t="str">
        <f t="shared" si="207"/>
        <v/>
      </c>
    </row>
    <row r="480" spans="2:41" x14ac:dyDescent="0.25">
      <c r="B480" s="321"/>
      <c r="C480" s="17"/>
      <c r="E480" s="117"/>
      <c r="F480" s="4" t="str">
        <f t="shared" si="225"/>
        <v/>
      </c>
      <c r="G480" s="4" t="str">
        <f t="shared" si="226"/>
        <v/>
      </c>
      <c r="H480" s="4" t="str">
        <f t="shared" si="227"/>
        <v/>
      </c>
      <c r="I480" s="4" t="str">
        <f t="shared" si="228"/>
        <v/>
      </c>
      <c r="J480" s="247"/>
      <c r="K480" s="117"/>
      <c r="L480" s="4" t="str">
        <f t="shared" si="234"/>
        <v/>
      </c>
      <c r="M480" s="4" t="str">
        <f t="shared" si="235"/>
        <v/>
      </c>
      <c r="N480" s="4" t="str">
        <f t="shared" si="236"/>
        <v/>
      </c>
      <c r="O480" s="4" t="str">
        <f t="shared" si="237"/>
        <v/>
      </c>
      <c r="P480" s="247"/>
      <c r="Q480" s="117"/>
      <c r="R480" s="4" t="str">
        <f t="shared" si="238"/>
        <v/>
      </c>
      <c r="S480" s="4" t="str">
        <f t="shared" si="239"/>
        <v/>
      </c>
      <c r="T480" s="4" t="str">
        <f t="shared" si="240"/>
        <v/>
      </c>
      <c r="U480" s="4" t="str">
        <f t="shared" si="241"/>
        <v/>
      </c>
      <c r="V480" s="247"/>
      <c r="W480" s="67" t="str">
        <f t="shared" si="229"/>
        <v/>
      </c>
      <c r="X480" s="118"/>
      <c r="Z480" s="67" t="str">
        <f t="shared" si="230"/>
        <v/>
      </c>
      <c r="AA480" s="13">
        <f t="shared" si="231"/>
        <v>0</v>
      </c>
      <c r="AB480" s="17">
        <f t="shared" si="232"/>
        <v>0</v>
      </c>
      <c r="AC480" s="163" t="str">
        <f t="shared" si="233"/>
        <v/>
      </c>
      <c r="AD480" s="119"/>
      <c r="AE480" s="21"/>
      <c r="AF480" s="121"/>
      <c r="AG480" s="122"/>
      <c r="AH480" s="83" t="str">
        <f t="shared" si="202"/>
        <v/>
      </c>
      <c r="AI480" s="115"/>
      <c r="AJ480" s="116"/>
      <c r="AK480" s="83" t="str">
        <f t="shared" si="203"/>
        <v/>
      </c>
      <c r="AL480" s="85" t="str">
        <f t="shared" si="204"/>
        <v/>
      </c>
      <c r="AM480" s="254" t="str">
        <f t="shared" si="205"/>
        <v/>
      </c>
      <c r="AN480" s="254" t="str">
        <f t="shared" ca="1" si="206"/>
        <v/>
      </c>
      <c r="AO480" s="255" t="str">
        <f t="shared" si="207"/>
        <v/>
      </c>
    </row>
    <row r="481" spans="2:41" x14ac:dyDescent="0.25">
      <c r="B481" s="321"/>
      <c r="C481" s="17"/>
      <c r="E481" s="117"/>
      <c r="F481" s="4" t="str">
        <f t="shared" si="225"/>
        <v/>
      </c>
      <c r="G481" s="4" t="str">
        <f t="shared" si="226"/>
        <v/>
      </c>
      <c r="H481" s="4" t="str">
        <f t="shared" si="227"/>
        <v/>
      </c>
      <c r="I481" s="4" t="str">
        <f t="shared" si="228"/>
        <v/>
      </c>
      <c r="J481" s="247"/>
      <c r="K481" s="117"/>
      <c r="L481" s="4" t="str">
        <f t="shared" si="234"/>
        <v/>
      </c>
      <c r="M481" s="4" t="str">
        <f t="shared" si="235"/>
        <v/>
      </c>
      <c r="N481" s="4" t="str">
        <f t="shared" si="236"/>
        <v/>
      </c>
      <c r="O481" s="4" t="str">
        <f t="shared" si="237"/>
        <v/>
      </c>
      <c r="P481" s="247"/>
      <c r="Q481" s="117"/>
      <c r="R481" s="4" t="str">
        <f t="shared" si="238"/>
        <v/>
      </c>
      <c r="S481" s="4" t="str">
        <f t="shared" si="239"/>
        <v/>
      </c>
      <c r="T481" s="4" t="str">
        <f t="shared" si="240"/>
        <v/>
      </c>
      <c r="U481" s="4" t="str">
        <f t="shared" si="241"/>
        <v/>
      </c>
      <c r="V481" s="247"/>
      <c r="W481" s="67" t="str">
        <f t="shared" si="229"/>
        <v/>
      </c>
      <c r="X481" s="118"/>
      <c r="Z481" s="67" t="str">
        <f t="shared" si="230"/>
        <v/>
      </c>
      <c r="AA481" s="13">
        <f t="shared" si="231"/>
        <v>0</v>
      </c>
      <c r="AB481" s="17">
        <f t="shared" si="232"/>
        <v>0</v>
      </c>
      <c r="AC481" s="163" t="str">
        <f t="shared" si="233"/>
        <v/>
      </c>
      <c r="AD481" s="119"/>
      <c r="AE481" s="21"/>
      <c r="AF481" s="121"/>
      <c r="AG481" s="122"/>
      <c r="AH481" s="83" t="str">
        <f t="shared" si="202"/>
        <v/>
      </c>
      <c r="AI481" s="115"/>
      <c r="AJ481" s="116"/>
      <c r="AK481" s="83" t="str">
        <f t="shared" si="203"/>
        <v/>
      </c>
      <c r="AL481" s="85" t="str">
        <f t="shared" si="204"/>
        <v/>
      </c>
      <c r="AM481" s="254" t="str">
        <f t="shared" si="205"/>
        <v/>
      </c>
      <c r="AN481" s="254" t="str">
        <f t="shared" ca="1" si="206"/>
        <v/>
      </c>
      <c r="AO481" s="255" t="str">
        <f t="shared" si="207"/>
        <v/>
      </c>
    </row>
    <row r="482" spans="2:41" x14ac:dyDescent="0.25">
      <c r="B482" s="321"/>
      <c r="C482" s="17"/>
      <c r="E482" s="117"/>
      <c r="F482" s="4" t="str">
        <f t="shared" si="225"/>
        <v/>
      </c>
      <c r="G482" s="4" t="str">
        <f t="shared" si="226"/>
        <v/>
      </c>
      <c r="H482" s="4" t="str">
        <f t="shared" si="227"/>
        <v/>
      </c>
      <c r="I482" s="4" t="str">
        <f t="shared" si="228"/>
        <v/>
      </c>
      <c r="J482" s="247"/>
      <c r="K482" s="117"/>
      <c r="L482" s="4" t="str">
        <f t="shared" si="234"/>
        <v/>
      </c>
      <c r="M482" s="4" t="str">
        <f t="shared" si="235"/>
        <v/>
      </c>
      <c r="N482" s="4" t="str">
        <f t="shared" si="236"/>
        <v/>
      </c>
      <c r="O482" s="4" t="str">
        <f t="shared" si="237"/>
        <v/>
      </c>
      <c r="P482" s="247"/>
      <c r="Q482" s="117"/>
      <c r="R482" s="4" t="str">
        <f t="shared" si="238"/>
        <v/>
      </c>
      <c r="S482" s="4" t="str">
        <f t="shared" si="239"/>
        <v/>
      </c>
      <c r="T482" s="4" t="str">
        <f t="shared" si="240"/>
        <v/>
      </c>
      <c r="U482" s="4" t="str">
        <f t="shared" si="241"/>
        <v/>
      </c>
      <c r="V482" s="247"/>
      <c r="W482" s="67" t="str">
        <f t="shared" si="229"/>
        <v/>
      </c>
      <c r="X482" s="118"/>
      <c r="Z482" s="67" t="str">
        <f t="shared" si="230"/>
        <v/>
      </c>
      <c r="AA482" s="13">
        <f t="shared" si="231"/>
        <v>0</v>
      </c>
      <c r="AB482" s="17">
        <f t="shared" si="232"/>
        <v>0</v>
      </c>
      <c r="AC482" s="163" t="str">
        <f t="shared" si="233"/>
        <v/>
      </c>
      <c r="AD482" s="119"/>
      <c r="AE482" s="21"/>
      <c r="AF482" s="121"/>
      <c r="AG482" s="122"/>
      <c r="AH482" s="83" t="str">
        <f t="shared" si="202"/>
        <v/>
      </c>
      <c r="AI482" s="115"/>
      <c r="AJ482" s="116"/>
      <c r="AK482" s="83" t="str">
        <f t="shared" si="203"/>
        <v/>
      </c>
      <c r="AL482" s="85" t="str">
        <f t="shared" si="204"/>
        <v/>
      </c>
      <c r="AM482" s="254" t="str">
        <f t="shared" si="205"/>
        <v/>
      </c>
      <c r="AN482" s="254" t="str">
        <f t="shared" ca="1" si="206"/>
        <v/>
      </c>
      <c r="AO482" s="255" t="str">
        <f t="shared" si="207"/>
        <v/>
      </c>
    </row>
    <row r="483" spans="2:41" x14ac:dyDescent="0.25">
      <c r="B483" s="321"/>
      <c r="C483" s="17"/>
      <c r="E483" s="117"/>
      <c r="F483" s="4" t="str">
        <f t="shared" si="225"/>
        <v/>
      </c>
      <c r="G483" s="4" t="str">
        <f t="shared" si="226"/>
        <v/>
      </c>
      <c r="H483" s="4" t="str">
        <f t="shared" si="227"/>
        <v/>
      </c>
      <c r="I483" s="4" t="str">
        <f t="shared" si="228"/>
        <v/>
      </c>
      <c r="J483" s="247"/>
      <c r="K483" s="117"/>
      <c r="L483" s="4" t="str">
        <f t="shared" si="234"/>
        <v/>
      </c>
      <c r="M483" s="4" t="str">
        <f t="shared" si="235"/>
        <v/>
      </c>
      <c r="N483" s="4" t="str">
        <f t="shared" si="236"/>
        <v/>
      </c>
      <c r="O483" s="4" t="str">
        <f t="shared" si="237"/>
        <v/>
      </c>
      <c r="P483" s="247"/>
      <c r="Q483" s="117"/>
      <c r="R483" s="4" t="str">
        <f t="shared" si="238"/>
        <v/>
      </c>
      <c r="S483" s="4" t="str">
        <f t="shared" si="239"/>
        <v/>
      </c>
      <c r="T483" s="4" t="str">
        <f t="shared" si="240"/>
        <v/>
      </c>
      <c r="U483" s="4" t="str">
        <f t="shared" si="241"/>
        <v/>
      </c>
      <c r="V483" s="247"/>
      <c r="W483" s="67" t="str">
        <f t="shared" si="229"/>
        <v/>
      </c>
      <c r="X483" s="118"/>
      <c r="Z483" s="67" t="str">
        <f t="shared" si="230"/>
        <v/>
      </c>
      <c r="AA483" s="13">
        <f t="shared" si="231"/>
        <v>0</v>
      </c>
      <c r="AB483" s="17">
        <f t="shared" si="232"/>
        <v>0</v>
      </c>
      <c r="AC483" s="163" t="str">
        <f t="shared" si="233"/>
        <v/>
      </c>
      <c r="AD483" s="119"/>
      <c r="AE483" s="21"/>
      <c r="AF483" s="121"/>
      <c r="AG483" s="122"/>
      <c r="AH483" s="83" t="str">
        <f t="shared" si="202"/>
        <v/>
      </c>
      <c r="AI483" s="115"/>
      <c r="AJ483" s="116"/>
      <c r="AK483" s="83" t="str">
        <f t="shared" si="203"/>
        <v/>
      </c>
      <c r="AL483" s="85" t="str">
        <f t="shared" si="204"/>
        <v/>
      </c>
      <c r="AM483" s="254" t="str">
        <f t="shared" si="205"/>
        <v/>
      </c>
      <c r="AN483" s="254" t="str">
        <f t="shared" ca="1" si="206"/>
        <v/>
      </c>
      <c r="AO483" s="255" t="str">
        <f t="shared" si="207"/>
        <v/>
      </c>
    </row>
    <row r="484" spans="2:41" x14ac:dyDescent="0.25">
      <c r="B484" s="321"/>
      <c r="C484" s="17"/>
      <c r="E484" s="117"/>
      <c r="F484" s="4" t="str">
        <f t="shared" si="225"/>
        <v/>
      </c>
      <c r="G484" s="4" t="str">
        <f t="shared" si="226"/>
        <v/>
      </c>
      <c r="H484" s="4" t="str">
        <f t="shared" si="227"/>
        <v/>
      </c>
      <c r="I484" s="4" t="str">
        <f t="shared" si="228"/>
        <v/>
      </c>
      <c r="J484" s="247"/>
      <c r="K484" s="117"/>
      <c r="L484" s="4" t="str">
        <f t="shared" si="234"/>
        <v/>
      </c>
      <c r="M484" s="4" t="str">
        <f t="shared" si="235"/>
        <v/>
      </c>
      <c r="N484" s="4" t="str">
        <f t="shared" si="236"/>
        <v/>
      </c>
      <c r="O484" s="4" t="str">
        <f t="shared" si="237"/>
        <v/>
      </c>
      <c r="P484" s="247"/>
      <c r="Q484" s="117"/>
      <c r="R484" s="4" t="str">
        <f t="shared" si="238"/>
        <v/>
      </c>
      <c r="S484" s="4" t="str">
        <f t="shared" si="239"/>
        <v/>
      </c>
      <c r="T484" s="4" t="str">
        <f t="shared" si="240"/>
        <v/>
      </c>
      <c r="U484" s="4" t="str">
        <f t="shared" si="241"/>
        <v/>
      </c>
      <c r="V484" s="247"/>
      <c r="W484" s="67" t="str">
        <f t="shared" si="229"/>
        <v/>
      </c>
      <c r="X484" s="118"/>
      <c r="Z484" s="67" t="str">
        <f t="shared" si="230"/>
        <v/>
      </c>
      <c r="AA484" s="13">
        <f t="shared" si="231"/>
        <v>0</v>
      </c>
      <c r="AB484" s="17">
        <f t="shared" si="232"/>
        <v>0</v>
      </c>
      <c r="AC484" s="163" t="str">
        <f t="shared" si="233"/>
        <v/>
      </c>
      <c r="AD484" s="119"/>
      <c r="AE484" s="21"/>
      <c r="AF484" s="121"/>
      <c r="AG484" s="122"/>
      <c r="AH484" s="83" t="str">
        <f t="shared" si="202"/>
        <v/>
      </c>
      <c r="AI484" s="115"/>
      <c r="AJ484" s="116"/>
      <c r="AK484" s="83" t="str">
        <f t="shared" si="203"/>
        <v/>
      </c>
      <c r="AL484" s="85" t="str">
        <f t="shared" si="204"/>
        <v/>
      </c>
      <c r="AM484" s="254" t="str">
        <f t="shared" si="205"/>
        <v/>
      </c>
      <c r="AN484" s="254" t="str">
        <f t="shared" ca="1" si="206"/>
        <v/>
      </c>
      <c r="AO484" s="255" t="str">
        <f t="shared" si="207"/>
        <v/>
      </c>
    </row>
    <row r="485" spans="2:41" x14ac:dyDescent="0.25">
      <c r="B485" s="321"/>
      <c r="C485" s="17"/>
      <c r="E485" s="117"/>
      <c r="F485" s="4" t="str">
        <f t="shared" si="225"/>
        <v/>
      </c>
      <c r="G485" s="4" t="str">
        <f t="shared" si="226"/>
        <v/>
      </c>
      <c r="H485" s="4" t="str">
        <f t="shared" si="227"/>
        <v/>
      </c>
      <c r="I485" s="4" t="str">
        <f t="shared" si="228"/>
        <v/>
      </c>
      <c r="J485" s="247"/>
      <c r="K485" s="117"/>
      <c r="L485" s="4" t="str">
        <f t="shared" si="234"/>
        <v/>
      </c>
      <c r="M485" s="4" t="str">
        <f t="shared" si="235"/>
        <v/>
      </c>
      <c r="N485" s="4" t="str">
        <f t="shared" si="236"/>
        <v/>
      </c>
      <c r="O485" s="4" t="str">
        <f t="shared" si="237"/>
        <v/>
      </c>
      <c r="P485" s="247"/>
      <c r="Q485" s="117"/>
      <c r="R485" s="4" t="str">
        <f t="shared" si="238"/>
        <v/>
      </c>
      <c r="S485" s="4" t="str">
        <f t="shared" si="239"/>
        <v/>
      </c>
      <c r="T485" s="4" t="str">
        <f t="shared" si="240"/>
        <v/>
      </c>
      <c r="U485" s="4" t="str">
        <f t="shared" si="241"/>
        <v/>
      </c>
      <c r="V485" s="247"/>
      <c r="W485" s="67" t="str">
        <f t="shared" si="229"/>
        <v/>
      </c>
      <c r="X485" s="118"/>
      <c r="Z485" s="67" t="str">
        <f t="shared" si="230"/>
        <v/>
      </c>
      <c r="AA485" s="13">
        <f t="shared" si="231"/>
        <v>0</v>
      </c>
      <c r="AB485" s="17">
        <f t="shared" si="232"/>
        <v>0</v>
      </c>
      <c r="AC485" s="163" t="str">
        <f t="shared" si="233"/>
        <v/>
      </c>
      <c r="AD485" s="119"/>
      <c r="AE485" s="21"/>
      <c r="AF485" s="121"/>
      <c r="AG485" s="122"/>
      <c r="AH485" s="83" t="str">
        <f t="shared" si="202"/>
        <v/>
      </c>
      <c r="AI485" s="115"/>
      <c r="AJ485" s="116"/>
      <c r="AK485" s="83" t="str">
        <f t="shared" si="203"/>
        <v/>
      </c>
      <c r="AL485" s="85" t="str">
        <f t="shared" si="204"/>
        <v/>
      </c>
      <c r="AM485" s="254" t="str">
        <f t="shared" si="205"/>
        <v/>
      </c>
      <c r="AN485" s="254" t="str">
        <f t="shared" ca="1" si="206"/>
        <v/>
      </c>
      <c r="AO485" s="255" t="str">
        <f t="shared" si="207"/>
        <v/>
      </c>
    </row>
    <row r="486" spans="2:41" x14ac:dyDescent="0.25">
      <c r="B486" s="321"/>
      <c r="C486" s="17"/>
      <c r="E486" s="117"/>
      <c r="F486" s="4" t="str">
        <f t="shared" si="225"/>
        <v/>
      </c>
      <c r="G486" s="4" t="str">
        <f t="shared" si="226"/>
        <v/>
      </c>
      <c r="H486" s="4" t="str">
        <f t="shared" si="227"/>
        <v/>
      </c>
      <c r="I486" s="4" t="str">
        <f t="shared" si="228"/>
        <v/>
      </c>
      <c r="J486" s="247"/>
      <c r="K486" s="117"/>
      <c r="L486" s="4" t="str">
        <f t="shared" si="234"/>
        <v/>
      </c>
      <c r="M486" s="4" t="str">
        <f t="shared" si="235"/>
        <v/>
      </c>
      <c r="N486" s="4" t="str">
        <f t="shared" si="236"/>
        <v/>
      </c>
      <c r="O486" s="4" t="str">
        <f t="shared" si="237"/>
        <v/>
      </c>
      <c r="P486" s="247"/>
      <c r="Q486" s="117"/>
      <c r="R486" s="4" t="str">
        <f t="shared" si="238"/>
        <v/>
      </c>
      <c r="S486" s="4" t="str">
        <f t="shared" si="239"/>
        <v/>
      </c>
      <c r="T486" s="4" t="str">
        <f t="shared" si="240"/>
        <v/>
      </c>
      <c r="U486" s="4" t="str">
        <f t="shared" si="241"/>
        <v/>
      </c>
      <c r="V486" s="247"/>
      <c r="W486" s="67" t="str">
        <f t="shared" si="229"/>
        <v/>
      </c>
      <c r="X486" s="118"/>
      <c r="Z486" s="67" t="str">
        <f t="shared" si="230"/>
        <v/>
      </c>
      <c r="AA486" s="13">
        <f t="shared" si="231"/>
        <v>0</v>
      </c>
      <c r="AB486" s="17">
        <f t="shared" si="232"/>
        <v>0</v>
      </c>
      <c r="AC486" s="163" t="str">
        <f t="shared" si="233"/>
        <v/>
      </c>
      <c r="AD486" s="119"/>
      <c r="AE486" s="21"/>
      <c r="AF486" s="121"/>
      <c r="AG486" s="122"/>
      <c r="AH486" s="83" t="str">
        <f t="shared" si="202"/>
        <v/>
      </c>
      <c r="AI486" s="115"/>
      <c r="AJ486" s="116"/>
      <c r="AK486" s="83" t="str">
        <f t="shared" si="203"/>
        <v/>
      </c>
      <c r="AL486" s="85" t="str">
        <f t="shared" si="204"/>
        <v/>
      </c>
      <c r="AM486" s="254" t="str">
        <f t="shared" si="205"/>
        <v/>
      </c>
      <c r="AN486" s="254" t="str">
        <f t="shared" ca="1" si="206"/>
        <v/>
      </c>
      <c r="AO486" s="255" t="str">
        <f t="shared" si="207"/>
        <v/>
      </c>
    </row>
    <row r="487" spans="2:41" x14ac:dyDescent="0.25">
      <c r="B487" s="321"/>
      <c r="C487" s="17"/>
      <c r="E487" s="117"/>
      <c r="F487" s="4" t="str">
        <f t="shared" si="225"/>
        <v/>
      </c>
      <c r="G487" s="4" t="str">
        <f t="shared" si="226"/>
        <v/>
      </c>
      <c r="H487" s="4" t="str">
        <f t="shared" si="227"/>
        <v/>
      </c>
      <c r="I487" s="4" t="str">
        <f t="shared" si="228"/>
        <v/>
      </c>
      <c r="J487" s="247"/>
      <c r="K487" s="117"/>
      <c r="L487" s="4" t="str">
        <f t="shared" si="234"/>
        <v/>
      </c>
      <c r="M487" s="4" t="str">
        <f t="shared" si="235"/>
        <v/>
      </c>
      <c r="N487" s="4" t="str">
        <f t="shared" si="236"/>
        <v/>
      </c>
      <c r="O487" s="4" t="str">
        <f t="shared" si="237"/>
        <v/>
      </c>
      <c r="P487" s="247"/>
      <c r="Q487" s="117"/>
      <c r="R487" s="4" t="str">
        <f t="shared" si="238"/>
        <v/>
      </c>
      <c r="S487" s="4" t="str">
        <f t="shared" si="239"/>
        <v/>
      </c>
      <c r="T487" s="4" t="str">
        <f t="shared" si="240"/>
        <v/>
      </c>
      <c r="U487" s="4" t="str">
        <f t="shared" si="241"/>
        <v/>
      </c>
      <c r="V487" s="247"/>
      <c r="W487" s="67" t="str">
        <f t="shared" si="229"/>
        <v/>
      </c>
      <c r="X487" s="118"/>
      <c r="Z487" s="67" t="str">
        <f t="shared" si="230"/>
        <v/>
      </c>
      <c r="AA487" s="13">
        <f t="shared" si="231"/>
        <v>0</v>
      </c>
      <c r="AB487" s="17">
        <f t="shared" si="232"/>
        <v>0</v>
      </c>
      <c r="AC487" s="163" t="str">
        <f t="shared" si="233"/>
        <v/>
      </c>
      <c r="AD487" s="119"/>
      <c r="AE487" s="21"/>
      <c r="AF487" s="121"/>
      <c r="AG487" s="122"/>
      <c r="AH487" s="83" t="str">
        <f t="shared" si="202"/>
        <v/>
      </c>
      <c r="AI487" s="115"/>
      <c r="AJ487" s="116"/>
      <c r="AK487" s="83" t="str">
        <f t="shared" si="203"/>
        <v/>
      </c>
      <c r="AL487" s="85" t="str">
        <f t="shared" si="204"/>
        <v/>
      </c>
      <c r="AM487" s="254" t="str">
        <f t="shared" si="205"/>
        <v/>
      </c>
      <c r="AN487" s="254" t="str">
        <f t="shared" ca="1" si="206"/>
        <v/>
      </c>
      <c r="AO487" s="255" t="str">
        <f t="shared" si="207"/>
        <v/>
      </c>
    </row>
    <row r="488" spans="2:41" x14ac:dyDescent="0.25">
      <c r="B488" s="321"/>
      <c r="C488" s="17"/>
      <c r="E488" s="117"/>
      <c r="F488" s="4" t="str">
        <f t="shared" si="225"/>
        <v/>
      </c>
      <c r="G488" s="4" t="str">
        <f t="shared" si="226"/>
        <v/>
      </c>
      <c r="H488" s="4" t="str">
        <f t="shared" si="227"/>
        <v/>
      </c>
      <c r="I488" s="4" t="str">
        <f t="shared" si="228"/>
        <v/>
      </c>
      <c r="J488" s="247"/>
      <c r="K488" s="117"/>
      <c r="L488" s="4" t="str">
        <f t="shared" si="234"/>
        <v/>
      </c>
      <c r="M488" s="4" t="str">
        <f t="shared" si="235"/>
        <v/>
      </c>
      <c r="N488" s="4" t="str">
        <f t="shared" si="236"/>
        <v/>
      </c>
      <c r="O488" s="4" t="str">
        <f t="shared" si="237"/>
        <v/>
      </c>
      <c r="P488" s="247"/>
      <c r="Q488" s="117"/>
      <c r="R488" s="4" t="str">
        <f t="shared" si="238"/>
        <v/>
      </c>
      <c r="S488" s="4" t="str">
        <f t="shared" si="239"/>
        <v/>
      </c>
      <c r="T488" s="4" t="str">
        <f t="shared" si="240"/>
        <v/>
      </c>
      <c r="U488" s="4" t="str">
        <f t="shared" si="241"/>
        <v/>
      </c>
      <c r="V488" s="247"/>
      <c r="W488" s="67" t="str">
        <f t="shared" si="229"/>
        <v/>
      </c>
      <c r="X488" s="118"/>
      <c r="Z488" s="67" t="str">
        <f t="shared" si="230"/>
        <v/>
      </c>
      <c r="AA488" s="13">
        <f t="shared" si="231"/>
        <v>0</v>
      </c>
      <c r="AB488" s="17">
        <f t="shared" si="232"/>
        <v>0</v>
      </c>
      <c r="AC488" s="163" t="str">
        <f t="shared" si="233"/>
        <v/>
      </c>
      <c r="AD488" s="119"/>
      <c r="AE488" s="21"/>
      <c r="AF488" s="121"/>
      <c r="AG488" s="122"/>
      <c r="AH488" s="83" t="str">
        <f t="shared" si="202"/>
        <v/>
      </c>
      <c r="AI488" s="115"/>
      <c r="AJ488" s="116"/>
      <c r="AK488" s="83" t="str">
        <f t="shared" si="203"/>
        <v/>
      </c>
      <c r="AL488" s="85" t="str">
        <f t="shared" si="204"/>
        <v/>
      </c>
      <c r="AM488" s="254" t="str">
        <f t="shared" si="205"/>
        <v/>
      </c>
      <c r="AN488" s="254" t="str">
        <f t="shared" ca="1" si="206"/>
        <v/>
      </c>
      <c r="AO488" s="255" t="str">
        <f t="shared" si="207"/>
        <v/>
      </c>
    </row>
    <row r="489" spans="2:41" x14ac:dyDescent="0.25">
      <c r="B489" s="321"/>
      <c r="C489" s="17"/>
      <c r="E489" s="117"/>
      <c r="F489" s="4" t="str">
        <f t="shared" si="225"/>
        <v/>
      </c>
      <c r="G489" s="4" t="str">
        <f t="shared" si="226"/>
        <v/>
      </c>
      <c r="H489" s="4" t="str">
        <f t="shared" si="227"/>
        <v/>
      </c>
      <c r="I489" s="4" t="str">
        <f t="shared" si="228"/>
        <v/>
      </c>
      <c r="J489" s="247"/>
      <c r="K489" s="117"/>
      <c r="L489" s="4" t="str">
        <f t="shared" si="234"/>
        <v/>
      </c>
      <c r="M489" s="4" t="str">
        <f t="shared" si="235"/>
        <v/>
      </c>
      <c r="N489" s="4" t="str">
        <f t="shared" si="236"/>
        <v/>
      </c>
      <c r="O489" s="4" t="str">
        <f t="shared" si="237"/>
        <v/>
      </c>
      <c r="P489" s="247"/>
      <c r="Q489" s="117"/>
      <c r="R489" s="4" t="str">
        <f t="shared" si="238"/>
        <v/>
      </c>
      <c r="S489" s="4" t="str">
        <f t="shared" si="239"/>
        <v/>
      </c>
      <c r="T489" s="4" t="str">
        <f t="shared" si="240"/>
        <v/>
      </c>
      <c r="U489" s="4" t="str">
        <f t="shared" si="241"/>
        <v/>
      </c>
      <c r="V489" s="247"/>
      <c r="W489" s="67" t="str">
        <f t="shared" si="229"/>
        <v/>
      </c>
      <c r="X489" s="118"/>
      <c r="Z489" s="67" t="str">
        <f t="shared" si="230"/>
        <v/>
      </c>
      <c r="AA489" s="13">
        <f t="shared" si="231"/>
        <v>0</v>
      </c>
      <c r="AB489" s="17">
        <f t="shared" si="232"/>
        <v>0</v>
      </c>
      <c r="AC489" s="163" t="str">
        <f t="shared" si="233"/>
        <v/>
      </c>
      <c r="AD489" s="119"/>
      <c r="AE489" s="21"/>
      <c r="AF489" s="121"/>
      <c r="AG489" s="122"/>
      <c r="AH489" s="83" t="str">
        <f t="shared" si="202"/>
        <v/>
      </c>
      <c r="AI489" s="115"/>
      <c r="AJ489" s="116"/>
      <c r="AK489" s="83" t="str">
        <f t="shared" si="203"/>
        <v/>
      </c>
      <c r="AL489" s="85" t="str">
        <f t="shared" si="204"/>
        <v/>
      </c>
      <c r="AM489" s="254" t="str">
        <f t="shared" si="205"/>
        <v/>
      </c>
      <c r="AN489" s="254" t="str">
        <f t="shared" ca="1" si="206"/>
        <v/>
      </c>
      <c r="AO489" s="255" t="str">
        <f t="shared" si="207"/>
        <v/>
      </c>
    </row>
    <row r="490" spans="2:41" x14ac:dyDescent="0.25">
      <c r="B490" s="321"/>
      <c r="C490" s="17"/>
      <c r="E490" s="117"/>
      <c r="F490" s="4" t="str">
        <f t="shared" si="225"/>
        <v/>
      </c>
      <c r="G490" s="4" t="str">
        <f t="shared" si="226"/>
        <v/>
      </c>
      <c r="H490" s="4" t="str">
        <f t="shared" si="227"/>
        <v/>
      </c>
      <c r="I490" s="4" t="str">
        <f t="shared" si="228"/>
        <v/>
      </c>
      <c r="J490" s="247"/>
      <c r="K490" s="117"/>
      <c r="L490" s="4" t="str">
        <f t="shared" si="234"/>
        <v/>
      </c>
      <c r="M490" s="4" t="str">
        <f t="shared" si="235"/>
        <v/>
      </c>
      <c r="N490" s="4" t="str">
        <f t="shared" si="236"/>
        <v/>
      </c>
      <c r="O490" s="4" t="str">
        <f t="shared" si="237"/>
        <v/>
      </c>
      <c r="P490" s="247"/>
      <c r="Q490" s="117"/>
      <c r="R490" s="4" t="str">
        <f t="shared" si="238"/>
        <v/>
      </c>
      <c r="S490" s="4" t="str">
        <f t="shared" si="239"/>
        <v/>
      </c>
      <c r="T490" s="4" t="str">
        <f t="shared" si="240"/>
        <v/>
      </c>
      <c r="U490" s="4" t="str">
        <f t="shared" si="241"/>
        <v/>
      </c>
      <c r="V490" s="247"/>
      <c r="W490" s="67" t="str">
        <f t="shared" si="229"/>
        <v/>
      </c>
      <c r="X490" s="118"/>
      <c r="Z490" s="67" t="str">
        <f t="shared" si="230"/>
        <v/>
      </c>
      <c r="AA490" s="13">
        <f t="shared" si="231"/>
        <v>0</v>
      </c>
      <c r="AB490" s="17">
        <f t="shared" si="232"/>
        <v>0</v>
      </c>
      <c r="AC490" s="163" t="str">
        <f t="shared" si="233"/>
        <v/>
      </c>
      <c r="AD490" s="119"/>
      <c r="AE490" s="21"/>
      <c r="AF490" s="121"/>
      <c r="AG490" s="122"/>
      <c r="AH490" s="83" t="str">
        <f t="shared" si="202"/>
        <v/>
      </c>
      <c r="AI490" s="115"/>
      <c r="AJ490" s="116"/>
      <c r="AK490" s="83" t="str">
        <f t="shared" si="203"/>
        <v/>
      </c>
      <c r="AL490" s="85" t="str">
        <f t="shared" si="204"/>
        <v/>
      </c>
      <c r="AM490" s="254" t="str">
        <f t="shared" si="205"/>
        <v/>
      </c>
      <c r="AN490" s="254" t="str">
        <f t="shared" ca="1" si="206"/>
        <v/>
      </c>
      <c r="AO490" s="255" t="str">
        <f t="shared" si="207"/>
        <v/>
      </c>
    </row>
    <row r="491" spans="2:41" x14ac:dyDescent="0.25">
      <c r="B491" s="321"/>
      <c r="C491" s="17"/>
      <c r="E491" s="117"/>
      <c r="F491" s="4" t="str">
        <f t="shared" si="225"/>
        <v/>
      </c>
      <c r="G491" s="4" t="str">
        <f t="shared" si="226"/>
        <v/>
      </c>
      <c r="H491" s="4" t="str">
        <f t="shared" si="227"/>
        <v/>
      </c>
      <c r="I491" s="4" t="str">
        <f t="shared" si="228"/>
        <v/>
      </c>
      <c r="J491" s="247"/>
      <c r="K491" s="117"/>
      <c r="L491" s="4" t="str">
        <f t="shared" si="234"/>
        <v/>
      </c>
      <c r="M491" s="4" t="str">
        <f t="shared" si="235"/>
        <v/>
      </c>
      <c r="N491" s="4" t="str">
        <f t="shared" si="236"/>
        <v/>
      </c>
      <c r="O491" s="4" t="str">
        <f t="shared" si="237"/>
        <v/>
      </c>
      <c r="P491" s="247"/>
      <c r="Q491" s="117"/>
      <c r="R491" s="4" t="str">
        <f t="shared" si="238"/>
        <v/>
      </c>
      <c r="S491" s="4" t="str">
        <f t="shared" si="239"/>
        <v/>
      </c>
      <c r="T491" s="4" t="str">
        <f t="shared" si="240"/>
        <v/>
      </c>
      <c r="U491" s="4" t="str">
        <f t="shared" si="241"/>
        <v/>
      </c>
      <c r="V491" s="247"/>
      <c r="W491" s="67" t="str">
        <f t="shared" si="229"/>
        <v/>
      </c>
      <c r="X491" s="118"/>
      <c r="Z491" s="67" t="str">
        <f t="shared" si="230"/>
        <v/>
      </c>
      <c r="AA491" s="13">
        <f t="shared" si="231"/>
        <v>0</v>
      </c>
      <c r="AB491" s="17">
        <f t="shared" si="232"/>
        <v>0</v>
      </c>
      <c r="AC491" s="163" t="str">
        <f t="shared" si="233"/>
        <v/>
      </c>
      <c r="AD491" s="119"/>
      <c r="AE491" s="21"/>
      <c r="AF491" s="121"/>
      <c r="AG491" s="122"/>
      <c r="AH491" s="83" t="str">
        <f t="shared" ref="AH491:AH554" si="242">IF(AG491&lt;&gt;0,((AF491+AG491)-(AD491+AE491)),"")</f>
        <v/>
      </c>
      <c r="AI491" s="115"/>
      <c r="AJ491" s="116"/>
      <c r="AK491" s="83" t="str">
        <f t="shared" ref="AK491:AK554" si="243">IF(AJ491&lt;&gt;0,((AI491+AJ491)-(AF491+AG491)),"")</f>
        <v/>
      </c>
      <c r="AL491" s="85" t="str">
        <f t="shared" ref="AL491:AL554" si="244">IFERROR((AH491+AK491),"")</f>
        <v/>
      </c>
      <c r="AM491" s="254" t="str">
        <f t="shared" ref="AM491:AM554" si="245">IF(AK491="","",AI491+AJ491)</f>
        <v/>
      </c>
      <c r="AN491" s="254" t="str">
        <f t="shared" ca="1" si="206"/>
        <v/>
      </c>
      <c r="AO491" s="255" t="str">
        <f t="shared" ref="AO491:AO554" si="246">IF(AK491="","",AN491-AM491)</f>
        <v/>
      </c>
    </row>
    <row r="492" spans="2:41" x14ac:dyDescent="0.25">
      <c r="B492" s="321"/>
      <c r="C492" s="17"/>
      <c r="E492" s="117"/>
      <c r="F492" s="4" t="str">
        <f t="shared" si="225"/>
        <v/>
      </c>
      <c r="G492" s="4" t="str">
        <f t="shared" si="226"/>
        <v/>
      </c>
      <c r="H492" s="4" t="str">
        <f t="shared" si="227"/>
        <v/>
      </c>
      <c r="I492" s="4" t="str">
        <f t="shared" si="228"/>
        <v/>
      </c>
      <c r="J492" s="247"/>
      <c r="K492" s="117"/>
      <c r="L492" s="4" t="str">
        <f t="shared" si="234"/>
        <v/>
      </c>
      <c r="M492" s="4" t="str">
        <f t="shared" si="235"/>
        <v/>
      </c>
      <c r="N492" s="4" t="str">
        <f t="shared" si="236"/>
        <v/>
      </c>
      <c r="O492" s="4" t="str">
        <f t="shared" si="237"/>
        <v/>
      </c>
      <c r="P492" s="247"/>
      <c r="Q492" s="117"/>
      <c r="R492" s="4" t="str">
        <f t="shared" si="238"/>
        <v/>
      </c>
      <c r="S492" s="4" t="str">
        <f t="shared" si="239"/>
        <v/>
      </c>
      <c r="T492" s="4" t="str">
        <f t="shared" si="240"/>
        <v/>
      </c>
      <c r="U492" s="4" t="str">
        <f t="shared" si="241"/>
        <v/>
      </c>
      <c r="V492" s="247"/>
      <c r="W492" s="67" t="str">
        <f t="shared" si="229"/>
        <v/>
      </c>
      <c r="X492" s="118"/>
      <c r="Z492" s="67" t="str">
        <f t="shared" si="230"/>
        <v/>
      </c>
      <c r="AA492" s="13">
        <f t="shared" si="231"/>
        <v>0</v>
      </c>
      <c r="AB492" s="17">
        <f t="shared" si="232"/>
        <v>0</v>
      </c>
      <c r="AC492" s="163" t="str">
        <f t="shared" si="233"/>
        <v/>
      </c>
      <c r="AD492" s="119"/>
      <c r="AE492" s="21"/>
      <c r="AF492" s="121"/>
      <c r="AG492" s="122"/>
      <c r="AH492" s="83" t="str">
        <f t="shared" si="242"/>
        <v/>
      </c>
      <c r="AI492" s="115"/>
      <c r="AJ492" s="116"/>
      <c r="AK492" s="83" t="str">
        <f t="shared" si="243"/>
        <v/>
      </c>
      <c r="AL492" s="85" t="str">
        <f t="shared" si="244"/>
        <v/>
      </c>
      <c r="AM492" s="254" t="str">
        <f t="shared" si="245"/>
        <v/>
      </c>
      <c r="AN492" s="254" t="str">
        <f t="shared" ca="1" si="206"/>
        <v/>
      </c>
      <c r="AO492" s="255" t="str">
        <f t="shared" si="246"/>
        <v/>
      </c>
    </row>
    <row r="493" spans="2:41" x14ac:dyDescent="0.25">
      <c r="B493" s="321"/>
      <c r="C493" s="17"/>
      <c r="E493" s="117"/>
      <c r="F493" s="4" t="str">
        <f t="shared" si="225"/>
        <v/>
      </c>
      <c r="G493" s="4" t="str">
        <f t="shared" si="226"/>
        <v/>
      </c>
      <c r="H493" s="4" t="str">
        <f t="shared" si="227"/>
        <v/>
      </c>
      <c r="I493" s="4" t="str">
        <f t="shared" si="228"/>
        <v/>
      </c>
      <c r="J493" s="247"/>
      <c r="K493" s="117"/>
      <c r="L493" s="4" t="str">
        <f t="shared" si="234"/>
        <v/>
      </c>
      <c r="M493" s="4" t="str">
        <f t="shared" si="235"/>
        <v/>
      </c>
      <c r="N493" s="4" t="str">
        <f t="shared" si="236"/>
        <v/>
      </c>
      <c r="O493" s="4" t="str">
        <f t="shared" si="237"/>
        <v/>
      </c>
      <c r="P493" s="247"/>
      <c r="Q493" s="117"/>
      <c r="R493" s="4" t="str">
        <f t="shared" si="238"/>
        <v/>
      </c>
      <c r="S493" s="4" t="str">
        <f t="shared" si="239"/>
        <v/>
      </c>
      <c r="T493" s="4" t="str">
        <f t="shared" si="240"/>
        <v/>
      </c>
      <c r="U493" s="4" t="str">
        <f t="shared" si="241"/>
        <v/>
      </c>
      <c r="V493" s="247"/>
      <c r="W493" s="67" t="str">
        <f t="shared" si="229"/>
        <v/>
      </c>
      <c r="X493" s="118"/>
      <c r="Z493" s="67" t="str">
        <f t="shared" si="230"/>
        <v/>
      </c>
      <c r="AA493" s="13">
        <f t="shared" si="231"/>
        <v>0</v>
      </c>
      <c r="AB493" s="17">
        <f t="shared" si="232"/>
        <v>0</v>
      </c>
      <c r="AC493" s="163" t="str">
        <f t="shared" si="233"/>
        <v/>
      </c>
      <c r="AD493" s="119"/>
      <c r="AE493" s="21"/>
      <c r="AF493" s="121"/>
      <c r="AG493" s="122"/>
      <c r="AH493" s="83" t="str">
        <f t="shared" si="242"/>
        <v/>
      </c>
      <c r="AI493" s="115"/>
      <c r="AJ493" s="116"/>
      <c r="AK493" s="83" t="str">
        <f t="shared" si="243"/>
        <v/>
      </c>
      <c r="AL493" s="85" t="str">
        <f t="shared" si="244"/>
        <v/>
      </c>
      <c r="AM493" s="254" t="str">
        <f t="shared" si="245"/>
        <v/>
      </c>
      <c r="AN493" s="254" t="str">
        <f t="shared" ca="1" si="206"/>
        <v/>
      </c>
      <c r="AO493" s="255" t="str">
        <f t="shared" si="246"/>
        <v/>
      </c>
    </row>
    <row r="494" spans="2:41" x14ac:dyDescent="0.25">
      <c r="B494" s="321"/>
      <c r="C494" s="17"/>
      <c r="E494" s="117"/>
      <c r="F494" s="4" t="str">
        <f t="shared" si="225"/>
        <v/>
      </c>
      <c r="G494" s="4" t="str">
        <f t="shared" si="226"/>
        <v/>
      </c>
      <c r="H494" s="4" t="str">
        <f t="shared" si="227"/>
        <v/>
      </c>
      <c r="I494" s="4" t="str">
        <f t="shared" si="228"/>
        <v/>
      </c>
      <c r="J494" s="247"/>
      <c r="K494" s="117"/>
      <c r="L494" s="4" t="str">
        <f t="shared" si="234"/>
        <v/>
      </c>
      <c r="M494" s="4" t="str">
        <f t="shared" si="235"/>
        <v/>
      </c>
      <c r="N494" s="4" t="str">
        <f t="shared" si="236"/>
        <v/>
      </c>
      <c r="O494" s="4" t="str">
        <f t="shared" si="237"/>
        <v/>
      </c>
      <c r="P494" s="247"/>
      <c r="Q494" s="117"/>
      <c r="R494" s="4" t="str">
        <f t="shared" si="238"/>
        <v/>
      </c>
      <c r="S494" s="4" t="str">
        <f t="shared" si="239"/>
        <v/>
      </c>
      <c r="T494" s="4" t="str">
        <f t="shared" si="240"/>
        <v/>
      </c>
      <c r="U494" s="4" t="str">
        <f t="shared" si="241"/>
        <v/>
      </c>
      <c r="V494" s="247"/>
      <c r="W494" s="67" t="str">
        <f t="shared" si="229"/>
        <v/>
      </c>
      <c r="X494" s="118"/>
      <c r="Z494" s="67" t="str">
        <f t="shared" si="230"/>
        <v/>
      </c>
      <c r="AA494" s="13">
        <f t="shared" si="231"/>
        <v>0</v>
      </c>
      <c r="AB494" s="17">
        <f t="shared" si="232"/>
        <v>0</v>
      </c>
      <c r="AC494" s="163" t="str">
        <f t="shared" si="233"/>
        <v/>
      </c>
      <c r="AD494" s="119"/>
      <c r="AE494" s="21"/>
      <c r="AF494" s="121"/>
      <c r="AG494" s="122"/>
      <c r="AH494" s="83" t="str">
        <f t="shared" si="242"/>
        <v/>
      </c>
      <c r="AI494" s="115"/>
      <c r="AJ494" s="116"/>
      <c r="AK494" s="83" t="str">
        <f t="shared" si="243"/>
        <v/>
      </c>
      <c r="AL494" s="85" t="str">
        <f t="shared" si="244"/>
        <v/>
      </c>
      <c r="AM494" s="254" t="str">
        <f t="shared" si="245"/>
        <v/>
      </c>
      <c r="AN494" s="254" t="str">
        <f t="shared" ca="1" si="206"/>
        <v/>
      </c>
      <c r="AO494" s="255" t="str">
        <f t="shared" si="246"/>
        <v/>
      </c>
    </row>
    <row r="495" spans="2:41" x14ac:dyDescent="0.25">
      <c r="B495" s="321"/>
      <c r="C495" s="17"/>
      <c r="E495" s="117"/>
      <c r="F495" s="4" t="str">
        <f t="shared" si="225"/>
        <v/>
      </c>
      <c r="G495" s="4" t="str">
        <f t="shared" si="226"/>
        <v/>
      </c>
      <c r="H495" s="4" t="str">
        <f t="shared" si="227"/>
        <v/>
      </c>
      <c r="I495" s="4" t="str">
        <f t="shared" si="228"/>
        <v/>
      </c>
      <c r="J495" s="247"/>
      <c r="K495" s="117"/>
      <c r="L495" s="4" t="str">
        <f t="shared" si="234"/>
        <v/>
      </c>
      <c r="M495" s="4" t="str">
        <f t="shared" si="235"/>
        <v/>
      </c>
      <c r="N495" s="4" t="str">
        <f t="shared" si="236"/>
        <v/>
      </c>
      <c r="O495" s="4" t="str">
        <f t="shared" si="237"/>
        <v/>
      </c>
      <c r="P495" s="247"/>
      <c r="Q495" s="117"/>
      <c r="R495" s="4" t="str">
        <f t="shared" si="238"/>
        <v/>
      </c>
      <c r="S495" s="4" t="str">
        <f t="shared" si="239"/>
        <v/>
      </c>
      <c r="T495" s="4" t="str">
        <f t="shared" si="240"/>
        <v/>
      </c>
      <c r="U495" s="4" t="str">
        <f t="shared" si="241"/>
        <v/>
      </c>
      <c r="V495" s="247"/>
      <c r="W495" s="67" t="str">
        <f t="shared" si="229"/>
        <v/>
      </c>
      <c r="X495" s="118"/>
      <c r="Z495" s="67" t="str">
        <f t="shared" si="230"/>
        <v/>
      </c>
      <c r="AA495" s="13">
        <f t="shared" si="231"/>
        <v>0</v>
      </c>
      <c r="AB495" s="17">
        <f t="shared" si="232"/>
        <v>0</v>
      </c>
      <c r="AC495" s="163" t="str">
        <f t="shared" si="233"/>
        <v/>
      </c>
      <c r="AD495" s="119"/>
      <c r="AE495" s="21"/>
      <c r="AF495" s="121"/>
      <c r="AG495" s="122"/>
      <c r="AH495" s="83" t="str">
        <f t="shared" si="242"/>
        <v/>
      </c>
      <c r="AI495" s="115"/>
      <c r="AJ495" s="116"/>
      <c r="AK495" s="83" t="str">
        <f t="shared" si="243"/>
        <v/>
      </c>
      <c r="AL495" s="85" t="str">
        <f t="shared" si="244"/>
        <v/>
      </c>
      <c r="AM495" s="254" t="str">
        <f t="shared" si="245"/>
        <v/>
      </c>
      <c r="AN495" s="254" t="str">
        <f t="shared" ca="1" si="206"/>
        <v/>
      </c>
      <c r="AO495" s="255" t="str">
        <f t="shared" si="246"/>
        <v/>
      </c>
    </row>
    <row r="496" spans="2:41" x14ac:dyDescent="0.25">
      <c r="B496" s="321"/>
      <c r="C496" s="17"/>
      <c r="E496" s="117"/>
      <c r="F496" s="4" t="str">
        <f t="shared" si="225"/>
        <v/>
      </c>
      <c r="G496" s="4" t="str">
        <f t="shared" si="226"/>
        <v/>
      </c>
      <c r="H496" s="4" t="str">
        <f t="shared" si="227"/>
        <v/>
      </c>
      <c r="I496" s="4" t="str">
        <f t="shared" si="228"/>
        <v/>
      </c>
      <c r="J496" s="247"/>
      <c r="K496" s="117"/>
      <c r="L496" s="4" t="str">
        <f t="shared" si="234"/>
        <v/>
      </c>
      <c r="M496" s="4" t="str">
        <f t="shared" si="235"/>
        <v/>
      </c>
      <c r="N496" s="4" t="str">
        <f t="shared" si="236"/>
        <v/>
      </c>
      <c r="O496" s="4" t="str">
        <f t="shared" si="237"/>
        <v/>
      </c>
      <c r="P496" s="247"/>
      <c r="Q496" s="117"/>
      <c r="R496" s="4" t="str">
        <f t="shared" si="238"/>
        <v/>
      </c>
      <c r="S496" s="4" t="str">
        <f t="shared" si="239"/>
        <v/>
      </c>
      <c r="T496" s="4" t="str">
        <f t="shared" si="240"/>
        <v/>
      </c>
      <c r="U496" s="4" t="str">
        <f t="shared" si="241"/>
        <v/>
      </c>
      <c r="V496" s="247"/>
      <c r="W496" s="67" t="str">
        <f t="shared" si="229"/>
        <v/>
      </c>
      <c r="X496" s="118"/>
      <c r="Z496" s="67" t="str">
        <f t="shared" si="230"/>
        <v/>
      </c>
      <c r="AA496" s="13">
        <f t="shared" si="231"/>
        <v>0</v>
      </c>
      <c r="AB496" s="17">
        <f t="shared" si="232"/>
        <v>0</v>
      </c>
      <c r="AC496" s="163" t="str">
        <f t="shared" si="233"/>
        <v/>
      </c>
      <c r="AD496" s="119"/>
      <c r="AE496" s="21"/>
      <c r="AF496" s="121"/>
      <c r="AG496" s="122"/>
      <c r="AH496" s="83" t="str">
        <f t="shared" si="242"/>
        <v/>
      </c>
      <c r="AI496" s="115"/>
      <c r="AJ496" s="116"/>
      <c r="AK496" s="83" t="str">
        <f t="shared" si="243"/>
        <v/>
      </c>
      <c r="AL496" s="85" t="str">
        <f t="shared" si="244"/>
        <v/>
      </c>
      <c r="AM496" s="254" t="str">
        <f t="shared" si="245"/>
        <v/>
      </c>
      <c r="AN496" s="254" t="str">
        <f t="shared" ca="1" si="206"/>
        <v/>
      </c>
      <c r="AO496" s="255" t="str">
        <f t="shared" si="246"/>
        <v/>
      </c>
    </row>
    <row r="497" spans="2:41" x14ac:dyDescent="0.25">
      <c r="B497" s="321"/>
      <c r="C497" s="17"/>
      <c r="E497" s="117"/>
      <c r="F497" s="4" t="str">
        <f t="shared" si="225"/>
        <v/>
      </c>
      <c r="G497" s="4" t="str">
        <f t="shared" si="226"/>
        <v/>
      </c>
      <c r="H497" s="4" t="str">
        <f t="shared" si="227"/>
        <v/>
      </c>
      <c r="I497" s="4" t="str">
        <f t="shared" si="228"/>
        <v/>
      </c>
      <c r="J497" s="247"/>
      <c r="K497" s="117"/>
      <c r="L497" s="4" t="str">
        <f t="shared" si="234"/>
        <v/>
      </c>
      <c r="M497" s="4" t="str">
        <f t="shared" si="235"/>
        <v/>
      </c>
      <c r="N497" s="4" t="str">
        <f t="shared" si="236"/>
        <v/>
      </c>
      <c r="O497" s="4" t="str">
        <f t="shared" si="237"/>
        <v/>
      </c>
      <c r="P497" s="247"/>
      <c r="Q497" s="117"/>
      <c r="R497" s="4" t="str">
        <f t="shared" si="238"/>
        <v/>
      </c>
      <c r="S497" s="4" t="str">
        <f t="shared" si="239"/>
        <v/>
      </c>
      <c r="T497" s="4" t="str">
        <f t="shared" si="240"/>
        <v/>
      </c>
      <c r="U497" s="4" t="str">
        <f t="shared" si="241"/>
        <v/>
      </c>
      <c r="V497" s="247"/>
      <c r="W497" s="67" t="str">
        <f t="shared" si="229"/>
        <v/>
      </c>
      <c r="X497" s="118"/>
      <c r="Z497" s="67" t="str">
        <f t="shared" si="230"/>
        <v/>
      </c>
      <c r="AA497" s="13">
        <f t="shared" si="231"/>
        <v>0</v>
      </c>
      <c r="AB497" s="17">
        <f t="shared" si="232"/>
        <v>0</v>
      </c>
      <c r="AC497" s="163" t="str">
        <f t="shared" si="233"/>
        <v/>
      </c>
      <c r="AD497" s="119"/>
      <c r="AE497" s="21"/>
      <c r="AF497" s="121"/>
      <c r="AG497" s="122"/>
      <c r="AH497" s="83" t="str">
        <f t="shared" si="242"/>
        <v/>
      </c>
      <c r="AI497" s="115"/>
      <c r="AJ497" s="116"/>
      <c r="AK497" s="83" t="str">
        <f t="shared" si="243"/>
        <v/>
      </c>
      <c r="AL497" s="85" t="str">
        <f t="shared" si="244"/>
        <v/>
      </c>
      <c r="AM497" s="254" t="str">
        <f t="shared" si="245"/>
        <v/>
      </c>
      <c r="AN497" s="254" t="str">
        <f t="shared" ca="1" si="206"/>
        <v/>
      </c>
      <c r="AO497" s="255" t="str">
        <f t="shared" si="246"/>
        <v/>
      </c>
    </row>
    <row r="498" spans="2:41" x14ac:dyDescent="0.25">
      <c r="B498" s="321"/>
      <c r="C498" s="17"/>
      <c r="E498" s="117"/>
      <c r="F498" s="4" t="str">
        <f t="shared" si="225"/>
        <v/>
      </c>
      <c r="G498" s="4" t="str">
        <f t="shared" si="226"/>
        <v/>
      </c>
      <c r="H498" s="4" t="str">
        <f t="shared" si="227"/>
        <v/>
      </c>
      <c r="I498" s="4" t="str">
        <f t="shared" si="228"/>
        <v/>
      </c>
      <c r="J498" s="247"/>
      <c r="K498" s="117"/>
      <c r="L498" s="4" t="str">
        <f t="shared" si="234"/>
        <v/>
      </c>
      <c r="M498" s="4" t="str">
        <f t="shared" si="235"/>
        <v/>
      </c>
      <c r="N498" s="4" t="str">
        <f t="shared" si="236"/>
        <v/>
      </c>
      <c r="O498" s="4" t="str">
        <f t="shared" si="237"/>
        <v/>
      </c>
      <c r="P498" s="247"/>
      <c r="Q498" s="117"/>
      <c r="R498" s="4" t="str">
        <f t="shared" si="238"/>
        <v/>
      </c>
      <c r="S498" s="4" t="str">
        <f t="shared" si="239"/>
        <v/>
      </c>
      <c r="T498" s="4" t="str">
        <f t="shared" si="240"/>
        <v/>
      </c>
      <c r="U498" s="4" t="str">
        <f t="shared" si="241"/>
        <v/>
      </c>
      <c r="V498" s="247"/>
      <c r="W498" s="67" t="str">
        <f t="shared" si="229"/>
        <v/>
      </c>
      <c r="X498" s="118"/>
      <c r="Z498" s="67" t="str">
        <f t="shared" si="230"/>
        <v/>
      </c>
      <c r="AA498" s="13">
        <f t="shared" si="231"/>
        <v>0</v>
      </c>
      <c r="AB498" s="17">
        <f t="shared" si="232"/>
        <v>0</v>
      </c>
      <c r="AC498" s="163" t="str">
        <f t="shared" si="233"/>
        <v/>
      </c>
      <c r="AD498" s="119"/>
      <c r="AE498" s="21"/>
      <c r="AF498" s="121"/>
      <c r="AG498" s="122"/>
      <c r="AH498" s="83" t="str">
        <f t="shared" si="242"/>
        <v/>
      </c>
      <c r="AI498" s="115"/>
      <c r="AJ498" s="116"/>
      <c r="AK498" s="83" t="str">
        <f t="shared" si="243"/>
        <v/>
      </c>
      <c r="AL498" s="85" t="str">
        <f t="shared" si="244"/>
        <v/>
      </c>
      <c r="AM498" s="254" t="str">
        <f t="shared" si="245"/>
        <v/>
      </c>
      <c r="AN498" s="254" t="str">
        <f t="shared" ca="1" si="206"/>
        <v/>
      </c>
      <c r="AO498" s="255" t="str">
        <f t="shared" si="246"/>
        <v/>
      </c>
    </row>
    <row r="499" spans="2:41" x14ac:dyDescent="0.25">
      <c r="B499" s="321"/>
      <c r="C499" s="17"/>
      <c r="E499" s="117"/>
      <c r="F499" s="4" t="str">
        <f t="shared" si="225"/>
        <v/>
      </c>
      <c r="G499" s="4" t="str">
        <f t="shared" si="226"/>
        <v/>
      </c>
      <c r="H499" s="4" t="str">
        <f t="shared" si="227"/>
        <v/>
      </c>
      <c r="I499" s="4" t="str">
        <f t="shared" si="228"/>
        <v/>
      </c>
      <c r="J499" s="247"/>
      <c r="K499" s="117"/>
      <c r="L499" s="4" t="str">
        <f t="shared" si="234"/>
        <v/>
      </c>
      <c r="M499" s="4" t="str">
        <f t="shared" si="235"/>
        <v/>
      </c>
      <c r="N499" s="4" t="str">
        <f t="shared" si="236"/>
        <v/>
      </c>
      <c r="O499" s="4" t="str">
        <f t="shared" si="237"/>
        <v/>
      </c>
      <c r="P499" s="247"/>
      <c r="Q499" s="117"/>
      <c r="R499" s="4" t="str">
        <f t="shared" si="238"/>
        <v/>
      </c>
      <c r="S499" s="4" t="str">
        <f t="shared" si="239"/>
        <v/>
      </c>
      <c r="T499" s="4" t="str">
        <f t="shared" si="240"/>
        <v/>
      </c>
      <c r="U499" s="4" t="str">
        <f t="shared" si="241"/>
        <v/>
      </c>
      <c r="V499" s="247"/>
      <c r="W499" s="67" t="str">
        <f t="shared" si="229"/>
        <v/>
      </c>
      <c r="X499" s="118"/>
      <c r="Z499" s="67" t="str">
        <f t="shared" si="230"/>
        <v/>
      </c>
      <c r="AA499" s="13">
        <f t="shared" si="231"/>
        <v>0</v>
      </c>
      <c r="AB499" s="17">
        <f t="shared" si="232"/>
        <v>0</v>
      </c>
      <c r="AC499" s="163" t="str">
        <f t="shared" si="233"/>
        <v/>
      </c>
      <c r="AD499" s="119"/>
      <c r="AE499" s="21"/>
      <c r="AF499" s="121"/>
      <c r="AG499" s="122"/>
      <c r="AH499" s="83" t="str">
        <f t="shared" si="242"/>
        <v/>
      </c>
      <c r="AI499" s="115"/>
      <c r="AJ499" s="116"/>
      <c r="AK499" s="83" t="str">
        <f t="shared" si="243"/>
        <v/>
      </c>
      <c r="AL499" s="85" t="str">
        <f t="shared" si="244"/>
        <v/>
      </c>
      <c r="AM499" s="254" t="str">
        <f t="shared" si="245"/>
        <v/>
      </c>
      <c r="AN499" s="254" t="str">
        <f t="shared" ca="1" si="206"/>
        <v/>
      </c>
      <c r="AO499" s="255" t="str">
        <f t="shared" si="246"/>
        <v/>
      </c>
    </row>
    <row r="500" spans="2:41" x14ac:dyDescent="0.25">
      <c r="B500" s="321"/>
      <c r="C500" s="17"/>
      <c r="E500" s="117"/>
      <c r="F500" s="4" t="str">
        <f t="shared" si="225"/>
        <v/>
      </c>
      <c r="G500" s="4" t="str">
        <f t="shared" si="226"/>
        <v/>
      </c>
      <c r="H500" s="4" t="str">
        <f t="shared" si="227"/>
        <v/>
      </c>
      <c r="I500" s="4" t="str">
        <f t="shared" si="228"/>
        <v/>
      </c>
      <c r="J500" s="247"/>
      <c r="K500" s="117"/>
      <c r="L500" s="4" t="str">
        <f t="shared" si="234"/>
        <v/>
      </c>
      <c r="M500" s="4" t="str">
        <f t="shared" si="235"/>
        <v/>
      </c>
      <c r="N500" s="4" t="str">
        <f t="shared" si="236"/>
        <v/>
      </c>
      <c r="O500" s="4" t="str">
        <f t="shared" si="237"/>
        <v/>
      </c>
      <c r="P500" s="247"/>
      <c r="Q500" s="117"/>
      <c r="R500" s="4" t="str">
        <f t="shared" si="238"/>
        <v/>
      </c>
      <c r="S500" s="4" t="str">
        <f t="shared" si="239"/>
        <v/>
      </c>
      <c r="T500" s="4" t="str">
        <f t="shared" si="240"/>
        <v/>
      </c>
      <c r="U500" s="4" t="str">
        <f t="shared" si="241"/>
        <v/>
      </c>
      <c r="V500" s="247"/>
      <c r="W500" s="67" t="str">
        <f t="shared" si="229"/>
        <v/>
      </c>
      <c r="X500" s="118"/>
      <c r="Z500" s="67" t="str">
        <f t="shared" si="230"/>
        <v/>
      </c>
      <c r="AA500" s="13">
        <f t="shared" si="231"/>
        <v>0</v>
      </c>
      <c r="AB500" s="17">
        <f t="shared" si="232"/>
        <v>0</v>
      </c>
      <c r="AC500" s="163" t="str">
        <f t="shared" si="233"/>
        <v/>
      </c>
      <c r="AD500" s="119"/>
      <c r="AE500" s="21"/>
      <c r="AF500" s="121"/>
      <c r="AG500" s="122"/>
      <c r="AH500" s="83" t="str">
        <f t="shared" si="242"/>
        <v/>
      </c>
      <c r="AI500" s="115"/>
      <c r="AJ500" s="116"/>
      <c r="AK500" s="83" t="str">
        <f t="shared" si="243"/>
        <v/>
      </c>
      <c r="AL500" s="85" t="str">
        <f t="shared" si="244"/>
        <v/>
      </c>
      <c r="AM500" s="254" t="str">
        <f t="shared" si="245"/>
        <v/>
      </c>
      <c r="AN500" s="254" t="str">
        <f t="shared" ref="AN500:AN563" ca="1" si="247">IF(AK500="","",NOW())</f>
        <v/>
      </c>
      <c r="AO500" s="255" t="str">
        <f t="shared" si="246"/>
        <v/>
      </c>
    </row>
    <row r="501" spans="2:41" x14ac:dyDescent="0.25">
      <c r="B501" s="321"/>
      <c r="C501" s="17"/>
      <c r="E501" s="117"/>
      <c r="F501" s="4" t="str">
        <f t="shared" si="225"/>
        <v/>
      </c>
      <c r="G501" s="4" t="str">
        <f t="shared" si="226"/>
        <v/>
      </c>
      <c r="H501" s="4" t="str">
        <f t="shared" si="227"/>
        <v/>
      </c>
      <c r="I501" s="4" t="str">
        <f t="shared" si="228"/>
        <v/>
      </c>
      <c r="J501" s="247"/>
      <c r="K501" s="117"/>
      <c r="L501" s="4" t="str">
        <f t="shared" si="234"/>
        <v/>
      </c>
      <c r="M501" s="4" t="str">
        <f t="shared" si="235"/>
        <v/>
      </c>
      <c r="N501" s="4" t="str">
        <f t="shared" si="236"/>
        <v/>
      </c>
      <c r="O501" s="4" t="str">
        <f t="shared" si="237"/>
        <v/>
      </c>
      <c r="P501" s="247"/>
      <c r="Q501" s="117"/>
      <c r="R501" s="4" t="str">
        <f t="shared" si="238"/>
        <v/>
      </c>
      <c r="S501" s="4" t="str">
        <f t="shared" si="239"/>
        <v/>
      </c>
      <c r="T501" s="4" t="str">
        <f t="shared" si="240"/>
        <v/>
      </c>
      <c r="U501" s="4" t="str">
        <f t="shared" si="241"/>
        <v/>
      </c>
      <c r="V501" s="247"/>
      <c r="W501" s="67" t="str">
        <f t="shared" si="229"/>
        <v/>
      </c>
      <c r="X501" s="118"/>
      <c r="Z501" s="67" t="str">
        <f t="shared" si="230"/>
        <v/>
      </c>
      <c r="AA501" s="13">
        <f t="shared" si="231"/>
        <v>0</v>
      </c>
      <c r="AB501" s="17">
        <f t="shared" si="232"/>
        <v>0</v>
      </c>
      <c r="AC501" s="163" t="str">
        <f t="shared" si="233"/>
        <v/>
      </c>
      <c r="AD501" s="119"/>
      <c r="AE501" s="21"/>
      <c r="AF501" s="121"/>
      <c r="AG501" s="122"/>
      <c r="AH501" s="83" t="str">
        <f t="shared" si="242"/>
        <v/>
      </c>
      <c r="AI501" s="115"/>
      <c r="AJ501" s="116"/>
      <c r="AK501" s="83" t="str">
        <f t="shared" si="243"/>
        <v/>
      </c>
      <c r="AL501" s="85" t="str">
        <f t="shared" si="244"/>
        <v/>
      </c>
      <c r="AM501" s="254" t="str">
        <f t="shared" si="245"/>
        <v/>
      </c>
      <c r="AN501" s="254" t="str">
        <f t="shared" ca="1" si="247"/>
        <v/>
      </c>
      <c r="AO501" s="255" t="str">
        <f t="shared" si="246"/>
        <v/>
      </c>
    </row>
    <row r="502" spans="2:41" x14ac:dyDescent="0.25">
      <c r="B502" s="321"/>
      <c r="C502" s="17"/>
      <c r="E502" s="117"/>
      <c r="F502" s="4" t="str">
        <f t="shared" si="225"/>
        <v/>
      </c>
      <c r="G502" s="4" t="str">
        <f t="shared" si="226"/>
        <v/>
      </c>
      <c r="H502" s="4" t="str">
        <f t="shared" si="227"/>
        <v/>
      </c>
      <c r="I502" s="4" t="str">
        <f t="shared" si="228"/>
        <v/>
      </c>
      <c r="J502" s="247"/>
      <c r="K502" s="117"/>
      <c r="L502" s="4" t="str">
        <f t="shared" si="234"/>
        <v/>
      </c>
      <c r="M502" s="4" t="str">
        <f t="shared" si="235"/>
        <v/>
      </c>
      <c r="N502" s="4" t="str">
        <f t="shared" si="236"/>
        <v/>
      </c>
      <c r="O502" s="4" t="str">
        <f t="shared" si="237"/>
        <v/>
      </c>
      <c r="P502" s="247"/>
      <c r="Q502" s="117"/>
      <c r="R502" s="4" t="str">
        <f t="shared" si="238"/>
        <v/>
      </c>
      <c r="S502" s="4" t="str">
        <f t="shared" si="239"/>
        <v/>
      </c>
      <c r="T502" s="4" t="str">
        <f t="shared" si="240"/>
        <v/>
      </c>
      <c r="U502" s="4" t="str">
        <f t="shared" si="241"/>
        <v/>
      </c>
      <c r="V502" s="247"/>
      <c r="W502" s="67" t="str">
        <f t="shared" si="229"/>
        <v/>
      </c>
      <c r="X502" s="118"/>
      <c r="Z502" s="67" t="str">
        <f t="shared" si="230"/>
        <v/>
      </c>
      <c r="AA502" s="13">
        <f t="shared" si="231"/>
        <v>0</v>
      </c>
      <c r="AB502" s="17">
        <f t="shared" si="232"/>
        <v>0</v>
      </c>
      <c r="AC502" s="163" t="str">
        <f t="shared" si="233"/>
        <v/>
      </c>
      <c r="AD502" s="119"/>
      <c r="AE502" s="21"/>
      <c r="AF502" s="121"/>
      <c r="AG502" s="122"/>
      <c r="AH502" s="83" t="str">
        <f t="shared" si="242"/>
        <v/>
      </c>
      <c r="AI502" s="115"/>
      <c r="AJ502" s="116"/>
      <c r="AK502" s="83" t="str">
        <f t="shared" si="243"/>
        <v/>
      </c>
      <c r="AL502" s="85" t="str">
        <f t="shared" si="244"/>
        <v/>
      </c>
      <c r="AM502" s="254" t="str">
        <f t="shared" si="245"/>
        <v/>
      </c>
      <c r="AN502" s="254" t="str">
        <f t="shared" ca="1" si="247"/>
        <v/>
      </c>
      <c r="AO502" s="255" t="str">
        <f t="shared" si="246"/>
        <v/>
      </c>
    </row>
    <row r="503" spans="2:41" x14ac:dyDescent="0.25">
      <c r="B503" s="321"/>
      <c r="C503" s="17"/>
      <c r="E503" s="117"/>
      <c r="F503" s="4" t="str">
        <f t="shared" si="225"/>
        <v/>
      </c>
      <c r="G503" s="4" t="str">
        <f t="shared" si="226"/>
        <v/>
      </c>
      <c r="H503" s="4" t="str">
        <f t="shared" si="227"/>
        <v/>
      </c>
      <c r="I503" s="4" t="str">
        <f t="shared" si="228"/>
        <v/>
      </c>
      <c r="J503" s="247"/>
      <c r="K503" s="117"/>
      <c r="L503" s="4" t="str">
        <f t="shared" si="234"/>
        <v/>
      </c>
      <c r="M503" s="4" t="str">
        <f t="shared" si="235"/>
        <v/>
      </c>
      <c r="N503" s="4" t="str">
        <f t="shared" si="236"/>
        <v/>
      </c>
      <c r="O503" s="4" t="str">
        <f t="shared" si="237"/>
        <v/>
      </c>
      <c r="P503" s="247"/>
      <c r="Q503" s="117"/>
      <c r="R503" s="4" t="str">
        <f t="shared" si="238"/>
        <v/>
      </c>
      <c r="S503" s="4" t="str">
        <f t="shared" si="239"/>
        <v/>
      </c>
      <c r="T503" s="4" t="str">
        <f t="shared" si="240"/>
        <v/>
      </c>
      <c r="U503" s="4" t="str">
        <f t="shared" si="241"/>
        <v/>
      </c>
      <c r="V503" s="247"/>
      <c r="W503" s="67" t="str">
        <f t="shared" si="229"/>
        <v/>
      </c>
      <c r="X503" s="118"/>
      <c r="Z503" s="67" t="str">
        <f t="shared" si="230"/>
        <v/>
      </c>
      <c r="AA503" s="13">
        <f t="shared" si="231"/>
        <v>0</v>
      </c>
      <c r="AB503" s="17">
        <f t="shared" si="232"/>
        <v>0</v>
      </c>
      <c r="AC503" s="163" t="str">
        <f t="shared" si="233"/>
        <v/>
      </c>
      <c r="AD503" s="119"/>
      <c r="AE503" s="21"/>
      <c r="AF503" s="121"/>
      <c r="AG503" s="122"/>
      <c r="AH503" s="83" t="str">
        <f t="shared" si="242"/>
        <v/>
      </c>
      <c r="AI503" s="115"/>
      <c r="AJ503" s="116"/>
      <c r="AK503" s="83" t="str">
        <f t="shared" si="243"/>
        <v/>
      </c>
      <c r="AL503" s="85" t="str">
        <f t="shared" si="244"/>
        <v/>
      </c>
      <c r="AM503" s="254" t="str">
        <f t="shared" si="245"/>
        <v/>
      </c>
      <c r="AN503" s="254" t="str">
        <f t="shared" ca="1" si="247"/>
        <v/>
      </c>
      <c r="AO503" s="255" t="str">
        <f t="shared" si="246"/>
        <v/>
      </c>
    </row>
    <row r="504" spans="2:41" x14ac:dyDescent="0.25">
      <c r="B504" s="321"/>
      <c r="C504" s="17"/>
      <c r="E504" s="117"/>
      <c r="F504" s="4" t="str">
        <f t="shared" si="225"/>
        <v/>
      </c>
      <c r="G504" s="4" t="str">
        <f t="shared" si="226"/>
        <v/>
      </c>
      <c r="H504" s="4" t="str">
        <f t="shared" si="227"/>
        <v/>
      </c>
      <c r="I504" s="4" t="str">
        <f t="shared" si="228"/>
        <v/>
      </c>
      <c r="J504" s="247"/>
      <c r="K504" s="117"/>
      <c r="L504" s="4" t="str">
        <f t="shared" si="234"/>
        <v/>
      </c>
      <c r="M504" s="4" t="str">
        <f t="shared" si="235"/>
        <v/>
      </c>
      <c r="N504" s="4" t="str">
        <f t="shared" si="236"/>
        <v/>
      </c>
      <c r="O504" s="4" t="str">
        <f t="shared" si="237"/>
        <v/>
      </c>
      <c r="P504" s="247"/>
      <c r="Q504" s="117"/>
      <c r="R504" s="4" t="str">
        <f t="shared" si="238"/>
        <v/>
      </c>
      <c r="S504" s="4" t="str">
        <f t="shared" si="239"/>
        <v/>
      </c>
      <c r="T504" s="4" t="str">
        <f t="shared" si="240"/>
        <v/>
      </c>
      <c r="U504" s="4" t="str">
        <f t="shared" si="241"/>
        <v/>
      </c>
      <c r="V504" s="247"/>
      <c r="W504" s="67" t="str">
        <f t="shared" si="229"/>
        <v/>
      </c>
      <c r="X504" s="118"/>
      <c r="Z504" s="67" t="str">
        <f t="shared" si="230"/>
        <v/>
      </c>
      <c r="AA504" s="13">
        <f t="shared" si="231"/>
        <v>0</v>
      </c>
      <c r="AB504" s="17">
        <f t="shared" si="232"/>
        <v>0</v>
      </c>
      <c r="AC504" s="163" t="str">
        <f t="shared" si="233"/>
        <v/>
      </c>
      <c r="AD504" s="119"/>
      <c r="AE504" s="21"/>
      <c r="AF504" s="121"/>
      <c r="AG504" s="122"/>
      <c r="AH504" s="83" t="str">
        <f t="shared" si="242"/>
        <v/>
      </c>
      <c r="AI504" s="115"/>
      <c r="AJ504" s="116"/>
      <c r="AK504" s="83" t="str">
        <f t="shared" si="243"/>
        <v/>
      </c>
      <c r="AL504" s="85" t="str">
        <f t="shared" si="244"/>
        <v/>
      </c>
      <c r="AM504" s="254" t="str">
        <f t="shared" si="245"/>
        <v/>
      </c>
      <c r="AN504" s="254" t="str">
        <f t="shared" ca="1" si="247"/>
        <v/>
      </c>
      <c r="AO504" s="255" t="str">
        <f t="shared" si="246"/>
        <v/>
      </c>
    </row>
    <row r="505" spans="2:41" x14ac:dyDescent="0.25">
      <c r="B505" s="321"/>
      <c r="C505" s="17"/>
      <c r="E505" s="117"/>
      <c r="F505" s="4" t="str">
        <f t="shared" ref="F505:F568" si="248">IFERROR(IF(VLOOKUP($E505,Inward,2,FALSE)&gt;0,VLOOKUP($E505,Inward,2,FALSE),""),"")</f>
        <v/>
      </c>
      <c r="G505" s="4" t="str">
        <f t="shared" ref="G505:G568" si="249">IFERROR(IF(VLOOKUP($E505,Inward,7,FALSE)&gt;0,VLOOKUP($E505,Inward,7,FALSE),""),"")</f>
        <v/>
      </c>
      <c r="H505" s="4" t="str">
        <f t="shared" ref="H505:H568" si="250">IFERROR(IF(VLOOKUP($E505,Inward,8,FALSE)&gt;0,VLOOKUP($E505,Inward,8,FALSE),""),"")</f>
        <v/>
      </c>
      <c r="I505" s="4" t="str">
        <f t="shared" ref="I505:I568" si="251">IFERROR(IF(VLOOKUP($E505,Inward,11,FALSE)&gt;0,VLOOKUP($E505,Inward,11,FALSE),""),"")</f>
        <v/>
      </c>
      <c r="J505" s="247"/>
      <c r="K505" s="117"/>
      <c r="L505" s="4" t="str">
        <f t="shared" si="234"/>
        <v/>
      </c>
      <c r="M505" s="4" t="str">
        <f t="shared" si="235"/>
        <v/>
      </c>
      <c r="N505" s="4" t="str">
        <f t="shared" si="236"/>
        <v/>
      </c>
      <c r="O505" s="4" t="str">
        <f t="shared" si="237"/>
        <v/>
      </c>
      <c r="P505" s="247"/>
      <c r="Q505" s="117"/>
      <c r="R505" s="4" t="str">
        <f t="shared" si="238"/>
        <v/>
      </c>
      <c r="S505" s="4" t="str">
        <f t="shared" si="239"/>
        <v/>
      </c>
      <c r="T505" s="4" t="str">
        <f t="shared" si="240"/>
        <v/>
      </c>
      <c r="U505" s="4" t="str">
        <f t="shared" si="241"/>
        <v/>
      </c>
      <c r="V505" s="247"/>
      <c r="W505" s="67" t="str">
        <f t="shared" si="229"/>
        <v/>
      </c>
      <c r="X505" s="118"/>
      <c r="Z505" s="67" t="str">
        <f t="shared" si="230"/>
        <v/>
      </c>
      <c r="AA505" s="13">
        <f t="shared" si="231"/>
        <v>0</v>
      </c>
      <c r="AB505" s="17">
        <f t="shared" si="232"/>
        <v>0</v>
      </c>
      <c r="AC505" s="163" t="str">
        <f t="shared" si="233"/>
        <v/>
      </c>
      <c r="AD505" s="119"/>
      <c r="AE505" s="21"/>
      <c r="AF505" s="121"/>
      <c r="AG505" s="122"/>
      <c r="AH505" s="83" t="str">
        <f t="shared" si="242"/>
        <v/>
      </c>
      <c r="AI505" s="115"/>
      <c r="AJ505" s="116"/>
      <c r="AK505" s="83" t="str">
        <f t="shared" si="243"/>
        <v/>
      </c>
      <c r="AL505" s="85" t="str">
        <f t="shared" si="244"/>
        <v/>
      </c>
      <c r="AM505" s="254" t="str">
        <f t="shared" si="245"/>
        <v/>
      </c>
      <c r="AN505" s="254" t="str">
        <f t="shared" ca="1" si="247"/>
        <v/>
      </c>
      <c r="AO505" s="255" t="str">
        <f t="shared" si="246"/>
        <v/>
      </c>
    </row>
    <row r="506" spans="2:41" x14ac:dyDescent="0.25">
      <c r="B506" s="321"/>
      <c r="C506" s="17"/>
      <c r="E506" s="117"/>
      <c r="F506" s="4" t="str">
        <f t="shared" si="248"/>
        <v/>
      </c>
      <c r="G506" s="4" t="str">
        <f t="shared" si="249"/>
        <v/>
      </c>
      <c r="H506" s="4" t="str">
        <f t="shared" si="250"/>
        <v/>
      </c>
      <c r="I506" s="4" t="str">
        <f t="shared" si="251"/>
        <v/>
      </c>
      <c r="J506" s="247"/>
      <c r="K506" s="117"/>
      <c r="L506" s="4" t="str">
        <f t="shared" si="234"/>
        <v/>
      </c>
      <c r="M506" s="4" t="str">
        <f t="shared" si="235"/>
        <v/>
      </c>
      <c r="N506" s="4" t="str">
        <f t="shared" si="236"/>
        <v/>
      </c>
      <c r="O506" s="4" t="str">
        <f t="shared" si="237"/>
        <v/>
      </c>
      <c r="P506" s="247"/>
      <c r="Q506" s="117"/>
      <c r="R506" s="4" t="str">
        <f t="shared" si="238"/>
        <v/>
      </c>
      <c r="S506" s="4" t="str">
        <f t="shared" si="239"/>
        <v/>
      </c>
      <c r="T506" s="4" t="str">
        <f t="shared" si="240"/>
        <v/>
      </c>
      <c r="U506" s="4" t="str">
        <f t="shared" si="241"/>
        <v/>
      </c>
      <c r="V506" s="247"/>
      <c r="W506" s="67" t="str">
        <f t="shared" si="229"/>
        <v/>
      </c>
      <c r="X506" s="118"/>
      <c r="Z506" s="67" t="str">
        <f t="shared" si="230"/>
        <v/>
      </c>
      <c r="AA506" s="13">
        <f t="shared" si="231"/>
        <v>0</v>
      </c>
      <c r="AB506" s="17">
        <f t="shared" si="232"/>
        <v>0</v>
      </c>
      <c r="AC506" s="163" t="str">
        <f t="shared" si="233"/>
        <v/>
      </c>
      <c r="AD506" s="119"/>
      <c r="AE506" s="21"/>
      <c r="AF506" s="121"/>
      <c r="AG506" s="122"/>
      <c r="AH506" s="83" t="str">
        <f t="shared" si="242"/>
        <v/>
      </c>
      <c r="AI506" s="115"/>
      <c r="AJ506" s="116"/>
      <c r="AK506" s="83" t="str">
        <f t="shared" si="243"/>
        <v/>
      </c>
      <c r="AL506" s="85" t="str">
        <f t="shared" si="244"/>
        <v/>
      </c>
      <c r="AM506" s="254" t="str">
        <f t="shared" si="245"/>
        <v/>
      </c>
      <c r="AN506" s="254" t="str">
        <f t="shared" ca="1" si="247"/>
        <v/>
      </c>
      <c r="AO506" s="255" t="str">
        <f t="shared" si="246"/>
        <v/>
      </c>
    </row>
    <row r="507" spans="2:41" x14ac:dyDescent="0.25">
      <c r="B507" s="321"/>
      <c r="C507" s="17"/>
      <c r="E507" s="117"/>
      <c r="F507" s="4" t="str">
        <f t="shared" si="248"/>
        <v/>
      </c>
      <c r="G507" s="4" t="str">
        <f t="shared" si="249"/>
        <v/>
      </c>
      <c r="H507" s="4" t="str">
        <f t="shared" si="250"/>
        <v/>
      </c>
      <c r="I507" s="4" t="str">
        <f t="shared" si="251"/>
        <v/>
      </c>
      <c r="J507" s="247"/>
      <c r="K507" s="117"/>
      <c r="L507" s="4" t="str">
        <f t="shared" si="234"/>
        <v/>
      </c>
      <c r="M507" s="4" t="str">
        <f t="shared" si="235"/>
        <v/>
      </c>
      <c r="N507" s="4" t="str">
        <f t="shared" si="236"/>
        <v/>
      </c>
      <c r="O507" s="4" t="str">
        <f t="shared" si="237"/>
        <v/>
      </c>
      <c r="P507" s="247"/>
      <c r="Q507" s="117"/>
      <c r="R507" s="4" t="str">
        <f t="shared" si="238"/>
        <v/>
      </c>
      <c r="S507" s="4" t="str">
        <f t="shared" si="239"/>
        <v/>
      </c>
      <c r="T507" s="4" t="str">
        <f t="shared" si="240"/>
        <v/>
      </c>
      <c r="U507" s="4" t="str">
        <f t="shared" si="241"/>
        <v/>
      </c>
      <c r="V507" s="247"/>
      <c r="W507" s="67" t="str">
        <f t="shared" si="229"/>
        <v/>
      </c>
      <c r="X507" s="118"/>
      <c r="Z507" s="67" t="str">
        <f t="shared" si="230"/>
        <v/>
      </c>
      <c r="AA507" s="13">
        <f t="shared" si="231"/>
        <v>0</v>
      </c>
      <c r="AB507" s="17">
        <f t="shared" si="232"/>
        <v>0</v>
      </c>
      <c r="AC507" s="163" t="str">
        <f t="shared" si="233"/>
        <v/>
      </c>
      <c r="AD507" s="119"/>
      <c r="AE507" s="21"/>
      <c r="AF507" s="121"/>
      <c r="AG507" s="122"/>
      <c r="AH507" s="83" t="str">
        <f t="shared" si="242"/>
        <v/>
      </c>
      <c r="AI507" s="115"/>
      <c r="AJ507" s="116"/>
      <c r="AK507" s="83" t="str">
        <f t="shared" si="243"/>
        <v/>
      </c>
      <c r="AL507" s="85" t="str">
        <f t="shared" si="244"/>
        <v/>
      </c>
      <c r="AM507" s="254" t="str">
        <f t="shared" si="245"/>
        <v/>
      </c>
      <c r="AN507" s="254" t="str">
        <f t="shared" ca="1" si="247"/>
        <v/>
      </c>
      <c r="AO507" s="255" t="str">
        <f t="shared" si="246"/>
        <v/>
      </c>
    </row>
    <row r="508" spans="2:41" x14ac:dyDescent="0.25">
      <c r="B508" s="321"/>
      <c r="C508" s="17"/>
      <c r="E508" s="117"/>
      <c r="F508" s="4" t="str">
        <f t="shared" si="248"/>
        <v/>
      </c>
      <c r="G508" s="4" t="str">
        <f t="shared" si="249"/>
        <v/>
      </c>
      <c r="H508" s="4" t="str">
        <f t="shared" si="250"/>
        <v/>
      </c>
      <c r="I508" s="4" t="str">
        <f t="shared" si="251"/>
        <v/>
      </c>
      <c r="J508" s="247"/>
      <c r="K508" s="117"/>
      <c r="L508" s="4" t="str">
        <f t="shared" si="234"/>
        <v/>
      </c>
      <c r="M508" s="4" t="str">
        <f t="shared" si="235"/>
        <v/>
      </c>
      <c r="N508" s="4" t="str">
        <f t="shared" si="236"/>
        <v/>
      </c>
      <c r="O508" s="4" t="str">
        <f t="shared" si="237"/>
        <v/>
      </c>
      <c r="P508" s="247"/>
      <c r="Q508" s="117"/>
      <c r="R508" s="4" t="str">
        <f t="shared" si="238"/>
        <v/>
      </c>
      <c r="S508" s="4" t="str">
        <f t="shared" si="239"/>
        <v/>
      </c>
      <c r="T508" s="4" t="str">
        <f t="shared" si="240"/>
        <v/>
      </c>
      <c r="U508" s="4" t="str">
        <f t="shared" si="241"/>
        <v/>
      </c>
      <c r="V508" s="247"/>
      <c r="W508" s="67" t="str">
        <f t="shared" ref="W508:W571" si="252">IF(SUM(I508,O508,U508)&gt;0,(SUM(I508,O508,U508)),"")</f>
        <v/>
      </c>
      <c r="X508" s="118"/>
      <c r="Z508" s="67" t="str">
        <f t="shared" ref="Z508:Z571" si="253">IF(SUM(W508,Y508)&gt;0,(SUM(W508,Y508)),"")</f>
        <v/>
      </c>
      <c r="AA508" s="13">
        <f t="shared" ref="AA508:AA571" si="254">B508</f>
        <v>0</v>
      </c>
      <c r="AB508" s="17">
        <f t="shared" ref="AB508:AB571" si="255">C508</f>
        <v>0</v>
      </c>
      <c r="AC508" s="163" t="str">
        <f t="shared" ref="AC508:AC571" si="256">F508</f>
        <v/>
      </c>
      <c r="AD508" s="119"/>
      <c r="AE508" s="21"/>
      <c r="AF508" s="121"/>
      <c r="AG508" s="122"/>
      <c r="AH508" s="83" t="str">
        <f t="shared" si="242"/>
        <v/>
      </c>
      <c r="AI508" s="115"/>
      <c r="AJ508" s="116"/>
      <c r="AK508" s="83" t="str">
        <f t="shared" si="243"/>
        <v/>
      </c>
      <c r="AL508" s="85" t="str">
        <f t="shared" si="244"/>
        <v/>
      </c>
      <c r="AM508" s="254" t="str">
        <f t="shared" si="245"/>
        <v/>
      </c>
      <c r="AN508" s="254" t="str">
        <f t="shared" ca="1" si="247"/>
        <v/>
      </c>
      <c r="AO508" s="255" t="str">
        <f t="shared" si="246"/>
        <v/>
      </c>
    </row>
    <row r="509" spans="2:41" x14ac:dyDescent="0.25">
      <c r="B509" s="321"/>
      <c r="C509" s="17"/>
      <c r="E509" s="117"/>
      <c r="F509" s="4" t="str">
        <f t="shared" si="248"/>
        <v/>
      </c>
      <c r="G509" s="4" t="str">
        <f t="shared" si="249"/>
        <v/>
      </c>
      <c r="H509" s="4" t="str">
        <f t="shared" si="250"/>
        <v/>
      </c>
      <c r="I509" s="4" t="str">
        <f t="shared" si="251"/>
        <v/>
      </c>
      <c r="J509" s="247"/>
      <c r="K509" s="117"/>
      <c r="L509" s="4" t="str">
        <f t="shared" si="234"/>
        <v/>
      </c>
      <c r="M509" s="4" t="str">
        <f t="shared" si="235"/>
        <v/>
      </c>
      <c r="N509" s="4" t="str">
        <f t="shared" si="236"/>
        <v/>
      </c>
      <c r="O509" s="4" t="str">
        <f t="shared" si="237"/>
        <v/>
      </c>
      <c r="P509" s="247"/>
      <c r="Q509" s="117"/>
      <c r="R509" s="4" t="str">
        <f t="shared" si="238"/>
        <v/>
      </c>
      <c r="S509" s="4" t="str">
        <f t="shared" si="239"/>
        <v/>
      </c>
      <c r="T509" s="4" t="str">
        <f t="shared" si="240"/>
        <v/>
      </c>
      <c r="U509" s="4" t="str">
        <f t="shared" si="241"/>
        <v/>
      </c>
      <c r="V509" s="247"/>
      <c r="W509" s="67" t="str">
        <f t="shared" si="252"/>
        <v/>
      </c>
      <c r="X509" s="118"/>
      <c r="Z509" s="67" t="str">
        <f t="shared" si="253"/>
        <v/>
      </c>
      <c r="AA509" s="13">
        <f t="shared" si="254"/>
        <v>0</v>
      </c>
      <c r="AB509" s="17">
        <f t="shared" si="255"/>
        <v>0</v>
      </c>
      <c r="AC509" s="163" t="str">
        <f t="shared" si="256"/>
        <v/>
      </c>
      <c r="AD509" s="119"/>
      <c r="AE509" s="21"/>
      <c r="AF509" s="121"/>
      <c r="AG509" s="122"/>
      <c r="AH509" s="83" t="str">
        <f t="shared" si="242"/>
        <v/>
      </c>
      <c r="AI509" s="115"/>
      <c r="AJ509" s="116"/>
      <c r="AK509" s="83" t="str">
        <f t="shared" si="243"/>
        <v/>
      </c>
      <c r="AL509" s="85" t="str">
        <f t="shared" si="244"/>
        <v/>
      </c>
      <c r="AM509" s="254" t="str">
        <f t="shared" si="245"/>
        <v/>
      </c>
      <c r="AN509" s="254" t="str">
        <f t="shared" ca="1" si="247"/>
        <v/>
      </c>
      <c r="AO509" s="255" t="str">
        <f t="shared" si="246"/>
        <v/>
      </c>
    </row>
    <row r="510" spans="2:41" x14ac:dyDescent="0.25">
      <c r="B510" s="321"/>
      <c r="C510" s="17"/>
      <c r="E510" s="117"/>
      <c r="F510" s="4" t="str">
        <f t="shared" si="248"/>
        <v/>
      </c>
      <c r="G510" s="4" t="str">
        <f t="shared" si="249"/>
        <v/>
      </c>
      <c r="H510" s="4" t="str">
        <f t="shared" si="250"/>
        <v/>
      </c>
      <c r="I510" s="4" t="str">
        <f t="shared" si="251"/>
        <v/>
      </c>
      <c r="J510" s="247"/>
      <c r="K510" s="117"/>
      <c r="L510" s="4" t="str">
        <f t="shared" si="234"/>
        <v/>
      </c>
      <c r="M510" s="4" t="str">
        <f t="shared" si="235"/>
        <v/>
      </c>
      <c r="N510" s="4" t="str">
        <f t="shared" si="236"/>
        <v/>
      </c>
      <c r="O510" s="4" t="str">
        <f t="shared" si="237"/>
        <v/>
      </c>
      <c r="P510" s="247"/>
      <c r="Q510" s="117"/>
      <c r="R510" s="4" t="str">
        <f t="shared" si="238"/>
        <v/>
      </c>
      <c r="S510" s="4" t="str">
        <f t="shared" si="239"/>
        <v/>
      </c>
      <c r="T510" s="4" t="str">
        <f t="shared" si="240"/>
        <v/>
      </c>
      <c r="U510" s="4" t="str">
        <f t="shared" si="241"/>
        <v/>
      </c>
      <c r="V510" s="247"/>
      <c r="W510" s="67" t="str">
        <f t="shared" si="252"/>
        <v/>
      </c>
      <c r="X510" s="118"/>
      <c r="Z510" s="67" t="str">
        <f t="shared" si="253"/>
        <v/>
      </c>
      <c r="AA510" s="13">
        <f t="shared" si="254"/>
        <v>0</v>
      </c>
      <c r="AB510" s="17">
        <f t="shared" si="255"/>
        <v>0</v>
      </c>
      <c r="AC510" s="163" t="str">
        <f t="shared" si="256"/>
        <v/>
      </c>
      <c r="AD510" s="119"/>
      <c r="AE510" s="21"/>
      <c r="AF510" s="121"/>
      <c r="AG510" s="122"/>
      <c r="AH510" s="83" t="str">
        <f t="shared" si="242"/>
        <v/>
      </c>
      <c r="AI510" s="115"/>
      <c r="AJ510" s="116"/>
      <c r="AK510" s="83" t="str">
        <f t="shared" si="243"/>
        <v/>
      </c>
      <c r="AL510" s="85" t="str">
        <f t="shared" si="244"/>
        <v/>
      </c>
      <c r="AM510" s="254" t="str">
        <f t="shared" si="245"/>
        <v/>
      </c>
      <c r="AN510" s="254" t="str">
        <f t="shared" ca="1" si="247"/>
        <v/>
      </c>
      <c r="AO510" s="255" t="str">
        <f t="shared" si="246"/>
        <v/>
      </c>
    </row>
    <row r="511" spans="2:41" x14ac:dyDescent="0.25">
      <c r="B511" s="321"/>
      <c r="C511" s="17"/>
      <c r="E511" s="117"/>
      <c r="F511" s="4" t="str">
        <f t="shared" si="248"/>
        <v/>
      </c>
      <c r="G511" s="4" t="str">
        <f t="shared" si="249"/>
        <v/>
      </c>
      <c r="H511" s="4" t="str">
        <f t="shared" si="250"/>
        <v/>
      </c>
      <c r="I511" s="4" t="str">
        <f t="shared" si="251"/>
        <v/>
      </c>
      <c r="J511" s="247"/>
      <c r="K511" s="117"/>
      <c r="L511" s="4" t="str">
        <f t="shared" si="234"/>
        <v/>
      </c>
      <c r="M511" s="4" t="str">
        <f t="shared" si="235"/>
        <v/>
      </c>
      <c r="N511" s="4" t="str">
        <f t="shared" si="236"/>
        <v/>
      </c>
      <c r="O511" s="4" t="str">
        <f t="shared" si="237"/>
        <v/>
      </c>
      <c r="P511" s="247"/>
      <c r="Q511" s="117"/>
      <c r="R511" s="4" t="str">
        <f t="shared" si="238"/>
        <v/>
      </c>
      <c r="S511" s="4" t="str">
        <f t="shared" si="239"/>
        <v/>
      </c>
      <c r="T511" s="4" t="str">
        <f t="shared" si="240"/>
        <v/>
      </c>
      <c r="U511" s="4" t="str">
        <f t="shared" si="241"/>
        <v/>
      </c>
      <c r="V511" s="247"/>
      <c r="W511" s="67" t="str">
        <f t="shared" si="252"/>
        <v/>
      </c>
      <c r="X511" s="118"/>
      <c r="Z511" s="67" t="str">
        <f t="shared" si="253"/>
        <v/>
      </c>
      <c r="AA511" s="13">
        <f t="shared" si="254"/>
        <v>0</v>
      </c>
      <c r="AB511" s="17">
        <f t="shared" si="255"/>
        <v>0</v>
      </c>
      <c r="AC511" s="163" t="str">
        <f t="shared" si="256"/>
        <v/>
      </c>
      <c r="AD511" s="119"/>
      <c r="AE511" s="21"/>
      <c r="AF511" s="121"/>
      <c r="AG511" s="122"/>
      <c r="AH511" s="83" t="str">
        <f t="shared" si="242"/>
        <v/>
      </c>
      <c r="AI511" s="115"/>
      <c r="AJ511" s="116"/>
      <c r="AK511" s="83" t="str">
        <f t="shared" si="243"/>
        <v/>
      </c>
      <c r="AL511" s="85" t="str">
        <f t="shared" si="244"/>
        <v/>
      </c>
      <c r="AM511" s="254" t="str">
        <f t="shared" si="245"/>
        <v/>
      </c>
      <c r="AN511" s="254" t="str">
        <f t="shared" ca="1" si="247"/>
        <v/>
      </c>
      <c r="AO511" s="255" t="str">
        <f t="shared" si="246"/>
        <v/>
      </c>
    </row>
    <row r="512" spans="2:41" x14ac:dyDescent="0.25">
      <c r="B512" s="321"/>
      <c r="C512" s="17"/>
      <c r="E512" s="117"/>
      <c r="F512" s="4" t="str">
        <f t="shared" si="248"/>
        <v/>
      </c>
      <c r="G512" s="4" t="str">
        <f t="shared" si="249"/>
        <v/>
      </c>
      <c r="H512" s="4" t="str">
        <f t="shared" si="250"/>
        <v/>
      </c>
      <c r="I512" s="4" t="str">
        <f t="shared" si="251"/>
        <v/>
      </c>
      <c r="J512" s="247"/>
      <c r="K512" s="117"/>
      <c r="L512" s="4" t="str">
        <f t="shared" si="234"/>
        <v/>
      </c>
      <c r="M512" s="4" t="str">
        <f t="shared" si="235"/>
        <v/>
      </c>
      <c r="N512" s="4" t="str">
        <f t="shared" si="236"/>
        <v/>
      </c>
      <c r="O512" s="4" t="str">
        <f t="shared" si="237"/>
        <v/>
      </c>
      <c r="P512" s="247"/>
      <c r="Q512" s="117"/>
      <c r="R512" s="4" t="str">
        <f t="shared" si="238"/>
        <v/>
      </c>
      <c r="S512" s="4" t="str">
        <f t="shared" si="239"/>
        <v/>
      </c>
      <c r="T512" s="4" t="str">
        <f t="shared" si="240"/>
        <v/>
      </c>
      <c r="U512" s="4" t="str">
        <f t="shared" si="241"/>
        <v/>
      </c>
      <c r="V512" s="247"/>
      <c r="W512" s="67" t="str">
        <f t="shared" si="252"/>
        <v/>
      </c>
      <c r="X512" s="118"/>
      <c r="Z512" s="67" t="str">
        <f t="shared" si="253"/>
        <v/>
      </c>
      <c r="AA512" s="13">
        <f t="shared" si="254"/>
        <v>0</v>
      </c>
      <c r="AB512" s="17">
        <f t="shared" si="255"/>
        <v>0</v>
      </c>
      <c r="AC512" s="163" t="str">
        <f t="shared" si="256"/>
        <v/>
      </c>
      <c r="AD512" s="119"/>
      <c r="AE512" s="21"/>
      <c r="AF512" s="121"/>
      <c r="AG512" s="122"/>
      <c r="AH512" s="83" t="str">
        <f t="shared" si="242"/>
        <v/>
      </c>
      <c r="AI512" s="115"/>
      <c r="AJ512" s="116"/>
      <c r="AK512" s="83" t="str">
        <f t="shared" si="243"/>
        <v/>
      </c>
      <c r="AL512" s="85" t="str">
        <f t="shared" si="244"/>
        <v/>
      </c>
      <c r="AM512" s="254" t="str">
        <f t="shared" si="245"/>
        <v/>
      </c>
      <c r="AN512" s="254" t="str">
        <f t="shared" ca="1" si="247"/>
        <v/>
      </c>
      <c r="AO512" s="255" t="str">
        <f t="shared" si="246"/>
        <v/>
      </c>
    </row>
    <row r="513" spans="2:41" x14ac:dyDescent="0.25">
      <c r="B513" s="321"/>
      <c r="C513" s="17"/>
      <c r="E513" s="117"/>
      <c r="F513" s="4" t="str">
        <f t="shared" si="248"/>
        <v/>
      </c>
      <c r="G513" s="4" t="str">
        <f t="shared" si="249"/>
        <v/>
      </c>
      <c r="H513" s="4" t="str">
        <f t="shared" si="250"/>
        <v/>
      </c>
      <c r="I513" s="4" t="str">
        <f t="shared" si="251"/>
        <v/>
      </c>
      <c r="J513" s="247"/>
      <c r="K513" s="117"/>
      <c r="L513" s="4" t="str">
        <f t="shared" ref="L513:L576" si="257">IFERROR(IF(VLOOKUP($K513,Inward,2,FALSE)&gt;0,VLOOKUP($K513,Inward,2,FALSE),""),"")</f>
        <v/>
      </c>
      <c r="M513" s="4" t="str">
        <f t="shared" ref="M513:M576" si="258">IFERROR(IF(VLOOKUP($K513,Inward,7,FALSE)&gt;0,VLOOKUP($K513,Inward,7,FALSE),""),"")</f>
        <v/>
      </c>
      <c r="N513" s="4" t="str">
        <f t="shared" ref="N513:N576" si="259">IFERROR(IF(VLOOKUP($K513,Inward,8,FALSE)&gt;0,VLOOKUP($K513,Inward,8,FALSE),""),"")</f>
        <v/>
      </c>
      <c r="O513" s="4" t="str">
        <f t="shared" ref="O513:O576" si="260">IFERROR(IF(VLOOKUP($K513,Inward,11,FALSE)&gt;0,VLOOKUP($K513,Inward,11,FALSE),""),"")</f>
        <v/>
      </c>
      <c r="P513" s="247"/>
      <c r="Q513" s="117"/>
      <c r="R513" s="4" t="str">
        <f t="shared" ref="R513:R576" si="261">IFERROR(IF(VLOOKUP($Q513,Inward,2,FALSE)&gt;0,VLOOKUP($Q513,Inward,2,FALSE),""),"")</f>
        <v/>
      </c>
      <c r="S513" s="4" t="str">
        <f t="shared" ref="S513:S576" si="262">IFERROR(IF(VLOOKUP($Q513,Inward,7,FALSE)&gt;0,VLOOKUP($Q513,Inward,7,FALSE),""),"")</f>
        <v/>
      </c>
      <c r="T513" s="4" t="str">
        <f t="shared" ref="T513:T576" si="263">IFERROR(IF(VLOOKUP($Q513,Inward,8,FALSE)&gt;0,VLOOKUP($Q513,Inward,8,FALSE),""),"")</f>
        <v/>
      </c>
      <c r="U513" s="4" t="str">
        <f t="shared" ref="U513:U576" si="264">IFERROR(IF(VLOOKUP($Q513,Inward,11,FALSE)&gt;0,VLOOKUP($Q513,Inward,11,FALSE),""),"")</f>
        <v/>
      </c>
      <c r="V513" s="247"/>
      <c r="W513" s="67" t="str">
        <f t="shared" si="252"/>
        <v/>
      </c>
      <c r="X513" s="118"/>
      <c r="Z513" s="67" t="str">
        <f t="shared" si="253"/>
        <v/>
      </c>
      <c r="AA513" s="13">
        <f t="shared" si="254"/>
        <v>0</v>
      </c>
      <c r="AB513" s="17">
        <f t="shared" si="255"/>
        <v>0</v>
      </c>
      <c r="AC513" s="163" t="str">
        <f t="shared" si="256"/>
        <v/>
      </c>
      <c r="AD513" s="119"/>
      <c r="AE513" s="21"/>
      <c r="AF513" s="121"/>
      <c r="AG513" s="122"/>
      <c r="AH513" s="83" t="str">
        <f t="shared" si="242"/>
        <v/>
      </c>
      <c r="AI513" s="115"/>
      <c r="AJ513" s="116"/>
      <c r="AK513" s="83" t="str">
        <f t="shared" si="243"/>
        <v/>
      </c>
      <c r="AL513" s="85" t="str">
        <f t="shared" si="244"/>
        <v/>
      </c>
      <c r="AM513" s="254" t="str">
        <f t="shared" si="245"/>
        <v/>
      </c>
      <c r="AN513" s="254" t="str">
        <f t="shared" ca="1" si="247"/>
        <v/>
      </c>
      <c r="AO513" s="255" t="str">
        <f t="shared" si="246"/>
        <v/>
      </c>
    </row>
    <row r="514" spans="2:41" x14ac:dyDescent="0.25">
      <c r="B514" s="321"/>
      <c r="C514" s="17"/>
      <c r="E514" s="117"/>
      <c r="F514" s="4" t="str">
        <f t="shared" si="248"/>
        <v/>
      </c>
      <c r="G514" s="4" t="str">
        <f t="shared" si="249"/>
        <v/>
      </c>
      <c r="H514" s="4" t="str">
        <f t="shared" si="250"/>
        <v/>
      </c>
      <c r="I514" s="4" t="str">
        <f t="shared" si="251"/>
        <v/>
      </c>
      <c r="J514" s="247"/>
      <c r="K514" s="117"/>
      <c r="L514" s="4" t="str">
        <f t="shared" si="257"/>
        <v/>
      </c>
      <c r="M514" s="4" t="str">
        <f t="shared" si="258"/>
        <v/>
      </c>
      <c r="N514" s="4" t="str">
        <f t="shared" si="259"/>
        <v/>
      </c>
      <c r="O514" s="4" t="str">
        <f t="shared" si="260"/>
        <v/>
      </c>
      <c r="P514" s="247"/>
      <c r="Q514" s="117"/>
      <c r="R514" s="4" t="str">
        <f t="shared" si="261"/>
        <v/>
      </c>
      <c r="S514" s="4" t="str">
        <f t="shared" si="262"/>
        <v/>
      </c>
      <c r="T514" s="4" t="str">
        <f t="shared" si="263"/>
        <v/>
      </c>
      <c r="U514" s="4" t="str">
        <f t="shared" si="264"/>
        <v/>
      </c>
      <c r="V514" s="247"/>
      <c r="W514" s="67" t="str">
        <f t="shared" si="252"/>
        <v/>
      </c>
      <c r="X514" s="118"/>
      <c r="Z514" s="67" t="str">
        <f t="shared" si="253"/>
        <v/>
      </c>
      <c r="AA514" s="13">
        <f t="shared" si="254"/>
        <v>0</v>
      </c>
      <c r="AB514" s="17">
        <f t="shared" si="255"/>
        <v>0</v>
      </c>
      <c r="AC514" s="163" t="str">
        <f t="shared" si="256"/>
        <v/>
      </c>
      <c r="AD514" s="119"/>
      <c r="AE514" s="21"/>
      <c r="AF514" s="121"/>
      <c r="AG514" s="122"/>
      <c r="AH514" s="83" t="str">
        <f t="shared" si="242"/>
        <v/>
      </c>
      <c r="AI514" s="115"/>
      <c r="AJ514" s="116"/>
      <c r="AK514" s="83" t="str">
        <f t="shared" si="243"/>
        <v/>
      </c>
      <c r="AL514" s="85" t="str">
        <f t="shared" si="244"/>
        <v/>
      </c>
      <c r="AM514" s="254" t="str">
        <f t="shared" si="245"/>
        <v/>
      </c>
      <c r="AN514" s="254" t="str">
        <f t="shared" ca="1" si="247"/>
        <v/>
      </c>
      <c r="AO514" s="255" t="str">
        <f t="shared" si="246"/>
        <v/>
      </c>
    </row>
    <row r="515" spans="2:41" x14ac:dyDescent="0.25">
      <c r="B515" s="321"/>
      <c r="C515" s="17"/>
      <c r="E515" s="117"/>
      <c r="F515" s="4" t="str">
        <f t="shared" si="248"/>
        <v/>
      </c>
      <c r="G515" s="4" t="str">
        <f t="shared" si="249"/>
        <v/>
      </c>
      <c r="H515" s="4" t="str">
        <f t="shared" si="250"/>
        <v/>
      </c>
      <c r="I515" s="4" t="str">
        <f t="shared" si="251"/>
        <v/>
      </c>
      <c r="J515" s="247"/>
      <c r="K515" s="117"/>
      <c r="L515" s="4" t="str">
        <f t="shared" si="257"/>
        <v/>
      </c>
      <c r="M515" s="4" t="str">
        <f t="shared" si="258"/>
        <v/>
      </c>
      <c r="N515" s="4" t="str">
        <f t="shared" si="259"/>
        <v/>
      </c>
      <c r="O515" s="4" t="str">
        <f t="shared" si="260"/>
        <v/>
      </c>
      <c r="P515" s="247"/>
      <c r="Q515" s="117"/>
      <c r="R515" s="4" t="str">
        <f t="shared" si="261"/>
        <v/>
      </c>
      <c r="S515" s="4" t="str">
        <f t="shared" si="262"/>
        <v/>
      </c>
      <c r="T515" s="4" t="str">
        <f t="shared" si="263"/>
        <v/>
      </c>
      <c r="U515" s="4" t="str">
        <f t="shared" si="264"/>
        <v/>
      </c>
      <c r="V515" s="247"/>
      <c r="W515" s="67" t="str">
        <f t="shared" si="252"/>
        <v/>
      </c>
      <c r="X515" s="118"/>
      <c r="Z515" s="67" t="str">
        <f t="shared" si="253"/>
        <v/>
      </c>
      <c r="AA515" s="13">
        <f t="shared" si="254"/>
        <v>0</v>
      </c>
      <c r="AB515" s="17">
        <f t="shared" si="255"/>
        <v>0</v>
      </c>
      <c r="AC515" s="163" t="str">
        <f t="shared" si="256"/>
        <v/>
      </c>
      <c r="AD515" s="119"/>
      <c r="AE515" s="21"/>
      <c r="AF515" s="121"/>
      <c r="AG515" s="122"/>
      <c r="AH515" s="83" t="str">
        <f t="shared" si="242"/>
        <v/>
      </c>
      <c r="AI515" s="115"/>
      <c r="AJ515" s="116"/>
      <c r="AK515" s="83" t="str">
        <f t="shared" si="243"/>
        <v/>
      </c>
      <c r="AL515" s="85" t="str">
        <f t="shared" si="244"/>
        <v/>
      </c>
      <c r="AM515" s="254" t="str">
        <f t="shared" si="245"/>
        <v/>
      </c>
      <c r="AN515" s="254" t="str">
        <f t="shared" ca="1" si="247"/>
        <v/>
      </c>
      <c r="AO515" s="255" t="str">
        <f t="shared" si="246"/>
        <v/>
      </c>
    </row>
    <row r="516" spans="2:41" x14ac:dyDescent="0.25">
      <c r="B516" s="321"/>
      <c r="C516" s="17"/>
      <c r="E516" s="117"/>
      <c r="F516" s="4" t="str">
        <f t="shared" si="248"/>
        <v/>
      </c>
      <c r="G516" s="4" t="str">
        <f t="shared" si="249"/>
        <v/>
      </c>
      <c r="H516" s="4" t="str">
        <f t="shared" si="250"/>
        <v/>
      </c>
      <c r="I516" s="4" t="str">
        <f t="shared" si="251"/>
        <v/>
      </c>
      <c r="J516" s="247"/>
      <c r="K516" s="117"/>
      <c r="L516" s="4" t="str">
        <f t="shared" si="257"/>
        <v/>
      </c>
      <c r="M516" s="4" t="str">
        <f t="shared" si="258"/>
        <v/>
      </c>
      <c r="N516" s="4" t="str">
        <f t="shared" si="259"/>
        <v/>
      </c>
      <c r="O516" s="4" t="str">
        <f t="shared" si="260"/>
        <v/>
      </c>
      <c r="P516" s="247"/>
      <c r="Q516" s="117"/>
      <c r="R516" s="4" t="str">
        <f t="shared" si="261"/>
        <v/>
      </c>
      <c r="S516" s="4" t="str">
        <f t="shared" si="262"/>
        <v/>
      </c>
      <c r="T516" s="4" t="str">
        <f t="shared" si="263"/>
        <v/>
      </c>
      <c r="U516" s="4" t="str">
        <f t="shared" si="264"/>
        <v/>
      </c>
      <c r="V516" s="247"/>
      <c r="W516" s="67" t="str">
        <f t="shared" si="252"/>
        <v/>
      </c>
      <c r="X516" s="118"/>
      <c r="Z516" s="67" t="str">
        <f t="shared" si="253"/>
        <v/>
      </c>
      <c r="AA516" s="13">
        <f t="shared" si="254"/>
        <v>0</v>
      </c>
      <c r="AB516" s="17">
        <f t="shared" si="255"/>
        <v>0</v>
      </c>
      <c r="AC516" s="163" t="str">
        <f t="shared" si="256"/>
        <v/>
      </c>
      <c r="AD516" s="119"/>
      <c r="AE516" s="21"/>
      <c r="AF516" s="121"/>
      <c r="AG516" s="122"/>
      <c r="AH516" s="83" t="str">
        <f t="shared" si="242"/>
        <v/>
      </c>
      <c r="AI516" s="115"/>
      <c r="AJ516" s="116"/>
      <c r="AK516" s="83" t="str">
        <f t="shared" si="243"/>
        <v/>
      </c>
      <c r="AL516" s="85" t="str">
        <f t="shared" si="244"/>
        <v/>
      </c>
      <c r="AM516" s="254" t="str">
        <f t="shared" si="245"/>
        <v/>
      </c>
      <c r="AN516" s="254" t="str">
        <f t="shared" ca="1" si="247"/>
        <v/>
      </c>
      <c r="AO516" s="255" t="str">
        <f t="shared" si="246"/>
        <v/>
      </c>
    </row>
    <row r="517" spans="2:41" x14ac:dyDescent="0.25">
      <c r="B517" s="321"/>
      <c r="C517" s="17"/>
      <c r="E517" s="117"/>
      <c r="F517" s="4" t="str">
        <f t="shared" si="248"/>
        <v/>
      </c>
      <c r="G517" s="4" t="str">
        <f t="shared" si="249"/>
        <v/>
      </c>
      <c r="H517" s="4" t="str">
        <f t="shared" si="250"/>
        <v/>
      </c>
      <c r="I517" s="4" t="str">
        <f t="shared" si="251"/>
        <v/>
      </c>
      <c r="J517" s="247"/>
      <c r="K517" s="117"/>
      <c r="L517" s="4" t="str">
        <f t="shared" si="257"/>
        <v/>
      </c>
      <c r="M517" s="4" t="str">
        <f t="shared" si="258"/>
        <v/>
      </c>
      <c r="N517" s="4" t="str">
        <f t="shared" si="259"/>
        <v/>
      </c>
      <c r="O517" s="4" t="str">
        <f t="shared" si="260"/>
        <v/>
      </c>
      <c r="P517" s="247"/>
      <c r="Q517" s="117"/>
      <c r="R517" s="4" t="str">
        <f t="shared" si="261"/>
        <v/>
      </c>
      <c r="S517" s="4" t="str">
        <f t="shared" si="262"/>
        <v/>
      </c>
      <c r="T517" s="4" t="str">
        <f t="shared" si="263"/>
        <v/>
      </c>
      <c r="U517" s="4" t="str">
        <f t="shared" si="264"/>
        <v/>
      </c>
      <c r="V517" s="247"/>
      <c r="W517" s="67" t="str">
        <f t="shared" si="252"/>
        <v/>
      </c>
      <c r="X517" s="118"/>
      <c r="Z517" s="67" t="str">
        <f t="shared" si="253"/>
        <v/>
      </c>
      <c r="AA517" s="13">
        <f t="shared" si="254"/>
        <v>0</v>
      </c>
      <c r="AB517" s="17">
        <f t="shared" si="255"/>
        <v>0</v>
      </c>
      <c r="AC517" s="163" t="str">
        <f t="shared" si="256"/>
        <v/>
      </c>
      <c r="AD517" s="119"/>
      <c r="AE517" s="21"/>
      <c r="AF517" s="121"/>
      <c r="AG517" s="122"/>
      <c r="AH517" s="83" t="str">
        <f t="shared" si="242"/>
        <v/>
      </c>
      <c r="AI517" s="115"/>
      <c r="AJ517" s="116"/>
      <c r="AK517" s="83" t="str">
        <f t="shared" si="243"/>
        <v/>
      </c>
      <c r="AL517" s="85" t="str">
        <f t="shared" si="244"/>
        <v/>
      </c>
      <c r="AM517" s="254" t="str">
        <f t="shared" si="245"/>
        <v/>
      </c>
      <c r="AN517" s="254" t="str">
        <f t="shared" ca="1" si="247"/>
        <v/>
      </c>
      <c r="AO517" s="255" t="str">
        <f t="shared" si="246"/>
        <v/>
      </c>
    </row>
    <row r="518" spans="2:41" x14ac:dyDescent="0.25">
      <c r="B518" s="321"/>
      <c r="C518" s="17"/>
      <c r="E518" s="117"/>
      <c r="F518" s="4" t="str">
        <f t="shared" si="248"/>
        <v/>
      </c>
      <c r="G518" s="4" t="str">
        <f t="shared" si="249"/>
        <v/>
      </c>
      <c r="H518" s="4" t="str">
        <f t="shared" si="250"/>
        <v/>
      </c>
      <c r="I518" s="4" t="str">
        <f t="shared" si="251"/>
        <v/>
      </c>
      <c r="J518" s="247"/>
      <c r="K518" s="117"/>
      <c r="L518" s="4" t="str">
        <f t="shared" si="257"/>
        <v/>
      </c>
      <c r="M518" s="4" t="str">
        <f t="shared" si="258"/>
        <v/>
      </c>
      <c r="N518" s="4" t="str">
        <f t="shared" si="259"/>
        <v/>
      </c>
      <c r="O518" s="4" t="str">
        <f t="shared" si="260"/>
        <v/>
      </c>
      <c r="P518" s="247"/>
      <c r="Q518" s="117"/>
      <c r="R518" s="4" t="str">
        <f t="shared" si="261"/>
        <v/>
      </c>
      <c r="S518" s="4" t="str">
        <f t="shared" si="262"/>
        <v/>
      </c>
      <c r="T518" s="4" t="str">
        <f t="shared" si="263"/>
        <v/>
      </c>
      <c r="U518" s="4" t="str">
        <f t="shared" si="264"/>
        <v/>
      </c>
      <c r="V518" s="247"/>
      <c r="W518" s="67" t="str">
        <f t="shared" si="252"/>
        <v/>
      </c>
      <c r="X518" s="118"/>
      <c r="Z518" s="67" t="str">
        <f t="shared" si="253"/>
        <v/>
      </c>
      <c r="AA518" s="13">
        <f t="shared" si="254"/>
        <v>0</v>
      </c>
      <c r="AB518" s="17">
        <f t="shared" si="255"/>
        <v>0</v>
      </c>
      <c r="AC518" s="163" t="str">
        <f t="shared" si="256"/>
        <v/>
      </c>
      <c r="AD518" s="119"/>
      <c r="AE518" s="21"/>
      <c r="AF518" s="121"/>
      <c r="AG518" s="122"/>
      <c r="AH518" s="83" t="str">
        <f t="shared" si="242"/>
        <v/>
      </c>
      <c r="AI518" s="115"/>
      <c r="AJ518" s="116"/>
      <c r="AK518" s="83" t="str">
        <f t="shared" si="243"/>
        <v/>
      </c>
      <c r="AL518" s="85" t="str">
        <f t="shared" si="244"/>
        <v/>
      </c>
      <c r="AM518" s="254" t="str">
        <f t="shared" si="245"/>
        <v/>
      </c>
      <c r="AN518" s="254" t="str">
        <f t="shared" ca="1" si="247"/>
        <v/>
      </c>
      <c r="AO518" s="255" t="str">
        <f t="shared" si="246"/>
        <v/>
      </c>
    </row>
    <row r="519" spans="2:41" x14ac:dyDescent="0.25">
      <c r="B519" s="321"/>
      <c r="C519" s="17"/>
      <c r="E519" s="117"/>
      <c r="F519" s="4" t="str">
        <f t="shared" si="248"/>
        <v/>
      </c>
      <c r="G519" s="4" t="str">
        <f t="shared" si="249"/>
        <v/>
      </c>
      <c r="H519" s="4" t="str">
        <f t="shared" si="250"/>
        <v/>
      </c>
      <c r="I519" s="4" t="str">
        <f t="shared" si="251"/>
        <v/>
      </c>
      <c r="J519" s="247"/>
      <c r="K519" s="117"/>
      <c r="L519" s="4" t="str">
        <f t="shared" si="257"/>
        <v/>
      </c>
      <c r="M519" s="4" t="str">
        <f t="shared" si="258"/>
        <v/>
      </c>
      <c r="N519" s="4" t="str">
        <f t="shared" si="259"/>
        <v/>
      </c>
      <c r="O519" s="4" t="str">
        <f t="shared" si="260"/>
        <v/>
      </c>
      <c r="P519" s="247"/>
      <c r="Q519" s="117"/>
      <c r="R519" s="4" t="str">
        <f t="shared" si="261"/>
        <v/>
      </c>
      <c r="S519" s="4" t="str">
        <f t="shared" si="262"/>
        <v/>
      </c>
      <c r="T519" s="4" t="str">
        <f t="shared" si="263"/>
        <v/>
      </c>
      <c r="U519" s="4" t="str">
        <f t="shared" si="264"/>
        <v/>
      </c>
      <c r="V519" s="247"/>
      <c r="W519" s="67" t="str">
        <f t="shared" si="252"/>
        <v/>
      </c>
      <c r="X519" s="118"/>
      <c r="Z519" s="67" t="str">
        <f t="shared" si="253"/>
        <v/>
      </c>
      <c r="AA519" s="13">
        <f t="shared" si="254"/>
        <v>0</v>
      </c>
      <c r="AB519" s="17">
        <f t="shared" si="255"/>
        <v>0</v>
      </c>
      <c r="AC519" s="163" t="str">
        <f t="shared" si="256"/>
        <v/>
      </c>
      <c r="AD519" s="119"/>
      <c r="AE519" s="21"/>
      <c r="AF519" s="121"/>
      <c r="AG519" s="122"/>
      <c r="AH519" s="83" t="str">
        <f t="shared" si="242"/>
        <v/>
      </c>
      <c r="AI519" s="115"/>
      <c r="AJ519" s="116"/>
      <c r="AK519" s="83" t="str">
        <f t="shared" si="243"/>
        <v/>
      </c>
      <c r="AL519" s="85" t="str">
        <f t="shared" si="244"/>
        <v/>
      </c>
      <c r="AM519" s="254" t="str">
        <f t="shared" si="245"/>
        <v/>
      </c>
      <c r="AN519" s="254" t="str">
        <f t="shared" ca="1" si="247"/>
        <v/>
      </c>
      <c r="AO519" s="255" t="str">
        <f t="shared" si="246"/>
        <v/>
      </c>
    </row>
    <row r="520" spans="2:41" x14ac:dyDescent="0.25">
      <c r="B520" s="321"/>
      <c r="C520" s="17"/>
      <c r="E520" s="117"/>
      <c r="F520" s="4" t="str">
        <f t="shared" si="248"/>
        <v/>
      </c>
      <c r="G520" s="4" t="str">
        <f t="shared" si="249"/>
        <v/>
      </c>
      <c r="H520" s="4" t="str">
        <f t="shared" si="250"/>
        <v/>
      </c>
      <c r="I520" s="4" t="str">
        <f t="shared" si="251"/>
        <v/>
      </c>
      <c r="J520" s="247"/>
      <c r="K520" s="117"/>
      <c r="L520" s="4" t="str">
        <f t="shared" si="257"/>
        <v/>
      </c>
      <c r="M520" s="4" t="str">
        <f t="shared" si="258"/>
        <v/>
      </c>
      <c r="N520" s="4" t="str">
        <f t="shared" si="259"/>
        <v/>
      </c>
      <c r="O520" s="4" t="str">
        <f t="shared" si="260"/>
        <v/>
      </c>
      <c r="P520" s="247"/>
      <c r="Q520" s="117"/>
      <c r="R520" s="4" t="str">
        <f t="shared" si="261"/>
        <v/>
      </c>
      <c r="S520" s="4" t="str">
        <f t="shared" si="262"/>
        <v/>
      </c>
      <c r="T520" s="4" t="str">
        <f t="shared" si="263"/>
        <v/>
      </c>
      <c r="U520" s="4" t="str">
        <f t="shared" si="264"/>
        <v/>
      </c>
      <c r="V520" s="247"/>
      <c r="W520" s="67" t="str">
        <f t="shared" si="252"/>
        <v/>
      </c>
      <c r="X520" s="118"/>
      <c r="Z520" s="67" t="str">
        <f t="shared" si="253"/>
        <v/>
      </c>
      <c r="AA520" s="13">
        <f t="shared" si="254"/>
        <v>0</v>
      </c>
      <c r="AB520" s="17">
        <f t="shared" si="255"/>
        <v>0</v>
      </c>
      <c r="AC520" s="163" t="str">
        <f t="shared" si="256"/>
        <v/>
      </c>
      <c r="AD520" s="119"/>
      <c r="AE520" s="21"/>
      <c r="AF520" s="121"/>
      <c r="AG520" s="122"/>
      <c r="AH520" s="83" t="str">
        <f t="shared" si="242"/>
        <v/>
      </c>
      <c r="AI520" s="115"/>
      <c r="AJ520" s="116"/>
      <c r="AK520" s="83" t="str">
        <f t="shared" si="243"/>
        <v/>
      </c>
      <c r="AL520" s="85" t="str">
        <f t="shared" si="244"/>
        <v/>
      </c>
      <c r="AM520" s="254" t="str">
        <f t="shared" si="245"/>
        <v/>
      </c>
      <c r="AN520" s="254" t="str">
        <f t="shared" ca="1" si="247"/>
        <v/>
      </c>
      <c r="AO520" s="255" t="str">
        <f t="shared" si="246"/>
        <v/>
      </c>
    </row>
    <row r="521" spans="2:41" x14ac:dyDescent="0.25">
      <c r="B521" s="321"/>
      <c r="C521" s="17"/>
      <c r="E521" s="117"/>
      <c r="F521" s="4" t="str">
        <f t="shared" si="248"/>
        <v/>
      </c>
      <c r="G521" s="4" t="str">
        <f t="shared" si="249"/>
        <v/>
      </c>
      <c r="H521" s="4" t="str">
        <f t="shared" si="250"/>
        <v/>
      </c>
      <c r="I521" s="4" t="str">
        <f t="shared" si="251"/>
        <v/>
      </c>
      <c r="J521" s="247"/>
      <c r="K521" s="117"/>
      <c r="L521" s="4" t="str">
        <f t="shared" si="257"/>
        <v/>
      </c>
      <c r="M521" s="4" t="str">
        <f t="shared" si="258"/>
        <v/>
      </c>
      <c r="N521" s="4" t="str">
        <f t="shared" si="259"/>
        <v/>
      </c>
      <c r="O521" s="4" t="str">
        <f t="shared" si="260"/>
        <v/>
      </c>
      <c r="P521" s="247"/>
      <c r="Q521" s="117"/>
      <c r="R521" s="4" t="str">
        <f t="shared" si="261"/>
        <v/>
      </c>
      <c r="S521" s="4" t="str">
        <f t="shared" si="262"/>
        <v/>
      </c>
      <c r="T521" s="4" t="str">
        <f t="shared" si="263"/>
        <v/>
      </c>
      <c r="U521" s="4" t="str">
        <f t="shared" si="264"/>
        <v/>
      </c>
      <c r="V521" s="247"/>
      <c r="W521" s="67" t="str">
        <f t="shared" si="252"/>
        <v/>
      </c>
      <c r="X521" s="118"/>
      <c r="Z521" s="67" t="str">
        <f t="shared" si="253"/>
        <v/>
      </c>
      <c r="AA521" s="13">
        <f t="shared" si="254"/>
        <v>0</v>
      </c>
      <c r="AB521" s="17">
        <f t="shared" si="255"/>
        <v>0</v>
      </c>
      <c r="AC521" s="163" t="str">
        <f t="shared" si="256"/>
        <v/>
      </c>
      <c r="AD521" s="119"/>
      <c r="AE521" s="21"/>
      <c r="AF521" s="121"/>
      <c r="AG521" s="122"/>
      <c r="AH521" s="83" t="str">
        <f t="shared" si="242"/>
        <v/>
      </c>
      <c r="AI521" s="115"/>
      <c r="AJ521" s="116"/>
      <c r="AK521" s="83" t="str">
        <f t="shared" si="243"/>
        <v/>
      </c>
      <c r="AL521" s="85" t="str">
        <f t="shared" si="244"/>
        <v/>
      </c>
      <c r="AM521" s="254" t="str">
        <f t="shared" si="245"/>
        <v/>
      </c>
      <c r="AN521" s="254" t="str">
        <f t="shared" ca="1" si="247"/>
        <v/>
      </c>
      <c r="AO521" s="255" t="str">
        <f t="shared" si="246"/>
        <v/>
      </c>
    </row>
    <row r="522" spans="2:41" x14ac:dyDescent="0.25">
      <c r="B522" s="321"/>
      <c r="C522" s="17"/>
      <c r="E522" s="117"/>
      <c r="F522" s="4" t="str">
        <f t="shared" si="248"/>
        <v/>
      </c>
      <c r="G522" s="4" t="str">
        <f t="shared" si="249"/>
        <v/>
      </c>
      <c r="H522" s="4" t="str">
        <f t="shared" si="250"/>
        <v/>
      </c>
      <c r="I522" s="4" t="str">
        <f t="shared" si="251"/>
        <v/>
      </c>
      <c r="J522" s="247"/>
      <c r="K522" s="117"/>
      <c r="L522" s="4" t="str">
        <f t="shared" si="257"/>
        <v/>
      </c>
      <c r="M522" s="4" t="str">
        <f t="shared" si="258"/>
        <v/>
      </c>
      <c r="N522" s="4" t="str">
        <f t="shared" si="259"/>
        <v/>
      </c>
      <c r="O522" s="4" t="str">
        <f t="shared" si="260"/>
        <v/>
      </c>
      <c r="P522" s="247"/>
      <c r="Q522" s="117"/>
      <c r="R522" s="4" t="str">
        <f t="shared" si="261"/>
        <v/>
      </c>
      <c r="S522" s="4" t="str">
        <f t="shared" si="262"/>
        <v/>
      </c>
      <c r="T522" s="4" t="str">
        <f t="shared" si="263"/>
        <v/>
      </c>
      <c r="U522" s="4" t="str">
        <f t="shared" si="264"/>
        <v/>
      </c>
      <c r="V522" s="247"/>
      <c r="W522" s="67" t="str">
        <f t="shared" si="252"/>
        <v/>
      </c>
      <c r="X522" s="118"/>
      <c r="Z522" s="67" t="str">
        <f t="shared" si="253"/>
        <v/>
      </c>
      <c r="AA522" s="13">
        <f t="shared" si="254"/>
        <v>0</v>
      </c>
      <c r="AB522" s="17">
        <f t="shared" si="255"/>
        <v>0</v>
      </c>
      <c r="AC522" s="163" t="str">
        <f t="shared" si="256"/>
        <v/>
      </c>
      <c r="AD522" s="119"/>
      <c r="AE522" s="21"/>
      <c r="AF522" s="121"/>
      <c r="AG522" s="122"/>
      <c r="AH522" s="83" t="str">
        <f t="shared" si="242"/>
        <v/>
      </c>
      <c r="AI522" s="115"/>
      <c r="AJ522" s="116"/>
      <c r="AK522" s="83" t="str">
        <f t="shared" si="243"/>
        <v/>
      </c>
      <c r="AL522" s="85" t="str">
        <f t="shared" si="244"/>
        <v/>
      </c>
      <c r="AM522" s="254" t="str">
        <f t="shared" si="245"/>
        <v/>
      </c>
      <c r="AN522" s="254" t="str">
        <f t="shared" ca="1" si="247"/>
        <v/>
      </c>
      <c r="AO522" s="255" t="str">
        <f t="shared" si="246"/>
        <v/>
      </c>
    </row>
    <row r="523" spans="2:41" x14ac:dyDescent="0.25">
      <c r="B523" s="321"/>
      <c r="C523" s="17"/>
      <c r="E523" s="117"/>
      <c r="F523" s="4" t="str">
        <f t="shared" si="248"/>
        <v/>
      </c>
      <c r="G523" s="4" t="str">
        <f t="shared" si="249"/>
        <v/>
      </c>
      <c r="H523" s="4" t="str">
        <f t="shared" si="250"/>
        <v/>
      </c>
      <c r="I523" s="4" t="str">
        <f t="shared" si="251"/>
        <v/>
      </c>
      <c r="J523" s="247"/>
      <c r="K523" s="117"/>
      <c r="L523" s="4" t="str">
        <f t="shared" si="257"/>
        <v/>
      </c>
      <c r="M523" s="4" t="str">
        <f t="shared" si="258"/>
        <v/>
      </c>
      <c r="N523" s="4" t="str">
        <f t="shared" si="259"/>
        <v/>
      </c>
      <c r="O523" s="4" t="str">
        <f t="shared" si="260"/>
        <v/>
      </c>
      <c r="P523" s="247"/>
      <c r="Q523" s="117"/>
      <c r="R523" s="4" t="str">
        <f t="shared" si="261"/>
        <v/>
      </c>
      <c r="S523" s="4" t="str">
        <f t="shared" si="262"/>
        <v/>
      </c>
      <c r="T523" s="4" t="str">
        <f t="shared" si="263"/>
        <v/>
      </c>
      <c r="U523" s="4" t="str">
        <f t="shared" si="264"/>
        <v/>
      </c>
      <c r="V523" s="247"/>
      <c r="W523" s="67" t="str">
        <f t="shared" si="252"/>
        <v/>
      </c>
      <c r="X523" s="118"/>
      <c r="Z523" s="67" t="str">
        <f t="shared" si="253"/>
        <v/>
      </c>
      <c r="AA523" s="13">
        <f t="shared" si="254"/>
        <v>0</v>
      </c>
      <c r="AB523" s="17">
        <f t="shared" si="255"/>
        <v>0</v>
      </c>
      <c r="AC523" s="163" t="str">
        <f t="shared" si="256"/>
        <v/>
      </c>
      <c r="AD523" s="119"/>
      <c r="AE523" s="21"/>
      <c r="AF523" s="121"/>
      <c r="AG523" s="122"/>
      <c r="AH523" s="83" t="str">
        <f t="shared" si="242"/>
        <v/>
      </c>
      <c r="AI523" s="115"/>
      <c r="AJ523" s="116"/>
      <c r="AK523" s="83" t="str">
        <f t="shared" si="243"/>
        <v/>
      </c>
      <c r="AL523" s="85" t="str">
        <f t="shared" si="244"/>
        <v/>
      </c>
      <c r="AM523" s="254" t="str">
        <f t="shared" si="245"/>
        <v/>
      </c>
      <c r="AN523" s="254" t="str">
        <f t="shared" ca="1" si="247"/>
        <v/>
      </c>
      <c r="AO523" s="255" t="str">
        <f t="shared" si="246"/>
        <v/>
      </c>
    </row>
    <row r="524" spans="2:41" x14ac:dyDescent="0.25">
      <c r="B524" s="321"/>
      <c r="C524" s="17"/>
      <c r="E524" s="117"/>
      <c r="F524" s="4" t="str">
        <f t="shared" si="248"/>
        <v/>
      </c>
      <c r="G524" s="4" t="str">
        <f t="shared" si="249"/>
        <v/>
      </c>
      <c r="H524" s="4" t="str">
        <f t="shared" si="250"/>
        <v/>
      </c>
      <c r="I524" s="4" t="str">
        <f t="shared" si="251"/>
        <v/>
      </c>
      <c r="J524" s="247"/>
      <c r="K524" s="117"/>
      <c r="L524" s="4" t="str">
        <f t="shared" si="257"/>
        <v/>
      </c>
      <c r="M524" s="4" t="str">
        <f t="shared" si="258"/>
        <v/>
      </c>
      <c r="N524" s="4" t="str">
        <f t="shared" si="259"/>
        <v/>
      </c>
      <c r="O524" s="4" t="str">
        <f t="shared" si="260"/>
        <v/>
      </c>
      <c r="P524" s="247"/>
      <c r="Q524" s="117"/>
      <c r="R524" s="4" t="str">
        <f t="shared" si="261"/>
        <v/>
      </c>
      <c r="S524" s="4" t="str">
        <f t="shared" si="262"/>
        <v/>
      </c>
      <c r="T524" s="4" t="str">
        <f t="shared" si="263"/>
        <v/>
      </c>
      <c r="U524" s="4" t="str">
        <f t="shared" si="264"/>
        <v/>
      </c>
      <c r="V524" s="247"/>
      <c r="W524" s="67" t="str">
        <f t="shared" si="252"/>
        <v/>
      </c>
      <c r="X524" s="118"/>
      <c r="Z524" s="67" t="str">
        <f t="shared" si="253"/>
        <v/>
      </c>
      <c r="AA524" s="13">
        <f t="shared" si="254"/>
        <v>0</v>
      </c>
      <c r="AB524" s="17">
        <f t="shared" si="255"/>
        <v>0</v>
      </c>
      <c r="AC524" s="163" t="str">
        <f t="shared" si="256"/>
        <v/>
      </c>
      <c r="AD524" s="119"/>
      <c r="AE524" s="21"/>
      <c r="AF524" s="121"/>
      <c r="AG524" s="122"/>
      <c r="AH524" s="83" t="str">
        <f t="shared" si="242"/>
        <v/>
      </c>
      <c r="AI524" s="115"/>
      <c r="AJ524" s="116"/>
      <c r="AK524" s="83" t="str">
        <f t="shared" si="243"/>
        <v/>
      </c>
      <c r="AL524" s="85" t="str">
        <f t="shared" si="244"/>
        <v/>
      </c>
      <c r="AM524" s="254" t="str">
        <f t="shared" si="245"/>
        <v/>
      </c>
      <c r="AN524" s="254" t="str">
        <f t="shared" ca="1" si="247"/>
        <v/>
      </c>
      <c r="AO524" s="255" t="str">
        <f t="shared" si="246"/>
        <v/>
      </c>
    </row>
    <row r="525" spans="2:41" x14ac:dyDescent="0.25">
      <c r="B525" s="321"/>
      <c r="C525" s="17"/>
      <c r="E525" s="117"/>
      <c r="F525" s="4" t="str">
        <f t="shared" si="248"/>
        <v/>
      </c>
      <c r="G525" s="4" t="str">
        <f t="shared" si="249"/>
        <v/>
      </c>
      <c r="H525" s="4" t="str">
        <f t="shared" si="250"/>
        <v/>
      </c>
      <c r="I525" s="4" t="str">
        <f t="shared" si="251"/>
        <v/>
      </c>
      <c r="J525" s="247"/>
      <c r="K525" s="117"/>
      <c r="L525" s="4" t="str">
        <f t="shared" si="257"/>
        <v/>
      </c>
      <c r="M525" s="4" t="str">
        <f t="shared" si="258"/>
        <v/>
      </c>
      <c r="N525" s="4" t="str">
        <f t="shared" si="259"/>
        <v/>
      </c>
      <c r="O525" s="4" t="str">
        <f t="shared" si="260"/>
        <v/>
      </c>
      <c r="P525" s="247"/>
      <c r="Q525" s="117"/>
      <c r="R525" s="4" t="str">
        <f t="shared" si="261"/>
        <v/>
      </c>
      <c r="S525" s="4" t="str">
        <f t="shared" si="262"/>
        <v/>
      </c>
      <c r="T525" s="4" t="str">
        <f t="shared" si="263"/>
        <v/>
      </c>
      <c r="U525" s="4" t="str">
        <f t="shared" si="264"/>
        <v/>
      </c>
      <c r="V525" s="247"/>
      <c r="W525" s="67" t="str">
        <f t="shared" si="252"/>
        <v/>
      </c>
      <c r="X525" s="118"/>
      <c r="Z525" s="67" t="str">
        <f t="shared" si="253"/>
        <v/>
      </c>
      <c r="AA525" s="13">
        <f t="shared" si="254"/>
        <v>0</v>
      </c>
      <c r="AB525" s="17">
        <f t="shared" si="255"/>
        <v>0</v>
      </c>
      <c r="AC525" s="163" t="str">
        <f t="shared" si="256"/>
        <v/>
      </c>
      <c r="AD525" s="119"/>
      <c r="AE525" s="21"/>
      <c r="AF525" s="121"/>
      <c r="AG525" s="122"/>
      <c r="AH525" s="83" t="str">
        <f t="shared" si="242"/>
        <v/>
      </c>
      <c r="AI525" s="115"/>
      <c r="AJ525" s="116"/>
      <c r="AK525" s="83" t="str">
        <f t="shared" si="243"/>
        <v/>
      </c>
      <c r="AL525" s="85" t="str">
        <f t="shared" si="244"/>
        <v/>
      </c>
      <c r="AM525" s="254" t="str">
        <f t="shared" si="245"/>
        <v/>
      </c>
      <c r="AN525" s="254" t="str">
        <f t="shared" ca="1" si="247"/>
        <v/>
      </c>
      <c r="AO525" s="255" t="str">
        <f t="shared" si="246"/>
        <v/>
      </c>
    </row>
    <row r="526" spans="2:41" x14ac:dyDescent="0.25">
      <c r="B526" s="321"/>
      <c r="C526" s="17"/>
      <c r="E526" s="117"/>
      <c r="F526" s="4" t="str">
        <f t="shared" si="248"/>
        <v/>
      </c>
      <c r="G526" s="4" t="str">
        <f t="shared" si="249"/>
        <v/>
      </c>
      <c r="H526" s="4" t="str">
        <f t="shared" si="250"/>
        <v/>
      </c>
      <c r="I526" s="4" t="str">
        <f t="shared" si="251"/>
        <v/>
      </c>
      <c r="J526" s="247"/>
      <c r="K526" s="117"/>
      <c r="L526" s="4" t="str">
        <f t="shared" si="257"/>
        <v/>
      </c>
      <c r="M526" s="4" t="str">
        <f t="shared" si="258"/>
        <v/>
      </c>
      <c r="N526" s="4" t="str">
        <f t="shared" si="259"/>
        <v/>
      </c>
      <c r="O526" s="4" t="str">
        <f t="shared" si="260"/>
        <v/>
      </c>
      <c r="P526" s="247"/>
      <c r="Q526" s="117"/>
      <c r="R526" s="4" t="str">
        <f t="shared" si="261"/>
        <v/>
      </c>
      <c r="S526" s="4" t="str">
        <f t="shared" si="262"/>
        <v/>
      </c>
      <c r="T526" s="4" t="str">
        <f t="shared" si="263"/>
        <v/>
      </c>
      <c r="U526" s="4" t="str">
        <f t="shared" si="264"/>
        <v/>
      </c>
      <c r="V526" s="247"/>
      <c r="W526" s="67" t="str">
        <f t="shared" si="252"/>
        <v/>
      </c>
      <c r="X526" s="118"/>
      <c r="Z526" s="67" t="str">
        <f t="shared" si="253"/>
        <v/>
      </c>
      <c r="AA526" s="13">
        <f t="shared" si="254"/>
        <v>0</v>
      </c>
      <c r="AB526" s="17">
        <f t="shared" si="255"/>
        <v>0</v>
      </c>
      <c r="AC526" s="163" t="str">
        <f t="shared" si="256"/>
        <v/>
      </c>
      <c r="AD526" s="119"/>
      <c r="AE526" s="21"/>
      <c r="AF526" s="121"/>
      <c r="AG526" s="122"/>
      <c r="AH526" s="83" t="str">
        <f t="shared" si="242"/>
        <v/>
      </c>
      <c r="AI526" s="115"/>
      <c r="AJ526" s="116"/>
      <c r="AK526" s="83" t="str">
        <f t="shared" si="243"/>
        <v/>
      </c>
      <c r="AL526" s="85" t="str">
        <f t="shared" si="244"/>
        <v/>
      </c>
      <c r="AM526" s="254" t="str">
        <f t="shared" si="245"/>
        <v/>
      </c>
      <c r="AN526" s="254" t="str">
        <f t="shared" ca="1" si="247"/>
        <v/>
      </c>
      <c r="AO526" s="255" t="str">
        <f t="shared" si="246"/>
        <v/>
      </c>
    </row>
    <row r="527" spans="2:41" x14ac:dyDescent="0.25">
      <c r="B527" s="321"/>
      <c r="C527" s="17"/>
      <c r="E527" s="117"/>
      <c r="F527" s="4" t="str">
        <f t="shared" si="248"/>
        <v/>
      </c>
      <c r="G527" s="4" t="str">
        <f t="shared" si="249"/>
        <v/>
      </c>
      <c r="H527" s="4" t="str">
        <f t="shared" si="250"/>
        <v/>
      </c>
      <c r="I527" s="4" t="str">
        <f t="shared" si="251"/>
        <v/>
      </c>
      <c r="J527" s="247"/>
      <c r="K527" s="117"/>
      <c r="L527" s="4" t="str">
        <f t="shared" si="257"/>
        <v/>
      </c>
      <c r="M527" s="4" t="str">
        <f t="shared" si="258"/>
        <v/>
      </c>
      <c r="N527" s="4" t="str">
        <f t="shared" si="259"/>
        <v/>
      </c>
      <c r="O527" s="4" t="str">
        <f t="shared" si="260"/>
        <v/>
      </c>
      <c r="P527" s="247"/>
      <c r="Q527" s="117"/>
      <c r="R527" s="4" t="str">
        <f t="shared" si="261"/>
        <v/>
      </c>
      <c r="S527" s="4" t="str">
        <f t="shared" si="262"/>
        <v/>
      </c>
      <c r="T527" s="4" t="str">
        <f t="shared" si="263"/>
        <v/>
      </c>
      <c r="U527" s="4" t="str">
        <f t="shared" si="264"/>
        <v/>
      </c>
      <c r="V527" s="247"/>
      <c r="W527" s="67" t="str">
        <f t="shared" si="252"/>
        <v/>
      </c>
      <c r="X527" s="118"/>
      <c r="Z527" s="67" t="str">
        <f t="shared" si="253"/>
        <v/>
      </c>
      <c r="AA527" s="13">
        <f t="shared" si="254"/>
        <v>0</v>
      </c>
      <c r="AB527" s="17">
        <f t="shared" si="255"/>
        <v>0</v>
      </c>
      <c r="AC527" s="163" t="str">
        <f t="shared" si="256"/>
        <v/>
      </c>
      <c r="AD527" s="119"/>
      <c r="AE527" s="21"/>
      <c r="AF527" s="121"/>
      <c r="AG527" s="122"/>
      <c r="AH527" s="83" t="str">
        <f t="shared" si="242"/>
        <v/>
      </c>
      <c r="AI527" s="115"/>
      <c r="AJ527" s="116"/>
      <c r="AK527" s="83" t="str">
        <f t="shared" si="243"/>
        <v/>
      </c>
      <c r="AL527" s="85" t="str">
        <f t="shared" si="244"/>
        <v/>
      </c>
      <c r="AM527" s="254" t="str">
        <f t="shared" si="245"/>
        <v/>
      </c>
      <c r="AN527" s="254" t="str">
        <f t="shared" ca="1" si="247"/>
        <v/>
      </c>
      <c r="AO527" s="255" t="str">
        <f t="shared" si="246"/>
        <v/>
      </c>
    </row>
    <row r="528" spans="2:41" x14ac:dyDescent="0.25">
      <c r="B528" s="321"/>
      <c r="C528" s="17"/>
      <c r="E528" s="117"/>
      <c r="F528" s="4" t="str">
        <f t="shared" si="248"/>
        <v/>
      </c>
      <c r="G528" s="4" t="str">
        <f t="shared" si="249"/>
        <v/>
      </c>
      <c r="H528" s="4" t="str">
        <f t="shared" si="250"/>
        <v/>
      </c>
      <c r="I528" s="4" t="str">
        <f t="shared" si="251"/>
        <v/>
      </c>
      <c r="J528" s="247"/>
      <c r="K528" s="117"/>
      <c r="L528" s="4" t="str">
        <f t="shared" si="257"/>
        <v/>
      </c>
      <c r="M528" s="4" t="str">
        <f t="shared" si="258"/>
        <v/>
      </c>
      <c r="N528" s="4" t="str">
        <f t="shared" si="259"/>
        <v/>
      </c>
      <c r="O528" s="4" t="str">
        <f t="shared" si="260"/>
        <v/>
      </c>
      <c r="P528" s="247"/>
      <c r="Q528" s="117"/>
      <c r="R528" s="4" t="str">
        <f t="shared" si="261"/>
        <v/>
      </c>
      <c r="S528" s="4" t="str">
        <f t="shared" si="262"/>
        <v/>
      </c>
      <c r="T528" s="4" t="str">
        <f t="shared" si="263"/>
        <v/>
      </c>
      <c r="U528" s="4" t="str">
        <f t="shared" si="264"/>
        <v/>
      </c>
      <c r="V528" s="247"/>
      <c r="W528" s="67" t="str">
        <f t="shared" si="252"/>
        <v/>
      </c>
      <c r="X528" s="118"/>
      <c r="Z528" s="67" t="str">
        <f t="shared" si="253"/>
        <v/>
      </c>
      <c r="AA528" s="13">
        <f t="shared" si="254"/>
        <v>0</v>
      </c>
      <c r="AB528" s="17">
        <f t="shared" si="255"/>
        <v>0</v>
      </c>
      <c r="AC528" s="163" t="str">
        <f t="shared" si="256"/>
        <v/>
      </c>
      <c r="AD528" s="119"/>
      <c r="AE528" s="21"/>
      <c r="AF528" s="121"/>
      <c r="AG528" s="122"/>
      <c r="AH528" s="83" t="str">
        <f t="shared" si="242"/>
        <v/>
      </c>
      <c r="AI528" s="115"/>
      <c r="AJ528" s="116"/>
      <c r="AK528" s="83" t="str">
        <f t="shared" si="243"/>
        <v/>
      </c>
      <c r="AL528" s="85" t="str">
        <f t="shared" si="244"/>
        <v/>
      </c>
      <c r="AM528" s="254" t="str">
        <f t="shared" si="245"/>
        <v/>
      </c>
      <c r="AN528" s="254" t="str">
        <f t="shared" ca="1" si="247"/>
        <v/>
      </c>
      <c r="AO528" s="255" t="str">
        <f t="shared" si="246"/>
        <v/>
      </c>
    </row>
    <row r="529" spans="2:41" x14ac:dyDescent="0.25">
      <c r="B529" s="321"/>
      <c r="C529" s="17"/>
      <c r="E529" s="117"/>
      <c r="F529" s="4" t="str">
        <f t="shared" si="248"/>
        <v/>
      </c>
      <c r="G529" s="4" t="str">
        <f t="shared" si="249"/>
        <v/>
      </c>
      <c r="H529" s="4" t="str">
        <f t="shared" si="250"/>
        <v/>
      </c>
      <c r="I529" s="4" t="str">
        <f t="shared" si="251"/>
        <v/>
      </c>
      <c r="J529" s="247"/>
      <c r="K529" s="117"/>
      <c r="L529" s="4" t="str">
        <f t="shared" si="257"/>
        <v/>
      </c>
      <c r="M529" s="4" t="str">
        <f t="shared" si="258"/>
        <v/>
      </c>
      <c r="N529" s="4" t="str">
        <f t="shared" si="259"/>
        <v/>
      </c>
      <c r="O529" s="4" t="str">
        <f t="shared" si="260"/>
        <v/>
      </c>
      <c r="P529" s="247"/>
      <c r="Q529" s="117"/>
      <c r="R529" s="4" t="str">
        <f t="shared" si="261"/>
        <v/>
      </c>
      <c r="S529" s="4" t="str">
        <f t="shared" si="262"/>
        <v/>
      </c>
      <c r="T529" s="4" t="str">
        <f t="shared" si="263"/>
        <v/>
      </c>
      <c r="U529" s="4" t="str">
        <f t="shared" si="264"/>
        <v/>
      </c>
      <c r="V529" s="247"/>
      <c r="W529" s="67" t="str">
        <f t="shared" si="252"/>
        <v/>
      </c>
      <c r="X529" s="118"/>
      <c r="Z529" s="67" t="str">
        <f t="shared" si="253"/>
        <v/>
      </c>
      <c r="AA529" s="13">
        <f t="shared" si="254"/>
        <v>0</v>
      </c>
      <c r="AB529" s="17">
        <f t="shared" si="255"/>
        <v>0</v>
      </c>
      <c r="AC529" s="163" t="str">
        <f t="shared" si="256"/>
        <v/>
      </c>
      <c r="AD529" s="119"/>
      <c r="AE529" s="21"/>
      <c r="AF529" s="121"/>
      <c r="AG529" s="122"/>
      <c r="AH529" s="83" t="str">
        <f t="shared" si="242"/>
        <v/>
      </c>
      <c r="AI529" s="115"/>
      <c r="AJ529" s="116"/>
      <c r="AK529" s="83" t="str">
        <f t="shared" si="243"/>
        <v/>
      </c>
      <c r="AL529" s="85" t="str">
        <f t="shared" si="244"/>
        <v/>
      </c>
      <c r="AM529" s="254" t="str">
        <f t="shared" si="245"/>
        <v/>
      </c>
      <c r="AN529" s="254" t="str">
        <f t="shared" ca="1" si="247"/>
        <v/>
      </c>
      <c r="AO529" s="255" t="str">
        <f t="shared" si="246"/>
        <v/>
      </c>
    </row>
    <row r="530" spans="2:41" x14ac:dyDescent="0.25">
      <c r="B530" s="321"/>
      <c r="C530" s="17"/>
      <c r="E530" s="117"/>
      <c r="F530" s="4" t="str">
        <f t="shared" si="248"/>
        <v/>
      </c>
      <c r="G530" s="4" t="str">
        <f t="shared" si="249"/>
        <v/>
      </c>
      <c r="H530" s="4" t="str">
        <f t="shared" si="250"/>
        <v/>
      </c>
      <c r="I530" s="4" t="str">
        <f t="shared" si="251"/>
        <v/>
      </c>
      <c r="J530" s="247"/>
      <c r="K530" s="117"/>
      <c r="L530" s="4" t="str">
        <f t="shared" si="257"/>
        <v/>
      </c>
      <c r="M530" s="4" t="str">
        <f t="shared" si="258"/>
        <v/>
      </c>
      <c r="N530" s="4" t="str">
        <f t="shared" si="259"/>
        <v/>
      </c>
      <c r="O530" s="4" t="str">
        <f t="shared" si="260"/>
        <v/>
      </c>
      <c r="P530" s="247"/>
      <c r="Q530" s="117"/>
      <c r="R530" s="4" t="str">
        <f t="shared" si="261"/>
        <v/>
      </c>
      <c r="S530" s="4" t="str">
        <f t="shared" si="262"/>
        <v/>
      </c>
      <c r="T530" s="4" t="str">
        <f t="shared" si="263"/>
        <v/>
      </c>
      <c r="U530" s="4" t="str">
        <f t="shared" si="264"/>
        <v/>
      </c>
      <c r="V530" s="247"/>
      <c r="W530" s="67" t="str">
        <f t="shared" si="252"/>
        <v/>
      </c>
      <c r="X530" s="118"/>
      <c r="Z530" s="67" t="str">
        <f t="shared" si="253"/>
        <v/>
      </c>
      <c r="AA530" s="13">
        <f t="shared" si="254"/>
        <v>0</v>
      </c>
      <c r="AB530" s="17">
        <f t="shared" si="255"/>
        <v>0</v>
      </c>
      <c r="AC530" s="163" t="str">
        <f t="shared" si="256"/>
        <v/>
      </c>
      <c r="AD530" s="119"/>
      <c r="AE530" s="21"/>
      <c r="AF530" s="121"/>
      <c r="AG530" s="122"/>
      <c r="AH530" s="83" t="str">
        <f t="shared" si="242"/>
        <v/>
      </c>
      <c r="AI530" s="115"/>
      <c r="AJ530" s="116"/>
      <c r="AK530" s="83" t="str">
        <f t="shared" si="243"/>
        <v/>
      </c>
      <c r="AL530" s="85" t="str">
        <f t="shared" si="244"/>
        <v/>
      </c>
      <c r="AM530" s="254" t="str">
        <f t="shared" si="245"/>
        <v/>
      </c>
      <c r="AN530" s="254" t="str">
        <f t="shared" ca="1" si="247"/>
        <v/>
      </c>
      <c r="AO530" s="255" t="str">
        <f t="shared" si="246"/>
        <v/>
      </c>
    </row>
    <row r="531" spans="2:41" x14ac:dyDescent="0.25">
      <c r="B531" s="321"/>
      <c r="C531" s="17"/>
      <c r="E531" s="117"/>
      <c r="F531" s="4" t="str">
        <f t="shared" si="248"/>
        <v/>
      </c>
      <c r="G531" s="4" t="str">
        <f t="shared" si="249"/>
        <v/>
      </c>
      <c r="H531" s="4" t="str">
        <f t="shared" si="250"/>
        <v/>
      </c>
      <c r="I531" s="4" t="str">
        <f t="shared" si="251"/>
        <v/>
      </c>
      <c r="J531" s="247"/>
      <c r="K531" s="117"/>
      <c r="L531" s="4" t="str">
        <f t="shared" si="257"/>
        <v/>
      </c>
      <c r="M531" s="4" t="str">
        <f t="shared" si="258"/>
        <v/>
      </c>
      <c r="N531" s="4" t="str">
        <f t="shared" si="259"/>
        <v/>
      </c>
      <c r="O531" s="4" t="str">
        <f t="shared" si="260"/>
        <v/>
      </c>
      <c r="P531" s="247"/>
      <c r="Q531" s="117"/>
      <c r="R531" s="4" t="str">
        <f t="shared" si="261"/>
        <v/>
      </c>
      <c r="S531" s="4" t="str">
        <f t="shared" si="262"/>
        <v/>
      </c>
      <c r="T531" s="4" t="str">
        <f t="shared" si="263"/>
        <v/>
      </c>
      <c r="U531" s="4" t="str">
        <f t="shared" si="264"/>
        <v/>
      </c>
      <c r="V531" s="247"/>
      <c r="W531" s="67" t="str">
        <f t="shared" si="252"/>
        <v/>
      </c>
      <c r="X531" s="118"/>
      <c r="Z531" s="67" t="str">
        <f t="shared" si="253"/>
        <v/>
      </c>
      <c r="AA531" s="13">
        <f t="shared" si="254"/>
        <v>0</v>
      </c>
      <c r="AB531" s="17">
        <f t="shared" si="255"/>
        <v>0</v>
      </c>
      <c r="AC531" s="163" t="str">
        <f t="shared" si="256"/>
        <v/>
      </c>
      <c r="AD531" s="119"/>
      <c r="AE531" s="21"/>
      <c r="AF531" s="121"/>
      <c r="AG531" s="122"/>
      <c r="AH531" s="83" t="str">
        <f t="shared" si="242"/>
        <v/>
      </c>
      <c r="AI531" s="115"/>
      <c r="AJ531" s="116"/>
      <c r="AK531" s="83" t="str">
        <f t="shared" si="243"/>
        <v/>
      </c>
      <c r="AL531" s="85" t="str">
        <f t="shared" si="244"/>
        <v/>
      </c>
      <c r="AM531" s="254" t="str">
        <f t="shared" si="245"/>
        <v/>
      </c>
      <c r="AN531" s="254" t="str">
        <f t="shared" ca="1" si="247"/>
        <v/>
      </c>
      <c r="AO531" s="255" t="str">
        <f t="shared" si="246"/>
        <v/>
      </c>
    </row>
    <row r="532" spans="2:41" x14ac:dyDescent="0.25">
      <c r="B532" s="321"/>
      <c r="C532" s="17"/>
      <c r="E532" s="117"/>
      <c r="F532" s="4" t="str">
        <f t="shared" si="248"/>
        <v/>
      </c>
      <c r="G532" s="4" t="str">
        <f t="shared" si="249"/>
        <v/>
      </c>
      <c r="H532" s="4" t="str">
        <f t="shared" si="250"/>
        <v/>
      </c>
      <c r="I532" s="4" t="str">
        <f t="shared" si="251"/>
        <v/>
      </c>
      <c r="J532" s="247"/>
      <c r="K532" s="117"/>
      <c r="L532" s="4" t="str">
        <f t="shared" si="257"/>
        <v/>
      </c>
      <c r="M532" s="4" t="str">
        <f t="shared" si="258"/>
        <v/>
      </c>
      <c r="N532" s="4" t="str">
        <f t="shared" si="259"/>
        <v/>
      </c>
      <c r="O532" s="4" t="str">
        <f t="shared" si="260"/>
        <v/>
      </c>
      <c r="P532" s="247"/>
      <c r="Q532" s="117"/>
      <c r="R532" s="4" t="str">
        <f t="shared" si="261"/>
        <v/>
      </c>
      <c r="S532" s="4" t="str">
        <f t="shared" si="262"/>
        <v/>
      </c>
      <c r="T532" s="4" t="str">
        <f t="shared" si="263"/>
        <v/>
      </c>
      <c r="U532" s="4" t="str">
        <f t="shared" si="264"/>
        <v/>
      </c>
      <c r="V532" s="247"/>
      <c r="W532" s="67" t="str">
        <f t="shared" si="252"/>
        <v/>
      </c>
      <c r="X532" s="118"/>
      <c r="Z532" s="67" t="str">
        <f t="shared" si="253"/>
        <v/>
      </c>
      <c r="AA532" s="13">
        <f t="shared" si="254"/>
        <v>0</v>
      </c>
      <c r="AB532" s="17">
        <f t="shared" si="255"/>
        <v>0</v>
      </c>
      <c r="AC532" s="163" t="str">
        <f t="shared" si="256"/>
        <v/>
      </c>
      <c r="AD532" s="119"/>
      <c r="AE532" s="21"/>
      <c r="AF532" s="121"/>
      <c r="AG532" s="122"/>
      <c r="AH532" s="83" t="str">
        <f t="shared" si="242"/>
        <v/>
      </c>
      <c r="AI532" s="115"/>
      <c r="AJ532" s="116"/>
      <c r="AK532" s="83" t="str">
        <f t="shared" si="243"/>
        <v/>
      </c>
      <c r="AL532" s="85" t="str">
        <f t="shared" si="244"/>
        <v/>
      </c>
      <c r="AM532" s="254" t="str">
        <f t="shared" si="245"/>
        <v/>
      </c>
      <c r="AN532" s="254" t="str">
        <f t="shared" ca="1" si="247"/>
        <v/>
      </c>
      <c r="AO532" s="255" t="str">
        <f t="shared" si="246"/>
        <v/>
      </c>
    </row>
    <row r="533" spans="2:41" x14ac:dyDescent="0.25">
      <c r="B533" s="321"/>
      <c r="C533" s="17"/>
      <c r="E533" s="117"/>
      <c r="F533" s="4" t="str">
        <f t="shared" si="248"/>
        <v/>
      </c>
      <c r="G533" s="4" t="str">
        <f t="shared" si="249"/>
        <v/>
      </c>
      <c r="H533" s="4" t="str">
        <f t="shared" si="250"/>
        <v/>
      </c>
      <c r="I533" s="4" t="str">
        <f t="shared" si="251"/>
        <v/>
      </c>
      <c r="J533" s="247"/>
      <c r="K533" s="117"/>
      <c r="L533" s="4" t="str">
        <f t="shared" si="257"/>
        <v/>
      </c>
      <c r="M533" s="4" t="str">
        <f t="shared" si="258"/>
        <v/>
      </c>
      <c r="N533" s="4" t="str">
        <f t="shared" si="259"/>
        <v/>
      </c>
      <c r="O533" s="4" t="str">
        <f t="shared" si="260"/>
        <v/>
      </c>
      <c r="P533" s="247"/>
      <c r="Q533" s="117"/>
      <c r="R533" s="4" t="str">
        <f t="shared" si="261"/>
        <v/>
      </c>
      <c r="S533" s="4" t="str">
        <f t="shared" si="262"/>
        <v/>
      </c>
      <c r="T533" s="4" t="str">
        <f t="shared" si="263"/>
        <v/>
      </c>
      <c r="U533" s="4" t="str">
        <f t="shared" si="264"/>
        <v/>
      </c>
      <c r="V533" s="247"/>
      <c r="W533" s="67" t="str">
        <f t="shared" si="252"/>
        <v/>
      </c>
      <c r="X533" s="118"/>
      <c r="Z533" s="67" t="str">
        <f t="shared" si="253"/>
        <v/>
      </c>
      <c r="AA533" s="13">
        <f t="shared" si="254"/>
        <v>0</v>
      </c>
      <c r="AB533" s="17">
        <f t="shared" si="255"/>
        <v>0</v>
      </c>
      <c r="AC533" s="163" t="str">
        <f t="shared" si="256"/>
        <v/>
      </c>
      <c r="AD533" s="119"/>
      <c r="AE533" s="21"/>
      <c r="AF533" s="121"/>
      <c r="AG533" s="122"/>
      <c r="AH533" s="83" t="str">
        <f t="shared" si="242"/>
        <v/>
      </c>
      <c r="AI533" s="115"/>
      <c r="AJ533" s="116"/>
      <c r="AK533" s="83" t="str">
        <f t="shared" si="243"/>
        <v/>
      </c>
      <c r="AL533" s="85" t="str">
        <f t="shared" si="244"/>
        <v/>
      </c>
      <c r="AM533" s="254" t="str">
        <f t="shared" si="245"/>
        <v/>
      </c>
      <c r="AN533" s="254" t="str">
        <f t="shared" ca="1" si="247"/>
        <v/>
      </c>
      <c r="AO533" s="255" t="str">
        <f t="shared" si="246"/>
        <v/>
      </c>
    </row>
    <row r="534" spans="2:41" x14ac:dyDescent="0.25">
      <c r="B534" s="321"/>
      <c r="C534" s="17"/>
      <c r="E534" s="117"/>
      <c r="F534" s="4" t="str">
        <f t="shared" si="248"/>
        <v/>
      </c>
      <c r="G534" s="4" t="str">
        <f t="shared" si="249"/>
        <v/>
      </c>
      <c r="H534" s="4" t="str">
        <f t="shared" si="250"/>
        <v/>
      </c>
      <c r="I534" s="4" t="str">
        <f t="shared" si="251"/>
        <v/>
      </c>
      <c r="J534" s="247"/>
      <c r="K534" s="117"/>
      <c r="L534" s="4" t="str">
        <f t="shared" si="257"/>
        <v/>
      </c>
      <c r="M534" s="4" t="str">
        <f t="shared" si="258"/>
        <v/>
      </c>
      <c r="N534" s="4" t="str">
        <f t="shared" si="259"/>
        <v/>
      </c>
      <c r="O534" s="4" t="str">
        <f t="shared" si="260"/>
        <v/>
      </c>
      <c r="P534" s="247"/>
      <c r="Q534" s="117"/>
      <c r="R534" s="4" t="str">
        <f t="shared" si="261"/>
        <v/>
      </c>
      <c r="S534" s="4" t="str">
        <f t="shared" si="262"/>
        <v/>
      </c>
      <c r="T534" s="4" t="str">
        <f t="shared" si="263"/>
        <v/>
      </c>
      <c r="U534" s="4" t="str">
        <f t="shared" si="264"/>
        <v/>
      </c>
      <c r="V534" s="247"/>
      <c r="W534" s="67" t="str">
        <f t="shared" si="252"/>
        <v/>
      </c>
      <c r="X534" s="118"/>
      <c r="Z534" s="67" t="str">
        <f t="shared" si="253"/>
        <v/>
      </c>
      <c r="AA534" s="13">
        <f t="shared" si="254"/>
        <v>0</v>
      </c>
      <c r="AB534" s="17">
        <f t="shared" si="255"/>
        <v>0</v>
      </c>
      <c r="AC534" s="163" t="str">
        <f t="shared" si="256"/>
        <v/>
      </c>
      <c r="AD534" s="119"/>
      <c r="AE534" s="21"/>
      <c r="AF534" s="121"/>
      <c r="AG534" s="122"/>
      <c r="AH534" s="83" t="str">
        <f t="shared" si="242"/>
        <v/>
      </c>
      <c r="AI534" s="115"/>
      <c r="AJ534" s="116"/>
      <c r="AK534" s="83" t="str">
        <f t="shared" si="243"/>
        <v/>
      </c>
      <c r="AL534" s="85" t="str">
        <f t="shared" si="244"/>
        <v/>
      </c>
      <c r="AM534" s="254" t="str">
        <f t="shared" si="245"/>
        <v/>
      </c>
      <c r="AN534" s="254" t="str">
        <f t="shared" ca="1" si="247"/>
        <v/>
      </c>
      <c r="AO534" s="255" t="str">
        <f t="shared" si="246"/>
        <v/>
      </c>
    </row>
    <row r="535" spans="2:41" x14ac:dyDescent="0.25">
      <c r="B535" s="321"/>
      <c r="C535" s="17"/>
      <c r="E535" s="117"/>
      <c r="F535" s="4" t="str">
        <f t="shared" si="248"/>
        <v/>
      </c>
      <c r="G535" s="4" t="str">
        <f t="shared" si="249"/>
        <v/>
      </c>
      <c r="H535" s="4" t="str">
        <f t="shared" si="250"/>
        <v/>
      </c>
      <c r="I535" s="4" t="str">
        <f t="shared" si="251"/>
        <v/>
      </c>
      <c r="J535" s="247"/>
      <c r="K535" s="117"/>
      <c r="L535" s="4" t="str">
        <f t="shared" si="257"/>
        <v/>
      </c>
      <c r="M535" s="4" t="str">
        <f t="shared" si="258"/>
        <v/>
      </c>
      <c r="N535" s="4" t="str">
        <f t="shared" si="259"/>
        <v/>
      </c>
      <c r="O535" s="4" t="str">
        <f t="shared" si="260"/>
        <v/>
      </c>
      <c r="P535" s="247"/>
      <c r="Q535" s="117"/>
      <c r="R535" s="4" t="str">
        <f t="shared" si="261"/>
        <v/>
      </c>
      <c r="S535" s="4" t="str">
        <f t="shared" si="262"/>
        <v/>
      </c>
      <c r="T535" s="4" t="str">
        <f t="shared" si="263"/>
        <v/>
      </c>
      <c r="U535" s="4" t="str">
        <f t="shared" si="264"/>
        <v/>
      </c>
      <c r="V535" s="247"/>
      <c r="W535" s="67" t="str">
        <f t="shared" si="252"/>
        <v/>
      </c>
      <c r="X535" s="118"/>
      <c r="Z535" s="67" t="str">
        <f t="shared" si="253"/>
        <v/>
      </c>
      <c r="AA535" s="13">
        <f t="shared" si="254"/>
        <v>0</v>
      </c>
      <c r="AB535" s="17">
        <f t="shared" si="255"/>
        <v>0</v>
      </c>
      <c r="AC535" s="163" t="str">
        <f t="shared" si="256"/>
        <v/>
      </c>
      <c r="AD535" s="119"/>
      <c r="AE535" s="21"/>
      <c r="AF535" s="121"/>
      <c r="AG535" s="122"/>
      <c r="AH535" s="83" t="str">
        <f t="shared" si="242"/>
        <v/>
      </c>
      <c r="AI535" s="115"/>
      <c r="AJ535" s="116"/>
      <c r="AK535" s="83" t="str">
        <f t="shared" si="243"/>
        <v/>
      </c>
      <c r="AL535" s="85" t="str">
        <f t="shared" si="244"/>
        <v/>
      </c>
      <c r="AM535" s="254" t="str">
        <f t="shared" si="245"/>
        <v/>
      </c>
      <c r="AN535" s="254" t="str">
        <f t="shared" ca="1" si="247"/>
        <v/>
      </c>
      <c r="AO535" s="255" t="str">
        <f t="shared" si="246"/>
        <v/>
      </c>
    </row>
    <row r="536" spans="2:41" x14ac:dyDescent="0.25">
      <c r="B536" s="321"/>
      <c r="C536" s="17"/>
      <c r="E536" s="117"/>
      <c r="F536" s="4" t="str">
        <f t="shared" si="248"/>
        <v/>
      </c>
      <c r="G536" s="4" t="str">
        <f t="shared" si="249"/>
        <v/>
      </c>
      <c r="H536" s="4" t="str">
        <f t="shared" si="250"/>
        <v/>
      </c>
      <c r="I536" s="4" t="str">
        <f t="shared" si="251"/>
        <v/>
      </c>
      <c r="J536" s="247"/>
      <c r="K536" s="117"/>
      <c r="L536" s="4" t="str">
        <f t="shared" si="257"/>
        <v/>
      </c>
      <c r="M536" s="4" t="str">
        <f t="shared" si="258"/>
        <v/>
      </c>
      <c r="N536" s="4" t="str">
        <f t="shared" si="259"/>
        <v/>
      </c>
      <c r="O536" s="4" t="str">
        <f t="shared" si="260"/>
        <v/>
      </c>
      <c r="P536" s="247"/>
      <c r="Q536" s="117"/>
      <c r="R536" s="4" t="str">
        <f t="shared" si="261"/>
        <v/>
      </c>
      <c r="S536" s="4" t="str">
        <f t="shared" si="262"/>
        <v/>
      </c>
      <c r="T536" s="4" t="str">
        <f t="shared" si="263"/>
        <v/>
      </c>
      <c r="U536" s="4" t="str">
        <f t="shared" si="264"/>
        <v/>
      </c>
      <c r="V536" s="247"/>
      <c r="W536" s="67" t="str">
        <f t="shared" si="252"/>
        <v/>
      </c>
      <c r="X536" s="118"/>
      <c r="Z536" s="67" t="str">
        <f t="shared" si="253"/>
        <v/>
      </c>
      <c r="AA536" s="13">
        <f t="shared" si="254"/>
        <v>0</v>
      </c>
      <c r="AB536" s="17">
        <f t="shared" si="255"/>
        <v>0</v>
      </c>
      <c r="AC536" s="163" t="str">
        <f t="shared" si="256"/>
        <v/>
      </c>
      <c r="AD536" s="119"/>
      <c r="AE536" s="21"/>
      <c r="AF536" s="121"/>
      <c r="AG536" s="122"/>
      <c r="AH536" s="83" t="str">
        <f t="shared" si="242"/>
        <v/>
      </c>
      <c r="AI536" s="115"/>
      <c r="AJ536" s="116"/>
      <c r="AK536" s="83" t="str">
        <f t="shared" si="243"/>
        <v/>
      </c>
      <c r="AL536" s="85" t="str">
        <f t="shared" si="244"/>
        <v/>
      </c>
      <c r="AM536" s="254" t="str">
        <f t="shared" si="245"/>
        <v/>
      </c>
      <c r="AN536" s="254" t="str">
        <f t="shared" ca="1" si="247"/>
        <v/>
      </c>
      <c r="AO536" s="255" t="str">
        <f t="shared" si="246"/>
        <v/>
      </c>
    </row>
    <row r="537" spans="2:41" x14ac:dyDescent="0.25">
      <c r="B537" s="321"/>
      <c r="C537" s="17"/>
      <c r="E537" s="117"/>
      <c r="F537" s="4" t="str">
        <f t="shared" si="248"/>
        <v/>
      </c>
      <c r="G537" s="4" t="str">
        <f t="shared" si="249"/>
        <v/>
      </c>
      <c r="H537" s="4" t="str">
        <f t="shared" si="250"/>
        <v/>
      </c>
      <c r="I537" s="4" t="str">
        <f t="shared" si="251"/>
        <v/>
      </c>
      <c r="J537" s="247"/>
      <c r="K537" s="117"/>
      <c r="L537" s="4" t="str">
        <f t="shared" si="257"/>
        <v/>
      </c>
      <c r="M537" s="4" t="str">
        <f t="shared" si="258"/>
        <v/>
      </c>
      <c r="N537" s="4" t="str">
        <f t="shared" si="259"/>
        <v/>
      </c>
      <c r="O537" s="4" t="str">
        <f t="shared" si="260"/>
        <v/>
      </c>
      <c r="P537" s="247"/>
      <c r="Q537" s="117"/>
      <c r="R537" s="4" t="str">
        <f t="shared" si="261"/>
        <v/>
      </c>
      <c r="S537" s="4" t="str">
        <f t="shared" si="262"/>
        <v/>
      </c>
      <c r="T537" s="4" t="str">
        <f t="shared" si="263"/>
        <v/>
      </c>
      <c r="U537" s="4" t="str">
        <f t="shared" si="264"/>
        <v/>
      </c>
      <c r="V537" s="247"/>
      <c r="W537" s="67" t="str">
        <f t="shared" si="252"/>
        <v/>
      </c>
      <c r="X537" s="118"/>
      <c r="Z537" s="67" t="str">
        <f t="shared" si="253"/>
        <v/>
      </c>
      <c r="AA537" s="13">
        <f t="shared" si="254"/>
        <v>0</v>
      </c>
      <c r="AB537" s="17">
        <f t="shared" si="255"/>
        <v>0</v>
      </c>
      <c r="AC537" s="163" t="str">
        <f t="shared" si="256"/>
        <v/>
      </c>
      <c r="AD537" s="119"/>
      <c r="AE537" s="21"/>
      <c r="AF537" s="121"/>
      <c r="AG537" s="122"/>
      <c r="AH537" s="83" t="str">
        <f t="shared" si="242"/>
        <v/>
      </c>
      <c r="AI537" s="115"/>
      <c r="AJ537" s="116"/>
      <c r="AK537" s="83" t="str">
        <f t="shared" si="243"/>
        <v/>
      </c>
      <c r="AL537" s="85" t="str">
        <f t="shared" si="244"/>
        <v/>
      </c>
      <c r="AM537" s="254" t="str">
        <f t="shared" si="245"/>
        <v/>
      </c>
      <c r="AN537" s="254" t="str">
        <f t="shared" ca="1" si="247"/>
        <v/>
      </c>
      <c r="AO537" s="255" t="str">
        <f t="shared" si="246"/>
        <v/>
      </c>
    </row>
    <row r="538" spans="2:41" x14ac:dyDescent="0.25">
      <c r="B538" s="321"/>
      <c r="C538" s="17"/>
      <c r="E538" s="117"/>
      <c r="F538" s="4" t="str">
        <f t="shared" si="248"/>
        <v/>
      </c>
      <c r="G538" s="4" t="str">
        <f t="shared" si="249"/>
        <v/>
      </c>
      <c r="H538" s="4" t="str">
        <f t="shared" si="250"/>
        <v/>
      </c>
      <c r="I538" s="4" t="str">
        <f t="shared" si="251"/>
        <v/>
      </c>
      <c r="J538" s="247"/>
      <c r="K538" s="117"/>
      <c r="L538" s="4" t="str">
        <f t="shared" si="257"/>
        <v/>
      </c>
      <c r="M538" s="4" t="str">
        <f t="shared" si="258"/>
        <v/>
      </c>
      <c r="N538" s="4" t="str">
        <f t="shared" si="259"/>
        <v/>
      </c>
      <c r="O538" s="4" t="str">
        <f t="shared" si="260"/>
        <v/>
      </c>
      <c r="P538" s="247"/>
      <c r="Q538" s="117"/>
      <c r="R538" s="4" t="str">
        <f t="shared" si="261"/>
        <v/>
      </c>
      <c r="S538" s="4" t="str">
        <f t="shared" si="262"/>
        <v/>
      </c>
      <c r="T538" s="4" t="str">
        <f t="shared" si="263"/>
        <v/>
      </c>
      <c r="U538" s="4" t="str">
        <f t="shared" si="264"/>
        <v/>
      </c>
      <c r="V538" s="247"/>
      <c r="W538" s="67" t="str">
        <f t="shared" si="252"/>
        <v/>
      </c>
      <c r="X538" s="118"/>
      <c r="Z538" s="67" t="str">
        <f t="shared" si="253"/>
        <v/>
      </c>
      <c r="AA538" s="13">
        <f t="shared" si="254"/>
        <v>0</v>
      </c>
      <c r="AB538" s="17">
        <f t="shared" si="255"/>
        <v>0</v>
      </c>
      <c r="AC538" s="163" t="str">
        <f t="shared" si="256"/>
        <v/>
      </c>
      <c r="AD538" s="119"/>
      <c r="AE538" s="21"/>
      <c r="AF538" s="121"/>
      <c r="AG538" s="122"/>
      <c r="AH538" s="83" t="str">
        <f t="shared" si="242"/>
        <v/>
      </c>
      <c r="AI538" s="115"/>
      <c r="AJ538" s="116"/>
      <c r="AK538" s="83" t="str">
        <f t="shared" si="243"/>
        <v/>
      </c>
      <c r="AL538" s="85" t="str">
        <f t="shared" si="244"/>
        <v/>
      </c>
      <c r="AM538" s="254" t="str">
        <f t="shared" si="245"/>
        <v/>
      </c>
      <c r="AN538" s="254" t="str">
        <f t="shared" ca="1" si="247"/>
        <v/>
      </c>
      <c r="AO538" s="255" t="str">
        <f t="shared" si="246"/>
        <v/>
      </c>
    </row>
    <row r="539" spans="2:41" x14ac:dyDescent="0.25">
      <c r="B539" s="321"/>
      <c r="C539" s="17"/>
      <c r="E539" s="117"/>
      <c r="F539" s="4" t="str">
        <f t="shared" si="248"/>
        <v/>
      </c>
      <c r="G539" s="4" t="str">
        <f t="shared" si="249"/>
        <v/>
      </c>
      <c r="H539" s="4" t="str">
        <f t="shared" si="250"/>
        <v/>
      </c>
      <c r="I539" s="4" t="str">
        <f t="shared" si="251"/>
        <v/>
      </c>
      <c r="J539" s="247"/>
      <c r="K539" s="117"/>
      <c r="L539" s="4" t="str">
        <f t="shared" si="257"/>
        <v/>
      </c>
      <c r="M539" s="4" t="str">
        <f t="shared" si="258"/>
        <v/>
      </c>
      <c r="N539" s="4" t="str">
        <f t="shared" si="259"/>
        <v/>
      </c>
      <c r="O539" s="4" t="str">
        <f t="shared" si="260"/>
        <v/>
      </c>
      <c r="P539" s="247"/>
      <c r="Q539" s="117"/>
      <c r="R539" s="4" t="str">
        <f t="shared" si="261"/>
        <v/>
      </c>
      <c r="S539" s="4" t="str">
        <f t="shared" si="262"/>
        <v/>
      </c>
      <c r="T539" s="4" t="str">
        <f t="shared" si="263"/>
        <v/>
      </c>
      <c r="U539" s="4" t="str">
        <f t="shared" si="264"/>
        <v/>
      </c>
      <c r="V539" s="247"/>
      <c r="W539" s="67" t="str">
        <f t="shared" si="252"/>
        <v/>
      </c>
      <c r="X539" s="118"/>
      <c r="Z539" s="67" t="str">
        <f t="shared" si="253"/>
        <v/>
      </c>
      <c r="AA539" s="13">
        <f t="shared" si="254"/>
        <v>0</v>
      </c>
      <c r="AB539" s="17">
        <f t="shared" si="255"/>
        <v>0</v>
      </c>
      <c r="AC539" s="163" t="str">
        <f t="shared" si="256"/>
        <v/>
      </c>
      <c r="AD539" s="119"/>
      <c r="AE539" s="21"/>
      <c r="AF539" s="121"/>
      <c r="AG539" s="122"/>
      <c r="AH539" s="83" t="str">
        <f t="shared" si="242"/>
        <v/>
      </c>
      <c r="AI539" s="115"/>
      <c r="AJ539" s="116"/>
      <c r="AK539" s="83" t="str">
        <f t="shared" si="243"/>
        <v/>
      </c>
      <c r="AL539" s="85" t="str">
        <f t="shared" si="244"/>
        <v/>
      </c>
      <c r="AM539" s="254" t="str">
        <f t="shared" si="245"/>
        <v/>
      </c>
      <c r="AN539" s="254" t="str">
        <f t="shared" ca="1" si="247"/>
        <v/>
      </c>
      <c r="AO539" s="255" t="str">
        <f t="shared" si="246"/>
        <v/>
      </c>
    </row>
    <row r="540" spans="2:41" x14ac:dyDescent="0.25">
      <c r="B540" s="321"/>
      <c r="C540" s="17"/>
      <c r="E540" s="117"/>
      <c r="F540" s="4" t="str">
        <f t="shared" si="248"/>
        <v/>
      </c>
      <c r="G540" s="4" t="str">
        <f t="shared" si="249"/>
        <v/>
      </c>
      <c r="H540" s="4" t="str">
        <f t="shared" si="250"/>
        <v/>
      </c>
      <c r="I540" s="4" t="str">
        <f t="shared" si="251"/>
        <v/>
      </c>
      <c r="J540" s="247"/>
      <c r="K540" s="117"/>
      <c r="L540" s="4" t="str">
        <f t="shared" si="257"/>
        <v/>
      </c>
      <c r="M540" s="4" t="str">
        <f t="shared" si="258"/>
        <v/>
      </c>
      <c r="N540" s="4" t="str">
        <f t="shared" si="259"/>
        <v/>
      </c>
      <c r="O540" s="4" t="str">
        <f t="shared" si="260"/>
        <v/>
      </c>
      <c r="P540" s="247"/>
      <c r="Q540" s="117"/>
      <c r="R540" s="4" t="str">
        <f t="shared" si="261"/>
        <v/>
      </c>
      <c r="S540" s="4" t="str">
        <f t="shared" si="262"/>
        <v/>
      </c>
      <c r="T540" s="4" t="str">
        <f t="shared" si="263"/>
        <v/>
      </c>
      <c r="U540" s="4" t="str">
        <f t="shared" si="264"/>
        <v/>
      </c>
      <c r="V540" s="247"/>
      <c r="W540" s="67" t="str">
        <f t="shared" si="252"/>
        <v/>
      </c>
      <c r="X540" s="118"/>
      <c r="Z540" s="67" t="str">
        <f t="shared" si="253"/>
        <v/>
      </c>
      <c r="AA540" s="13">
        <f t="shared" si="254"/>
        <v>0</v>
      </c>
      <c r="AB540" s="17">
        <f t="shared" si="255"/>
        <v>0</v>
      </c>
      <c r="AC540" s="163" t="str">
        <f t="shared" si="256"/>
        <v/>
      </c>
      <c r="AD540" s="119"/>
      <c r="AE540" s="21"/>
      <c r="AF540" s="121"/>
      <c r="AG540" s="122"/>
      <c r="AH540" s="83" t="str">
        <f t="shared" si="242"/>
        <v/>
      </c>
      <c r="AI540" s="115"/>
      <c r="AJ540" s="116"/>
      <c r="AK540" s="83" t="str">
        <f t="shared" si="243"/>
        <v/>
      </c>
      <c r="AL540" s="85" t="str">
        <f t="shared" si="244"/>
        <v/>
      </c>
      <c r="AM540" s="254" t="str">
        <f t="shared" si="245"/>
        <v/>
      </c>
      <c r="AN540" s="254" t="str">
        <f t="shared" ca="1" si="247"/>
        <v/>
      </c>
      <c r="AO540" s="255" t="str">
        <f t="shared" si="246"/>
        <v/>
      </c>
    </row>
    <row r="541" spans="2:41" x14ac:dyDescent="0.25">
      <c r="B541" s="321"/>
      <c r="C541" s="17"/>
      <c r="E541" s="117"/>
      <c r="F541" s="4" t="str">
        <f t="shared" si="248"/>
        <v/>
      </c>
      <c r="G541" s="4" t="str">
        <f t="shared" si="249"/>
        <v/>
      </c>
      <c r="H541" s="4" t="str">
        <f t="shared" si="250"/>
        <v/>
      </c>
      <c r="I541" s="4" t="str">
        <f t="shared" si="251"/>
        <v/>
      </c>
      <c r="J541" s="247"/>
      <c r="K541" s="117"/>
      <c r="L541" s="4" t="str">
        <f t="shared" si="257"/>
        <v/>
      </c>
      <c r="M541" s="4" t="str">
        <f t="shared" si="258"/>
        <v/>
      </c>
      <c r="N541" s="4" t="str">
        <f t="shared" si="259"/>
        <v/>
      </c>
      <c r="O541" s="4" t="str">
        <f t="shared" si="260"/>
        <v/>
      </c>
      <c r="P541" s="247"/>
      <c r="Q541" s="117"/>
      <c r="R541" s="4" t="str">
        <f t="shared" si="261"/>
        <v/>
      </c>
      <c r="S541" s="4" t="str">
        <f t="shared" si="262"/>
        <v/>
      </c>
      <c r="T541" s="4" t="str">
        <f t="shared" si="263"/>
        <v/>
      </c>
      <c r="U541" s="4" t="str">
        <f t="shared" si="264"/>
        <v/>
      </c>
      <c r="V541" s="247"/>
      <c r="W541" s="67" t="str">
        <f t="shared" si="252"/>
        <v/>
      </c>
      <c r="X541" s="118"/>
      <c r="Z541" s="67" t="str">
        <f t="shared" si="253"/>
        <v/>
      </c>
      <c r="AA541" s="13">
        <f t="shared" si="254"/>
        <v>0</v>
      </c>
      <c r="AB541" s="17">
        <f t="shared" si="255"/>
        <v>0</v>
      </c>
      <c r="AC541" s="163" t="str">
        <f t="shared" si="256"/>
        <v/>
      </c>
      <c r="AD541" s="119"/>
      <c r="AE541" s="21"/>
      <c r="AF541" s="121"/>
      <c r="AG541" s="122"/>
      <c r="AH541" s="83" t="str">
        <f t="shared" si="242"/>
        <v/>
      </c>
      <c r="AI541" s="115"/>
      <c r="AJ541" s="116"/>
      <c r="AK541" s="83" t="str">
        <f t="shared" si="243"/>
        <v/>
      </c>
      <c r="AL541" s="85" t="str">
        <f t="shared" si="244"/>
        <v/>
      </c>
      <c r="AM541" s="254" t="str">
        <f t="shared" si="245"/>
        <v/>
      </c>
      <c r="AN541" s="254" t="str">
        <f t="shared" ca="1" si="247"/>
        <v/>
      </c>
      <c r="AO541" s="255" t="str">
        <f t="shared" si="246"/>
        <v/>
      </c>
    </row>
    <row r="542" spans="2:41" x14ac:dyDescent="0.25">
      <c r="B542" s="321"/>
      <c r="C542" s="17"/>
      <c r="E542" s="117"/>
      <c r="F542" s="4" t="str">
        <f t="shared" si="248"/>
        <v/>
      </c>
      <c r="G542" s="4" t="str">
        <f t="shared" si="249"/>
        <v/>
      </c>
      <c r="H542" s="4" t="str">
        <f t="shared" si="250"/>
        <v/>
      </c>
      <c r="I542" s="4" t="str">
        <f t="shared" si="251"/>
        <v/>
      </c>
      <c r="J542" s="247"/>
      <c r="K542" s="117"/>
      <c r="L542" s="4" t="str">
        <f t="shared" si="257"/>
        <v/>
      </c>
      <c r="M542" s="4" t="str">
        <f t="shared" si="258"/>
        <v/>
      </c>
      <c r="N542" s="4" t="str">
        <f t="shared" si="259"/>
        <v/>
      </c>
      <c r="O542" s="4" t="str">
        <f t="shared" si="260"/>
        <v/>
      </c>
      <c r="P542" s="247"/>
      <c r="Q542" s="117"/>
      <c r="R542" s="4" t="str">
        <f t="shared" si="261"/>
        <v/>
      </c>
      <c r="S542" s="4" t="str">
        <f t="shared" si="262"/>
        <v/>
      </c>
      <c r="T542" s="4" t="str">
        <f t="shared" si="263"/>
        <v/>
      </c>
      <c r="U542" s="4" t="str">
        <f t="shared" si="264"/>
        <v/>
      </c>
      <c r="V542" s="247"/>
      <c r="W542" s="67" t="str">
        <f t="shared" si="252"/>
        <v/>
      </c>
      <c r="X542" s="118"/>
      <c r="Z542" s="67" t="str">
        <f t="shared" si="253"/>
        <v/>
      </c>
      <c r="AA542" s="13">
        <f t="shared" si="254"/>
        <v>0</v>
      </c>
      <c r="AB542" s="17">
        <f t="shared" si="255"/>
        <v>0</v>
      </c>
      <c r="AC542" s="163" t="str">
        <f t="shared" si="256"/>
        <v/>
      </c>
      <c r="AD542" s="119"/>
      <c r="AE542" s="21"/>
      <c r="AF542" s="121"/>
      <c r="AG542" s="122"/>
      <c r="AH542" s="83" t="str">
        <f t="shared" si="242"/>
        <v/>
      </c>
      <c r="AI542" s="115"/>
      <c r="AJ542" s="116"/>
      <c r="AK542" s="83" t="str">
        <f t="shared" si="243"/>
        <v/>
      </c>
      <c r="AL542" s="85" t="str">
        <f t="shared" si="244"/>
        <v/>
      </c>
      <c r="AM542" s="254" t="str">
        <f t="shared" si="245"/>
        <v/>
      </c>
      <c r="AN542" s="254" t="str">
        <f t="shared" ca="1" si="247"/>
        <v/>
      </c>
      <c r="AO542" s="255" t="str">
        <f t="shared" si="246"/>
        <v/>
      </c>
    </row>
    <row r="543" spans="2:41" x14ac:dyDescent="0.25">
      <c r="B543" s="321"/>
      <c r="C543" s="17"/>
      <c r="E543" s="117"/>
      <c r="F543" s="4" t="str">
        <f t="shared" si="248"/>
        <v/>
      </c>
      <c r="G543" s="4" t="str">
        <f t="shared" si="249"/>
        <v/>
      </c>
      <c r="H543" s="4" t="str">
        <f t="shared" si="250"/>
        <v/>
      </c>
      <c r="I543" s="4" t="str">
        <f t="shared" si="251"/>
        <v/>
      </c>
      <c r="J543" s="247"/>
      <c r="K543" s="117"/>
      <c r="L543" s="4" t="str">
        <f t="shared" si="257"/>
        <v/>
      </c>
      <c r="M543" s="4" t="str">
        <f t="shared" si="258"/>
        <v/>
      </c>
      <c r="N543" s="4" t="str">
        <f t="shared" si="259"/>
        <v/>
      </c>
      <c r="O543" s="4" t="str">
        <f t="shared" si="260"/>
        <v/>
      </c>
      <c r="P543" s="247"/>
      <c r="Q543" s="117"/>
      <c r="R543" s="4" t="str">
        <f t="shared" si="261"/>
        <v/>
      </c>
      <c r="S543" s="4" t="str">
        <f t="shared" si="262"/>
        <v/>
      </c>
      <c r="T543" s="4" t="str">
        <f t="shared" si="263"/>
        <v/>
      </c>
      <c r="U543" s="4" t="str">
        <f t="shared" si="264"/>
        <v/>
      </c>
      <c r="V543" s="247"/>
      <c r="W543" s="67" t="str">
        <f t="shared" si="252"/>
        <v/>
      </c>
      <c r="X543" s="118"/>
      <c r="Z543" s="67" t="str">
        <f t="shared" si="253"/>
        <v/>
      </c>
      <c r="AA543" s="13">
        <f t="shared" si="254"/>
        <v>0</v>
      </c>
      <c r="AB543" s="17">
        <f t="shared" si="255"/>
        <v>0</v>
      </c>
      <c r="AC543" s="163" t="str">
        <f t="shared" si="256"/>
        <v/>
      </c>
      <c r="AD543" s="119"/>
      <c r="AE543" s="21"/>
      <c r="AF543" s="121"/>
      <c r="AG543" s="122"/>
      <c r="AH543" s="83" t="str">
        <f t="shared" si="242"/>
        <v/>
      </c>
      <c r="AI543" s="115"/>
      <c r="AJ543" s="116"/>
      <c r="AK543" s="83" t="str">
        <f t="shared" si="243"/>
        <v/>
      </c>
      <c r="AL543" s="85" t="str">
        <f t="shared" si="244"/>
        <v/>
      </c>
      <c r="AM543" s="254" t="str">
        <f t="shared" si="245"/>
        <v/>
      </c>
      <c r="AN543" s="254" t="str">
        <f t="shared" ca="1" si="247"/>
        <v/>
      </c>
      <c r="AO543" s="255" t="str">
        <f t="shared" si="246"/>
        <v/>
      </c>
    </row>
    <row r="544" spans="2:41" x14ac:dyDescent="0.25">
      <c r="B544" s="321"/>
      <c r="C544" s="17"/>
      <c r="E544" s="117"/>
      <c r="F544" s="4" t="str">
        <f t="shared" si="248"/>
        <v/>
      </c>
      <c r="G544" s="4" t="str">
        <f t="shared" si="249"/>
        <v/>
      </c>
      <c r="H544" s="4" t="str">
        <f t="shared" si="250"/>
        <v/>
      </c>
      <c r="I544" s="4" t="str">
        <f t="shared" si="251"/>
        <v/>
      </c>
      <c r="J544" s="247"/>
      <c r="K544" s="117"/>
      <c r="L544" s="4" t="str">
        <f t="shared" si="257"/>
        <v/>
      </c>
      <c r="M544" s="4" t="str">
        <f t="shared" si="258"/>
        <v/>
      </c>
      <c r="N544" s="4" t="str">
        <f t="shared" si="259"/>
        <v/>
      </c>
      <c r="O544" s="4" t="str">
        <f t="shared" si="260"/>
        <v/>
      </c>
      <c r="P544" s="247"/>
      <c r="Q544" s="117"/>
      <c r="R544" s="4" t="str">
        <f t="shared" si="261"/>
        <v/>
      </c>
      <c r="S544" s="4" t="str">
        <f t="shared" si="262"/>
        <v/>
      </c>
      <c r="T544" s="4" t="str">
        <f t="shared" si="263"/>
        <v/>
      </c>
      <c r="U544" s="4" t="str">
        <f t="shared" si="264"/>
        <v/>
      </c>
      <c r="V544" s="247"/>
      <c r="W544" s="67" t="str">
        <f t="shared" si="252"/>
        <v/>
      </c>
      <c r="X544" s="118"/>
      <c r="Z544" s="67" t="str">
        <f t="shared" si="253"/>
        <v/>
      </c>
      <c r="AA544" s="13">
        <f t="shared" si="254"/>
        <v>0</v>
      </c>
      <c r="AB544" s="17">
        <f t="shared" si="255"/>
        <v>0</v>
      </c>
      <c r="AC544" s="163" t="str">
        <f t="shared" si="256"/>
        <v/>
      </c>
      <c r="AD544" s="119"/>
      <c r="AE544" s="21"/>
      <c r="AF544" s="121"/>
      <c r="AG544" s="122"/>
      <c r="AH544" s="83" t="str">
        <f t="shared" si="242"/>
        <v/>
      </c>
      <c r="AI544" s="115"/>
      <c r="AJ544" s="116"/>
      <c r="AK544" s="83" t="str">
        <f t="shared" si="243"/>
        <v/>
      </c>
      <c r="AL544" s="85" t="str">
        <f t="shared" si="244"/>
        <v/>
      </c>
      <c r="AM544" s="254" t="str">
        <f t="shared" si="245"/>
        <v/>
      </c>
      <c r="AN544" s="254" t="str">
        <f t="shared" ca="1" si="247"/>
        <v/>
      </c>
      <c r="AO544" s="255" t="str">
        <f t="shared" si="246"/>
        <v/>
      </c>
    </row>
    <row r="545" spans="2:41" x14ac:dyDescent="0.25">
      <c r="B545" s="321"/>
      <c r="C545" s="17"/>
      <c r="E545" s="117"/>
      <c r="F545" s="4" t="str">
        <f t="shared" si="248"/>
        <v/>
      </c>
      <c r="G545" s="4" t="str">
        <f t="shared" si="249"/>
        <v/>
      </c>
      <c r="H545" s="4" t="str">
        <f t="shared" si="250"/>
        <v/>
      </c>
      <c r="I545" s="4" t="str">
        <f t="shared" si="251"/>
        <v/>
      </c>
      <c r="J545" s="247"/>
      <c r="K545" s="117"/>
      <c r="L545" s="4" t="str">
        <f t="shared" si="257"/>
        <v/>
      </c>
      <c r="M545" s="4" t="str">
        <f t="shared" si="258"/>
        <v/>
      </c>
      <c r="N545" s="4" t="str">
        <f t="shared" si="259"/>
        <v/>
      </c>
      <c r="O545" s="4" t="str">
        <f t="shared" si="260"/>
        <v/>
      </c>
      <c r="P545" s="247"/>
      <c r="Q545" s="117"/>
      <c r="R545" s="4" t="str">
        <f t="shared" si="261"/>
        <v/>
      </c>
      <c r="S545" s="4" t="str">
        <f t="shared" si="262"/>
        <v/>
      </c>
      <c r="T545" s="4" t="str">
        <f t="shared" si="263"/>
        <v/>
      </c>
      <c r="U545" s="4" t="str">
        <f t="shared" si="264"/>
        <v/>
      </c>
      <c r="V545" s="247"/>
      <c r="W545" s="67" t="str">
        <f t="shared" si="252"/>
        <v/>
      </c>
      <c r="X545" s="118"/>
      <c r="Z545" s="67" t="str">
        <f t="shared" si="253"/>
        <v/>
      </c>
      <c r="AA545" s="13">
        <f t="shared" si="254"/>
        <v>0</v>
      </c>
      <c r="AB545" s="17">
        <f t="shared" si="255"/>
        <v>0</v>
      </c>
      <c r="AC545" s="163" t="str">
        <f t="shared" si="256"/>
        <v/>
      </c>
      <c r="AD545" s="119"/>
      <c r="AE545" s="21"/>
      <c r="AF545" s="121"/>
      <c r="AG545" s="122"/>
      <c r="AH545" s="83" t="str">
        <f t="shared" si="242"/>
        <v/>
      </c>
      <c r="AI545" s="115"/>
      <c r="AJ545" s="116"/>
      <c r="AK545" s="83" t="str">
        <f t="shared" si="243"/>
        <v/>
      </c>
      <c r="AL545" s="85" t="str">
        <f t="shared" si="244"/>
        <v/>
      </c>
      <c r="AM545" s="254" t="str">
        <f t="shared" si="245"/>
        <v/>
      </c>
      <c r="AN545" s="254" t="str">
        <f t="shared" ca="1" si="247"/>
        <v/>
      </c>
      <c r="AO545" s="255" t="str">
        <f t="shared" si="246"/>
        <v/>
      </c>
    </row>
    <row r="546" spans="2:41" x14ac:dyDescent="0.25">
      <c r="B546" s="321"/>
      <c r="C546" s="17"/>
      <c r="E546" s="117"/>
      <c r="F546" s="4" t="str">
        <f t="shared" si="248"/>
        <v/>
      </c>
      <c r="G546" s="4" t="str">
        <f t="shared" si="249"/>
        <v/>
      </c>
      <c r="H546" s="4" t="str">
        <f t="shared" si="250"/>
        <v/>
      </c>
      <c r="I546" s="4" t="str">
        <f t="shared" si="251"/>
        <v/>
      </c>
      <c r="J546" s="247"/>
      <c r="K546" s="117"/>
      <c r="L546" s="4" t="str">
        <f t="shared" si="257"/>
        <v/>
      </c>
      <c r="M546" s="4" t="str">
        <f t="shared" si="258"/>
        <v/>
      </c>
      <c r="N546" s="4" t="str">
        <f t="shared" si="259"/>
        <v/>
      </c>
      <c r="O546" s="4" t="str">
        <f t="shared" si="260"/>
        <v/>
      </c>
      <c r="P546" s="247"/>
      <c r="Q546" s="117"/>
      <c r="R546" s="4" t="str">
        <f t="shared" si="261"/>
        <v/>
      </c>
      <c r="S546" s="4" t="str">
        <f t="shared" si="262"/>
        <v/>
      </c>
      <c r="T546" s="4" t="str">
        <f t="shared" si="263"/>
        <v/>
      </c>
      <c r="U546" s="4" t="str">
        <f t="shared" si="264"/>
        <v/>
      </c>
      <c r="V546" s="247"/>
      <c r="W546" s="67" t="str">
        <f t="shared" si="252"/>
        <v/>
      </c>
      <c r="X546" s="118"/>
      <c r="Z546" s="67" t="str">
        <f t="shared" si="253"/>
        <v/>
      </c>
      <c r="AA546" s="13">
        <f t="shared" si="254"/>
        <v>0</v>
      </c>
      <c r="AB546" s="17">
        <f t="shared" si="255"/>
        <v>0</v>
      </c>
      <c r="AC546" s="163" t="str">
        <f t="shared" si="256"/>
        <v/>
      </c>
      <c r="AD546" s="119"/>
      <c r="AE546" s="21"/>
      <c r="AF546" s="121"/>
      <c r="AG546" s="122"/>
      <c r="AH546" s="83" t="str">
        <f t="shared" si="242"/>
        <v/>
      </c>
      <c r="AI546" s="115"/>
      <c r="AJ546" s="116"/>
      <c r="AK546" s="83" t="str">
        <f t="shared" si="243"/>
        <v/>
      </c>
      <c r="AL546" s="85" t="str">
        <f t="shared" si="244"/>
        <v/>
      </c>
      <c r="AM546" s="254" t="str">
        <f t="shared" si="245"/>
        <v/>
      </c>
      <c r="AN546" s="254" t="str">
        <f t="shared" ca="1" si="247"/>
        <v/>
      </c>
      <c r="AO546" s="255" t="str">
        <f t="shared" si="246"/>
        <v/>
      </c>
    </row>
    <row r="547" spans="2:41" x14ac:dyDescent="0.25">
      <c r="B547" s="321"/>
      <c r="C547" s="17"/>
      <c r="E547" s="117"/>
      <c r="F547" s="4" t="str">
        <f t="shared" si="248"/>
        <v/>
      </c>
      <c r="G547" s="4" t="str">
        <f t="shared" si="249"/>
        <v/>
      </c>
      <c r="H547" s="4" t="str">
        <f t="shared" si="250"/>
        <v/>
      </c>
      <c r="I547" s="4" t="str">
        <f t="shared" si="251"/>
        <v/>
      </c>
      <c r="J547" s="247"/>
      <c r="K547" s="117"/>
      <c r="L547" s="4" t="str">
        <f t="shared" si="257"/>
        <v/>
      </c>
      <c r="M547" s="4" t="str">
        <f t="shared" si="258"/>
        <v/>
      </c>
      <c r="N547" s="4" t="str">
        <f t="shared" si="259"/>
        <v/>
      </c>
      <c r="O547" s="4" t="str">
        <f t="shared" si="260"/>
        <v/>
      </c>
      <c r="P547" s="247"/>
      <c r="Q547" s="117"/>
      <c r="R547" s="4" t="str">
        <f t="shared" si="261"/>
        <v/>
      </c>
      <c r="S547" s="4" t="str">
        <f t="shared" si="262"/>
        <v/>
      </c>
      <c r="T547" s="4" t="str">
        <f t="shared" si="263"/>
        <v/>
      </c>
      <c r="U547" s="4" t="str">
        <f t="shared" si="264"/>
        <v/>
      </c>
      <c r="V547" s="247"/>
      <c r="W547" s="67" t="str">
        <f t="shared" si="252"/>
        <v/>
      </c>
      <c r="X547" s="118"/>
      <c r="Z547" s="67" t="str">
        <f t="shared" si="253"/>
        <v/>
      </c>
      <c r="AA547" s="13">
        <f t="shared" si="254"/>
        <v>0</v>
      </c>
      <c r="AB547" s="17">
        <f t="shared" si="255"/>
        <v>0</v>
      </c>
      <c r="AC547" s="163" t="str">
        <f t="shared" si="256"/>
        <v/>
      </c>
      <c r="AD547" s="119"/>
      <c r="AE547" s="21"/>
      <c r="AF547" s="121"/>
      <c r="AG547" s="122"/>
      <c r="AH547" s="83" t="str">
        <f t="shared" si="242"/>
        <v/>
      </c>
      <c r="AI547" s="115"/>
      <c r="AJ547" s="116"/>
      <c r="AK547" s="83" t="str">
        <f t="shared" si="243"/>
        <v/>
      </c>
      <c r="AL547" s="85" t="str">
        <f t="shared" si="244"/>
        <v/>
      </c>
      <c r="AM547" s="254" t="str">
        <f t="shared" si="245"/>
        <v/>
      </c>
      <c r="AN547" s="254" t="str">
        <f t="shared" ca="1" si="247"/>
        <v/>
      </c>
      <c r="AO547" s="255" t="str">
        <f t="shared" si="246"/>
        <v/>
      </c>
    </row>
    <row r="548" spans="2:41" x14ac:dyDescent="0.25">
      <c r="B548" s="321"/>
      <c r="C548" s="17"/>
      <c r="E548" s="117"/>
      <c r="F548" s="4" t="str">
        <f t="shared" si="248"/>
        <v/>
      </c>
      <c r="G548" s="4" t="str">
        <f t="shared" si="249"/>
        <v/>
      </c>
      <c r="H548" s="4" t="str">
        <f t="shared" si="250"/>
        <v/>
      </c>
      <c r="I548" s="4" t="str">
        <f t="shared" si="251"/>
        <v/>
      </c>
      <c r="J548" s="247"/>
      <c r="K548" s="117"/>
      <c r="L548" s="4" t="str">
        <f t="shared" si="257"/>
        <v/>
      </c>
      <c r="M548" s="4" t="str">
        <f t="shared" si="258"/>
        <v/>
      </c>
      <c r="N548" s="4" t="str">
        <f t="shared" si="259"/>
        <v/>
      </c>
      <c r="O548" s="4" t="str">
        <f t="shared" si="260"/>
        <v/>
      </c>
      <c r="P548" s="247"/>
      <c r="Q548" s="117"/>
      <c r="R548" s="4" t="str">
        <f t="shared" si="261"/>
        <v/>
      </c>
      <c r="S548" s="4" t="str">
        <f t="shared" si="262"/>
        <v/>
      </c>
      <c r="T548" s="4" t="str">
        <f t="shared" si="263"/>
        <v/>
      </c>
      <c r="U548" s="4" t="str">
        <f t="shared" si="264"/>
        <v/>
      </c>
      <c r="V548" s="247"/>
      <c r="W548" s="67" t="str">
        <f t="shared" si="252"/>
        <v/>
      </c>
      <c r="X548" s="118"/>
      <c r="Z548" s="67" t="str">
        <f t="shared" si="253"/>
        <v/>
      </c>
      <c r="AA548" s="13">
        <f t="shared" si="254"/>
        <v>0</v>
      </c>
      <c r="AB548" s="17">
        <f t="shared" si="255"/>
        <v>0</v>
      </c>
      <c r="AC548" s="163" t="str">
        <f t="shared" si="256"/>
        <v/>
      </c>
      <c r="AD548" s="119"/>
      <c r="AE548" s="21"/>
      <c r="AF548" s="121"/>
      <c r="AG548" s="122"/>
      <c r="AH548" s="83" t="str">
        <f t="shared" si="242"/>
        <v/>
      </c>
      <c r="AI548" s="115"/>
      <c r="AJ548" s="116"/>
      <c r="AK548" s="83" t="str">
        <f t="shared" si="243"/>
        <v/>
      </c>
      <c r="AL548" s="85" t="str">
        <f t="shared" si="244"/>
        <v/>
      </c>
      <c r="AM548" s="254" t="str">
        <f t="shared" si="245"/>
        <v/>
      </c>
      <c r="AN548" s="254" t="str">
        <f t="shared" ca="1" si="247"/>
        <v/>
      </c>
      <c r="AO548" s="255" t="str">
        <f t="shared" si="246"/>
        <v/>
      </c>
    </row>
    <row r="549" spans="2:41" x14ac:dyDescent="0.25">
      <c r="B549" s="321"/>
      <c r="C549" s="17"/>
      <c r="E549" s="117"/>
      <c r="F549" s="4" t="str">
        <f t="shared" si="248"/>
        <v/>
      </c>
      <c r="G549" s="4" t="str">
        <f t="shared" si="249"/>
        <v/>
      </c>
      <c r="H549" s="4" t="str">
        <f t="shared" si="250"/>
        <v/>
      </c>
      <c r="I549" s="4" t="str">
        <f t="shared" si="251"/>
        <v/>
      </c>
      <c r="J549" s="247"/>
      <c r="K549" s="117"/>
      <c r="L549" s="4" t="str">
        <f t="shared" si="257"/>
        <v/>
      </c>
      <c r="M549" s="4" t="str">
        <f t="shared" si="258"/>
        <v/>
      </c>
      <c r="N549" s="4" t="str">
        <f t="shared" si="259"/>
        <v/>
      </c>
      <c r="O549" s="4" t="str">
        <f t="shared" si="260"/>
        <v/>
      </c>
      <c r="P549" s="247"/>
      <c r="Q549" s="117"/>
      <c r="R549" s="4" t="str">
        <f t="shared" si="261"/>
        <v/>
      </c>
      <c r="S549" s="4" t="str">
        <f t="shared" si="262"/>
        <v/>
      </c>
      <c r="T549" s="4" t="str">
        <f t="shared" si="263"/>
        <v/>
      </c>
      <c r="U549" s="4" t="str">
        <f t="shared" si="264"/>
        <v/>
      </c>
      <c r="V549" s="247"/>
      <c r="W549" s="67" t="str">
        <f t="shared" si="252"/>
        <v/>
      </c>
      <c r="X549" s="118"/>
      <c r="Z549" s="67" t="str">
        <f t="shared" si="253"/>
        <v/>
      </c>
      <c r="AA549" s="13">
        <f t="shared" si="254"/>
        <v>0</v>
      </c>
      <c r="AB549" s="17">
        <f t="shared" si="255"/>
        <v>0</v>
      </c>
      <c r="AC549" s="163" t="str">
        <f t="shared" si="256"/>
        <v/>
      </c>
      <c r="AD549" s="119"/>
      <c r="AE549" s="21"/>
      <c r="AF549" s="121"/>
      <c r="AG549" s="122"/>
      <c r="AH549" s="83" t="str">
        <f t="shared" si="242"/>
        <v/>
      </c>
      <c r="AI549" s="115"/>
      <c r="AJ549" s="116"/>
      <c r="AK549" s="83" t="str">
        <f t="shared" si="243"/>
        <v/>
      </c>
      <c r="AL549" s="85" t="str">
        <f t="shared" si="244"/>
        <v/>
      </c>
      <c r="AM549" s="254" t="str">
        <f t="shared" si="245"/>
        <v/>
      </c>
      <c r="AN549" s="254" t="str">
        <f t="shared" ca="1" si="247"/>
        <v/>
      </c>
      <c r="AO549" s="255" t="str">
        <f t="shared" si="246"/>
        <v/>
      </c>
    </row>
    <row r="550" spans="2:41" x14ac:dyDescent="0.25">
      <c r="B550" s="321"/>
      <c r="C550" s="17"/>
      <c r="E550" s="117"/>
      <c r="F550" s="4" t="str">
        <f t="shared" si="248"/>
        <v/>
      </c>
      <c r="G550" s="4" t="str">
        <f t="shared" si="249"/>
        <v/>
      </c>
      <c r="H550" s="4" t="str">
        <f t="shared" si="250"/>
        <v/>
      </c>
      <c r="I550" s="4" t="str">
        <f t="shared" si="251"/>
        <v/>
      </c>
      <c r="J550" s="247"/>
      <c r="K550" s="117"/>
      <c r="L550" s="4" t="str">
        <f t="shared" si="257"/>
        <v/>
      </c>
      <c r="M550" s="4" t="str">
        <f t="shared" si="258"/>
        <v/>
      </c>
      <c r="N550" s="4" t="str">
        <f t="shared" si="259"/>
        <v/>
      </c>
      <c r="O550" s="4" t="str">
        <f t="shared" si="260"/>
        <v/>
      </c>
      <c r="P550" s="247"/>
      <c r="Q550" s="117"/>
      <c r="R550" s="4" t="str">
        <f t="shared" si="261"/>
        <v/>
      </c>
      <c r="S550" s="4" t="str">
        <f t="shared" si="262"/>
        <v/>
      </c>
      <c r="T550" s="4" t="str">
        <f t="shared" si="263"/>
        <v/>
      </c>
      <c r="U550" s="4" t="str">
        <f t="shared" si="264"/>
        <v/>
      </c>
      <c r="V550" s="247"/>
      <c r="W550" s="67" t="str">
        <f t="shared" si="252"/>
        <v/>
      </c>
      <c r="X550" s="118"/>
      <c r="Z550" s="67" t="str">
        <f t="shared" si="253"/>
        <v/>
      </c>
      <c r="AA550" s="13">
        <f t="shared" si="254"/>
        <v>0</v>
      </c>
      <c r="AB550" s="17">
        <f t="shared" si="255"/>
        <v>0</v>
      </c>
      <c r="AC550" s="163" t="str">
        <f t="shared" si="256"/>
        <v/>
      </c>
      <c r="AD550" s="119"/>
      <c r="AE550" s="21"/>
      <c r="AF550" s="121"/>
      <c r="AG550" s="122"/>
      <c r="AH550" s="83" t="str">
        <f t="shared" si="242"/>
        <v/>
      </c>
      <c r="AI550" s="115"/>
      <c r="AJ550" s="116"/>
      <c r="AK550" s="83" t="str">
        <f t="shared" si="243"/>
        <v/>
      </c>
      <c r="AL550" s="85" t="str">
        <f t="shared" si="244"/>
        <v/>
      </c>
      <c r="AM550" s="254" t="str">
        <f t="shared" si="245"/>
        <v/>
      </c>
      <c r="AN550" s="254" t="str">
        <f t="shared" ca="1" si="247"/>
        <v/>
      </c>
      <c r="AO550" s="255" t="str">
        <f t="shared" si="246"/>
        <v/>
      </c>
    </row>
    <row r="551" spans="2:41" x14ac:dyDescent="0.25">
      <c r="B551" s="321"/>
      <c r="C551" s="17"/>
      <c r="E551" s="117"/>
      <c r="F551" s="4" t="str">
        <f t="shared" si="248"/>
        <v/>
      </c>
      <c r="G551" s="4" t="str">
        <f t="shared" si="249"/>
        <v/>
      </c>
      <c r="H551" s="4" t="str">
        <f t="shared" si="250"/>
        <v/>
      </c>
      <c r="I551" s="4" t="str">
        <f t="shared" si="251"/>
        <v/>
      </c>
      <c r="J551" s="247"/>
      <c r="K551" s="117"/>
      <c r="L551" s="4" t="str">
        <f t="shared" si="257"/>
        <v/>
      </c>
      <c r="M551" s="4" t="str">
        <f t="shared" si="258"/>
        <v/>
      </c>
      <c r="N551" s="4" t="str">
        <f t="shared" si="259"/>
        <v/>
      </c>
      <c r="O551" s="4" t="str">
        <f t="shared" si="260"/>
        <v/>
      </c>
      <c r="P551" s="247"/>
      <c r="Q551" s="117"/>
      <c r="R551" s="4" t="str">
        <f t="shared" si="261"/>
        <v/>
      </c>
      <c r="S551" s="4" t="str">
        <f t="shared" si="262"/>
        <v/>
      </c>
      <c r="T551" s="4" t="str">
        <f t="shared" si="263"/>
        <v/>
      </c>
      <c r="U551" s="4" t="str">
        <f t="shared" si="264"/>
        <v/>
      </c>
      <c r="V551" s="247"/>
      <c r="W551" s="67" t="str">
        <f t="shared" si="252"/>
        <v/>
      </c>
      <c r="X551" s="118"/>
      <c r="Z551" s="67" t="str">
        <f t="shared" si="253"/>
        <v/>
      </c>
      <c r="AA551" s="13">
        <f t="shared" si="254"/>
        <v>0</v>
      </c>
      <c r="AB551" s="17">
        <f t="shared" si="255"/>
        <v>0</v>
      </c>
      <c r="AC551" s="163" t="str">
        <f t="shared" si="256"/>
        <v/>
      </c>
      <c r="AD551" s="119"/>
      <c r="AE551" s="21"/>
      <c r="AF551" s="121"/>
      <c r="AG551" s="122"/>
      <c r="AH551" s="83" t="str">
        <f t="shared" si="242"/>
        <v/>
      </c>
      <c r="AI551" s="115"/>
      <c r="AJ551" s="116"/>
      <c r="AK551" s="83" t="str">
        <f t="shared" si="243"/>
        <v/>
      </c>
      <c r="AL551" s="85" t="str">
        <f t="shared" si="244"/>
        <v/>
      </c>
      <c r="AM551" s="254" t="str">
        <f t="shared" si="245"/>
        <v/>
      </c>
      <c r="AN551" s="254" t="str">
        <f t="shared" ca="1" si="247"/>
        <v/>
      </c>
      <c r="AO551" s="255" t="str">
        <f t="shared" si="246"/>
        <v/>
      </c>
    </row>
    <row r="552" spans="2:41" x14ac:dyDescent="0.25">
      <c r="B552" s="321"/>
      <c r="C552" s="17"/>
      <c r="E552" s="117"/>
      <c r="F552" s="4" t="str">
        <f t="shared" si="248"/>
        <v/>
      </c>
      <c r="G552" s="4" t="str">
        <f t="shared" si="249"/>
        <v/>
      </c>
      <c r="H552" s="4" t="str">
        <f t="shared" si="250"/>
        <v/>
      </c>
      <c r="I552" s="4" t="str">
        <f t="shared" si="251"/>
        <v/>
      </c>
      <c r="J552" s="247"/>
      <c r="K552" s="117"/>
      <c r="L552" s="4" t="str">
        <f t="shared" si="257"/>
        <v/>
      </c>
      <c r="M552" s="4" t="str">
        <f t="shared" si="258"/>
        <v/>
      </c>
      <c r="N552" s="4" t="str">
        <f t="shared" si="259"/>
        <v/>
      </c>
      <c r="O552" s="4" t="str">
        <f t="shared" si="260"/>
        <v/>
      </c>
      <c r="P552" s="247"/>
      <c r="Q552" s="117"/>
      <c r="R552" s="4" t="str">
        <f t="shared" si="261"/>
        <v/>
      </c>
      <c r="S552" s="4" t="str">
        <f t="shared" si="262"/>
        <v/>
      </c>
      <c r="T552" s="4" t="str">
        <f t="shared" si="263"/>
        <v/>
      </c>
      <c r="U552" s="4" t="str">
        <f t="shared" si="264"/>
        <v/>
      </c>
      <c r="V552" s="247"/>
      <c r="W552" s="67" t="str">
        <f t="shared" si="252"/>
        <v/>
      </c>
      <c r="X552" s="118"/>
      <c r="Z552" s="67" t="str">
        <f t="shared" si="253"/>
        <v/>
      </c>
      <c r="AA552" s="13">
        <f t="shared" si="254"/>
        <v>0</v>
      </c>
      <c r="AB552" s="17">
        <f t="shared" si="255"/>
        <v>0</v>
      </c>
      <c r="AC552" s="163" t="str">
        <f t="shared" si="256"/>
        <v/>
      </c>
      <c r="AD552" s="119"/>
      <c r="AE552" s="21"/>
      <c r="AF552" s="121"/>
      <c r="AG552" s="122"/>
      <c r="AH552" s="83" t="str">
        <f t="shared" si="242"/>
        <v/>
      </c>
      <c r="AI552" s="115"/>
      <c r="AJ552" s="116"/>
      <c r="AK552" s="83" t="str">
        <f t="shared" si="243"/>
        <v/>
      </c>
      <c r="AL552" s="85" t="str">
        <f t="shared" si="244"/>
        <v/>
      </c>
      <c r="AM552" s="254" t="str">
        <f t="shared" si="245"/>
        <v/>
      </c>
      <c r="AN552" s="254" t="str">
        <f t="shared" ca="1" si="247"/>
        <v/>
      </c>
      <c r="AO552" s="255" t="str">
        <f t="shared" si="246"/>
        <v/>
      </c>
    </row>
    <row r="553" spans="2:41" x14ac:dyDescent="0.25">
      <c r="B553" s="321"/>
      <c r="C553" s="17"/>
      <c r="E553" s="117"/>
      <c r="F553" s="4" t="str">
        <f t="shared" si="248"/>
        <v/>
      </c>
      <c r="G553" s="4" t="str">
        <f t="shared" si="249"/>
        <v/>
      </c>
      <c r="H553" s="4" t="str">
        <f t="shared" si="250"/>
        <v/>
      </c>
      <c r="I553" s="4" t="str">
        <f t="shared" si="251"/>
        <v/>
      </c>
      <c r="J553" s="247"/>
      <c r="K553" s="117"/>
      <c r="L553" s="4" t="str">
        <f t="shared" si="257"/>
        <v/>
      </c>
      <c r="M553" s="4" t="str">
        <f t="shared" si="258"/>
        <v/>
      </c>
      <c r="N553" s="4" t="str">
        <f t="shared" si="259"/>
        <v/>
      </c>
      <c r="O553" s="4" t="str">
        <f t="shared" si="260"/>
        <v/>
      </c>
      <c r="P553" s="247"/>
      <c r="Q553" s="117"/>
      <c r="R553" s="4" t="str">
        <f t="shared" si="261"/>
        <v/>
      </c>
      <c r="S553" s="4" t="str">
        <f t="shared" si="262"/>
        <v/>
      </c>
      <c r="T553" s="4" t="str">
        <f t="shared" si="263"/>
        <v/>
      </c>
      <c r="U553" s="4" t="str">
        <f t="shared" si="264"/>
        <v/>
      </c>
      <c r="V553" s="247"/>
      <c r="W553" s="67" t="str">
        <f t="shared" si="252"/>
        <v/>
      </c>
      <c r="X553" s="118"/>
      <c r="Z553" s="67" t="str">
        <f t="shared" si="253"/>
        <v/>
      </c>
      <c r="AA553" s="13">
        <f t="shared" si="254"/>
        <v>0</v>
      </c>
      <c r="AB553" s="17">
        <f t="shared" si="255"/>
        <v>0</v>
      </c>
      <c r="AC553" s="163" t="str">
        <f t="shared" si="256"/>
        <v/>
      </c>
      <c r="AD553" s="119"/>
      <c r="AE553" s="21"/>
      <c r="AF553" s="121"/>
      <c r="AG553" s="122"/>
      <c r="AH553" s="83" t="str">
        <f t="shared" si="242"/>
        <v/>
      </c>
      <c r="AI553" s="115"/>
      <c r="AJ553" s="116"/>
      <c r="AK553" s="83" t="str">
        <f t="shared" si="243"/>
        <v/>
      </c>
      <c r="AL553" s="85" t="str">
        <f t="shared" si="244"/>
        <v/>
      </c>
      <c r="AM553" s="254" t="str">
        <f t="shared" si="245"/>
        <v/>
      </c>
      <c r="AN553" s="254" t="str">
        <f t="shared" ca="1" si="247"/>
        <v/>
      </c>
      <c r="AO553" s="255" t="str">
        <f t="shared" si="246"/>
        <v/>
      </c>
    </row>
    <row r="554" spans="2:41" x14ac:dyDescent="0.25">
      <c r="B554" s="321"/>
      <c r="C554" s="17"/>
      <c r="E554" s="117"/>
      <c r="F554" s="4" t="str">
        <f t="shared" si="248"/>
        <v/>
      </c>
      <c r="G554" s="4" t="str">
        <f t="shared" si="249"/>
        <v/>
      </c>
      <c r="H554" s="4" t="str">
        <f t="shared" si="250"/>
        <v/>
      </c>
      <c r="I554" s="4" t="str">
        <f t="shared" si="251"/>
        <v/>
      </c>
      <c r="J554" s="247"/>
      <c r="K554" s="117"/>
      <c r="L554" s="4" t="str">
        <f t="shared" si="257"/>
        <v/>
      </c>
      <c r="M554" s="4" t="str">
        <f t="shared" si="258"/>
        <v/>
      </c>
      <c r="N554" s="4" t="str">
        <f t="shared" si="259"/>
        <v/>
      </c>
      <c r="O554" s="4" t="str">
        <f t="shared" si="260"/>
        <v/>
      </c>
      <c r="P554" s="247"/>
      <c r="Q554" s="117"/>
      <c r="R554" s="4" t="str">
        <f t="shared" si="261"/>
        <v/>
      </c>
      <c r="S554" s="4" t="str">
        <f t="shared" si="262"/>
        <v/>
      </c>
      <c r="T554" s="4" t="str">
        <f t="shared" si="263"/>
        <v/>
      </c>
      <c r="U554" s="4" t="str">
        <f t="shared" si="264"/>
        <v/>
      </c>
      <c r="V554" s="247"/>
      <c r="W554" s="67" t="str">
        <f t="shared" si="252"/>
        <v/>
      </c>
      <c r="X554" s="118"/>
      <c r="Z554" s="67" t="str">
        <f t="shared" si="253"/>
        <v/>
      </c>
      <c r="AA554" s="13">
        <f t="shared" si="254"/>
        <v>0</v>
      </c>
      <c r="AB554" s="17">
        <f t="shared" si="255"/>
        <v>0</v>
      </c>
      <c r="AC554" s="163" t="str">
        <f t="shared" si="256"/>
        <v/>
      </c>
      <c r="AD554" s="119"/>
      <c r="AE554" s="21"/>
      <c r="AF554" s="121"/>
      <c r="AG554" s="122"/>
      <c r="AH554" s="83" t="str">
        <f t="shared" si="242"/>
        <v/>
      </c>
      <c r="AI554" s="115"/>
      <c r="AJ554" s="116"/>
      <c r="AK554" s="83" t="str">
        <f t="shared" si="243"/>
        <v/>
      </c>
      <c r="AL554" s="85" t="str">
        <f t="shared" si="244"/>
        <v/>
      </c>
      <c r="AM554" s="254" t="str">
        <f t="shared" si="245"/>
        <v/>
      </c>
      <c r="AN554" s="254" t="str">
        <f t="shared" ca="1" si="247"/>
        <v/>
      </c>
      <c r="AO554" s="255" t="str">
        <f t="shared" si="246"/>
        <v/>
      </c>
    </row>
    <row r="555" spans="2:41" x14ac:dyDescent="0.25">
      <c r="B555" s="321"/>
      <c r="C555" s="17"/>
      <c r="E555" s="117"/>
      <c r="F555" s="4" t="str">
        <f t="shared" si="248"/>
        <v/>
      </c>
      <c r="G555" s="4" t="str">
        <f t="shared" si="249"/>
        <v/>
      </c>
      <c r="H555" s="4" t="str">
        <f t="shared" si="250"/>
        <v/>
      </c>
      <c r="I555" s="4" t="str">
        <f t="shared" si="251"/>
        <v/>
      </c>
      <c r="J555" s="247"/>
      <c r="K555" s="117"/>
      <c r="L555" s="4" t="str">
        <f t="shared" si="257"/>
        <v/>
      </c>
      <c r="M555" s="4" t="str">
        <f t="shared" si="258"/>
        <v/>
      </c>
      <c r="N555" s="4" t="str">
        <f t="shared" si="259"/>
        <v/>
      </c>
      <c r="O555" s="4" t="str">
        <f t="shared" si="260"/>
        <v/>
      </c>
      <c r="P555" s="247"/>
      <c r="Q555" s="117"/>
      <c r="R555" s="4" t="str">
        <f t="shared" si="261"/>
        <v/>
      </c>
      <c r="S555" s="4" t="str">
        <f t="shared" si="262"/>
        <v/>
      </c>
      <c r="T555" s="4" t="str">
        <f t="shared" si="263"/>
        <v/>
      </c>
      <c r="U555" s="4" t="str">
        <f t="shared" si="264"/>
        <v/>
      </c>
      <c r="V555" s="247"/>
      <c r="W555" s="67" t="str">
        <f t="shared" si="252"/>
        <v/>
      </c>
      <c r="X555" s="118"/>
      <c r="Z555" s="67" t="str">
        <f t="shared" si="253"/>
        <v/>
      </c>
      <c r="AA555" s="13">
        <f t="shared" si="254"/>
        <v>0</v>
      </c>
      <c r="AB555" s="17">
        <f t="shared" si="255"/>
        <v>0</v>
      </c>
      <c r="AC555" s="163" t="str">
        <f t="shared" si="256"/>
        <v/>
      </c>
      <c r="AD555" s="119"/>
      <c r="AE555" s="21"/>
      <c r="AF555" s="121"/>
      <c r="AG555" s="122"/>
      <c r="AH555" s="83" t="str">
        <f t="shared" ref="AH555:AH618" si="265">IF(AG555&lt;&gt;0,((AF555+AG555)-(AD555+AE555)),"")</f>
        <v/>
      </c>
      <c r="AI555" s="115"/>
      <c r="AJ555" s="116"/>
      <c r="AK555" s="83" t="str">
        <f t="shared" ref="AK555:AK618" si="266">IF(AJ555&lt;&gt;0,((AI555+AJ555)-(AF555+AG555)),"")</f>
        <v/>
      </c>
      <c r="AL555" s="85" t="str">
        <f t="shared" ref="AL555:AL618" si="267">IFERROR((AH555+AK555),"")</f>
        <v/>
      </c>
      <c r="AM555" s="254" t="str">
        <f t="shared" ref="AM555:AM618" si="268">IF(AK555="","",AI555+AJ555)</f>
        <v/>
      </c>
      <c r="AN555" s="254" t="str">
        <f t="shared" ca="1" si="247"/>
        <v/>
      </c>
      <c r="AO555" s="255" t="str">
        <f t="shared" ref="AO555:AO618" si="269">IF(AK555="","",AN555-AM555)</f>
        <v/>
      </c>
    </row>
    <row r="556" spans="2:41" x14ac:dyDescent="0.25">
      <c r="B556" s="321"/>
      <c r="C556" s="17"/>
      <c r="E556" s="117"/>
      <c r="F556" s="4" t="str">
        <f t="shared" si="248"/>
        <v/>
      </c>
      <c r="G556" s="4" t="str">
        <f t="shared" si="249"/>
        <v/>
      </c>
      <c r="H556" s="4" t="str">
        <f t="shared" si="250"/>
        <v/>
      </c>
      <c r="I556" s="4" t="str">
        <f t="shared" si="251"/>
        <v/>
      </c>
      <c r="J556" s="247"/>
      <c r="K556" s="117"/>
      <c r="L556" s="4" t="str">
        <f t="shared" si="257"/>
        <v/>
      </c>
      <c r="M556" s="4" t="str">
        <f t="shared" si="258"/>
        <v/>
      </c>
      <c r="N556" s="4" t="str">
        <f t="shared" si="259"/>
        <v/>
      </c>
      <c r="O556" s="4" t="str">
        <f t="shared" si="260"/>
        <v/>
      </c>
      <c r="P556" s="247"/>
      <c r="Q556" s="117"/>
      <c r="R556" s="4" t="str">
        <f t="shared" si="261"/>
        <v/>
      </c>
      <c r="S556" s="4" t="str">
        <f t="shared" si="262"/>
        <v/>
      </c>
      <c r="T556" s="4" t="str">
        <f t="shared" si="263"/>
        <v/>
      </c>
      <c r="U556" s="4" t="str">
        <f t="shared" si="264"/>
        <v/>
      </c>
      <c r="V556" s="247"/>
      <c r="W556" s="67" t="str">
        <f t="shared" si="252"/>
        <v/>
      </c>
      <c r="X556" s="118"/>
      <c r="Z556" s="67" t="str">
        <f t="shared" si="253"/>
        <v/>
      </c>
      <c r="AA556" s="13">
        <f t="shared" si="254"/>
        <v>0</v>
      </c>
      <c r="AB556" s="17">
        <f t="shared" si="255"/>
        <v>0</v>
      </c>
      <c r="AC556" s="163" t="str">
        <f t="shared" si="256"/>
        <v/>
      </c>
      <c r="AD556" s="119"/>
      <c r="AE556" s="21"/>
      <c r="AF556" s="121"/>
      <c r="AG556" s="122"/>
      <c r="AH556" s="83" t="str">
        <f t="shared" si="265"/>
        <v/>
      </c>
      <c r="AI556" s="115"/>
      <c r="AJ556" s="116"/>
      <c r="AK556" s="83" t="str">
        <f t="shared" si="266"/>
        <v/>
      </c>
      <c r="AL556" s="85" t="str">
        <f t="shared" si="267"/>
        <v/>
      </c>
      <c r="AM556" s="254" t="str">
        <f t="shared" si="268"/>
        <v/>
      </c>
      <c r="AN556" s="254" t="str">
        <f t="shared" ca="1" si="247"/>
        <v/>
      </c>
      <c r="AO556" s="255" t="str">
        <f t="shared" si="269"/>
        <v/>
      </c>
    </row>
    <row r="557" spans="2:41" x14ac:dyDescent="0.25">
      <c r="B557" s="321"/>
      <c r="C557" s="17"/>
      <c r="E557" s="117"/>
      <c r="F557" s="4" t="str">
        <f t="shared" si="248"/>
        <v/>
      </c>
      <c r="G557" s="4" t="str">
        <f t="shared" si="249"/>
        <v/>
      </c>
      <c r="H557" s="4" t="str">
        <f t="shared" si="250"/>
        <v/>
      </c>
      <c r="I557" s="4" t="str">
        <f t="shared" si="251"/>
        <v/>
      </c>
      <c r="J557" s="247"/>
      <c r="K557" s="117"/>
      <c r="L557" s="4" t="str">
        <f t="shared" si="257"/>
        <v/>
      </c>
      <c r="M557" s="4" t="str">
        <f t="shared" si="258"/>
        <v/>
      </c>
      <c r="N557" s="4" t="str">
        <f t="shared" si="259"/>
        <v/>
      </c>
      <c r="O557" s="4" t="str">
        <f t="shared" si="260"/>
        <v/>
      </c>
      <c r="P557" s="247"/>
      <c r="Q557" s="117"/>
      <c r="R557" s="4" t="str">
        <f t="shared" si="261"/>
        <v/>
      </c>
      <c r="S557" s="4" t="str">
        <f t="shared" si="262"/>
        <v/>
      </c>
      <c r="T557" s="4" t="str">
        <f t="shared" si="263"/>
        <v/>
      </c>
      <c r="U557" s="4" t="str">
        <f t="shared" si="264"/>
        <v/>
      </c>
      <c r="V557" s="247"/>
      <c r="W557" s="67" t="str">
        <f t="shared" si="252"/>
        <v/>
      </c>
      <c r="X557" s="118"/>
      <c r="Z557" s="67" t="str">
        <f t="shared" si="253"/>
        <v/>
      </c>
      <c r="AA557" s="13">
        <f t="shared" si="254"/>
        <v>0</v>
      </c>
      <c r="AB557" s="17">
        <f t="shared" si="255"/>
        <v>0</v>
      </c>
      <c r="AC557" s="163" t="str">
        <f t="shared" si="256"/>
        <v/>
      </c>
      <c r="AD557" s="119"/>
      <c r="AE557" s="21"/>
      <c r="AF557" s="121"/>
      <c r="AG557" s="122"/>
      <c r="AH557" s="83" t="str">
        <f t="shared" si="265"/>
        <v/>
      </c>
      <c r="AI557" s="115"/>
      <c r="AJ557" s="116"/>
      <c r="AK557" s="83" t="str">
        <f t="shared" si="266"/>
        <v/>
      </c>
      <c r="AL557" s="85" t="str">
        <f t="shared" si="267"/>
        <v/>
      </c>
      <c r="AM557" s="254" t="str">
        <f t="shared" si="268"/>
        <v/>
      </c>
      <c r="AN557" s="254" t="str">
        <f t="shared" ca="1" si="247"/>
        <v/>
      </c>
      <c r="AO557" s="255" t="str">
        <f t="shared" si="269"/>
        <v/>
      </c>
    </row>
    <row r="558" spans="2:41" x14ac:dyDescent="0.25">
      <c r="B558" s="321"/>
      <c r="C558" s="17"/>
      <c r="E558" s="117"/>
      <c r="F558" s="4" t="str">
        <f t="shared" si="248"/>
        <v/>
      </c>
      <c r="G558" s="4" t="str">
        <f t="shared" si="249"/>
        <v/>
      </c>
      <c r="H558" s="4" t="str">
        <f t="shared" si="250"/>
        <v/>
      </c>
      <c r="I558" s="4" t="str">
        <f t="shared" si="251"/>
        <v/>
      </c>
      <c r="J558" s="247"/>
      <c r="K558" s="117"/>
      <c r="L558" s="4" t="str">
        <f t="shared" si="257"/>
        <v/>
      </c>
      <c r="M558" s="4" t="str">
        <f t="shared" si="258"/>
        <v/>
      </c>
      <c r="N558" s="4" t="str">
        <f t="shared" si="259"/>
        <v/>
      </c>
      <c r="O558" s="4" t="str">
        <f t="shared" si="260"/>
        <v/>
      </c>
      <c r="P558" s="247"/>
      <c r="Q558" s="117"/>
      <c r="R558" s="4" t="str">
        <f t="shared" si="261"/>
        <v/>
      </c>
      <c r="S558" s="4" t="str">
        <f t="shared" si="262"/>
        <v/>
      </c>
      <c r="T558" s="4" t="str">
        <f t="shared" si="263"/>
        <v/>
      </c>
      <c r="U558" s="4" t="str">
        <f t="shared" si="264"/>
        <v/>
      </c>
      <c r="V558" s="247"/>
      <c r="W558" s="67" t="str">
        <f t="shared" si="252"/>
        <v/>
      </c>
      <c r="X558" s="118"/>
      <c r="Z558" s="67" t="str">
        <f t="shared" si="253"/>
        <v/>
      </c>
      <c r="AA558" s="13">
        <f t="shared" si="254"/>
        <v>0</v>
      </c>
      <c r="AB558" s="17">
        <f t="shared" si="255"/>
        <v>0</v>
      </c>
      <c r="AC558" s="163" t="str">
        <f t="shared" si="256"/>
        <v/>
      </c>
      <c r="AD558" s="119"/>
      <c r="AE558" s="21"/>
      <c r="AF558" s="121"/>
      <c r="AG558" s="122"/>
      <c r="AH558" s="83" t="str">
        <f t="shared" si="265"/>
        <v/>
      </c>
      <c r="AI558" s="115"/>
      <c r="AJ558" s="116"/>
      <c r="AK558" s="83" t="str">
        <f t="shared" si="266"/>
        <v/>
      </c>
      <c r="AL558" s="85" t="str">
        <f t="shared" si="267"/>
        <v/>
      </c>
      <c r="AM558" s="254" t="str">
        <f t="shared" si="268"/>
        <v/>
      </c>
      <c r="AN558" s="254" t="str">
        <f t="shared" ca="1" si="247"/>
        <v/>
      </c>
      <c r="AO558" s="255" t="str">
        <f t="shared" si="269"/>
        <v/>
      </c>
    </row>
    <row r="559" spans="2:41" x14ac:dyDescent="0.25">
      <c r="B559" s="321"/>
      <c r="C559" s="17"/>
      <c r="E559" s="117"/>
      <c r="F559" s="4" t="str">
        <f t="shared" si="248"/>
        <v/>
      </c>
      <c r="G559" s="4" t="str">
        <f t="shared" si="249"/>
        <v/>
      </c>
      <c r="H559" s="4" t="str">
        <f t="shared" si="250"/>
        <v/>
      </c>
      <c r="I559" s="4" t="str">
        <f t="shared" si="251"/>
        <v/>
      </c>
      <c r="J559" s="247"/>
      <c r="K559" s="117"/>
      <c r="L559" s="4" t="str">
        <f t="shared" si="257"/>
        <v/>
      </c>
      <c r="M559" s="4" t="str">
        <f t="shared" si="258"/>
        <v/>
      </c>
      <c r="N559" s="4" t="str">
        <f t="shared" si="259"/>
        <v/>
      </c>
      <c r="O559" s="4" t="str">
        <f t="shared" si="260"/>
        <v/>
      </c>
      <c r="P559" s="247"/>
      <c r="Q559" s="117"/>
      <c r="R559" s="4" t="str">
        <f t="shared" si="261"/>
        <v/>
      </c>
      <c r="S559" s="4" t="str">
        <f t="shared" si="262"/>
        <v/>
      </c>
      <c r="T559" s="4" t="str">
        <f t="shared" si="263"/>
        <v/>
      </c>
      <c r="U559" s="4" t="str">
        <f t="shared" si="264"/>
        <v/>
      </c>
      <c r="V559" s="247"/>
      <c r="W559" s="67" t="str">
        <f t="shared" si="252"/>
        <v/>
      </c>
      <c r="X559" s="118"/>
      <c r="Z559" s="67" t="str">
        <f t="shared" si="253"/>
        <v/>
      </c>
      <c r="AA559" s="13">
        <f t="shared" si="254"/>
        <v>0</v>
      </c>
      <c r="AB559" s="17">
        <f t="shared" si="255"/>
        <v>0</v>
      </c>
      <c r="AC559" s="163" t="str">
        <f t="shared" si="256"/>
        <v/>
      </c>
      <c r="AD559" s="119"/>
      <c r="AE559" s="21"/>
      <c r="AF559" s="121"/>
      <c r="AG559" s="122"/>
      <c r="AH559" s="83" t="str">
        <f t="shared" si="265"/>
        <v/>
      </c>
      <c r="AI559" s="115"/>
      <c r="AJ559" s="116"/>
      <c r="AK559" s="83" t="str">
        <f t="shared" si="266"/>
        <v/>
      </c>
      <c r="AL559" s="85" t="str">
        <f t="shared" si="267"/>
        <v/>
      </c>
      <c r="AM559" s="254" t="str">
        <f t="shared" si="268"/>
        <v/>
      </c>
      <c r="AN559" s="254" t="str">
        <f t="shared" ca="1" si="247"/>
        <v/>
      </c>
      <c r="AO559" s="255" t="str">
        <f t="shared" si="269"/>
        <v/>
      </c>
    </row>
    <row r="560" spans="2:41" x14ac:dyDescent="0.25">
      <c r="B560" s="321"/>
      <c r="C560" s="17"/>
      <c r="E560" s="117"/>
      <c r="F560" s="4" t="str">
        <f t="shared" si="248"/>
        <v/>
      </c>
      <c r="G560" s="4" t="str">
        <f t="shared" si="249"/>
        <v/>
      </c>
      <c r="H560" s="4" t="str">
        <f t="shared" si="250"/>
        <v/>
      </c>
      <c r="I560" s="4" t="str">
        <f t="shared" si="251"/>
        <v/>
      </c>
      <c r="J560" s="247"/>
      <c r="K560" s="117"/>
      <c r="L560" s="4" t="str">
        <f t="shared" si="257"/>
        <v/>
      </c>
      <c r="M560" s="4" t="str">
        <f t="shared" si="258"/>
        <v/>
      </c>
      <c r="N560" s="4" t="str">
        <f t="shared" si="259"/>
        <v/>
      </c>
      <c r="O560" s="4" t="str">
        <f t="shared" si="260"/>
        <v/>
      </c>
      <c r="P560" s="247"/>
      <c r="Q560" s="117"/>
      <c r="R560" s="4" t="str">
        <f t="shared" si="261"/>
        <v/>
      </c>
      <c r="S560" s="4" t="str">
        <f t="shared" si="262"/>
        <v/>
      </c>
      <c r="T560" s="4" t="str">
        <f t="shared" si="263"/>
        <v/>
      </c>
      <c r="U560" s="4" t="str">
        <f t="shared" si="264"/>
        <v/>
      </c>
      <c r="V560" s="247"/>
      <c r="W560" s="67" t="str">
        <f t="shared" si="252"/>
        <v/>
      </c>
      <c r="X560" s="118"/>
      <c r="Z560" s="67" t="str">
        <f t="shared" si="253"/>
        <v/>
      </c>
      <c r="AA560" s="13">
        <f t="shared" si="254"/>
        <v>0</v>
      </c>
      <c r="AB560" s="17">
        <f t="shared" si="255"/>
        <v>0</v>
      </c>
      <c r="AC560" s="163" t="str">
        <f t="shared" si="256"/>
        <v/>
      </c>
      <c r="AD560" s="119"/>
      <c r="AE560" s="21"/>
      <c r="AF560" s="121"/>
      <c r="AG560" s="122"/>
      <c r="AH560" s="83" t="str">
        <f t="shared" si="265"/>
        <v/>
      </c>
      <c r="AI560" s="115"/>
      <c r="AJ560" s="116"/>
      <c r="AK560" s="83" t="str">
        <f t="shared" si="266"/>
        <v/>
      </c>
      <c r="AL560" s="85" t="str">
        <f t="shared" si="267"/>
        <v/>
      </c>
      <c r="AM560" s="254" t="str">
        <f t="shared" si="268"/>
        <v/>
      </c>
      <c r="AN560" s="254" t="str">
        <f t="shared" ca="1" si="247"/>
        <v/>
      </c>
      <c r="AO560" s="255" t="str">
        <f t="shared" si="269"/>
        <v/>
      </c>
    </row>
    <row r="561" spans="2:41" x14ac:dyDescent="0.25">
      <c r="B561" s="321"/>
      <c r="C561" s="17"/>
      <c r="E561" s="117"/>
      <c r="F561" s="4" t="str">
        <f t="shared" si="248"/>
        <v/>
      </c>
      <c r="G561" s="4" t="str">
        <f t="shared" si="249"/>
        <v/>
      </c>
      <c r="H561" s="4" t="str">
        <f t="shared" si="250"/>
        <v/>
      </c>
      <c r="I561" s="4" t="str">
        <f t="shared" si="251"/>
        <v/>
      </c>
      <c r="J561" s="247"/>
      <c r="K561" s="117"/>
      <c r="L561" s="4" t="str">
        <f t="shared" si="257"/>
        <v/>
      </c>
      <c r="M561" s="4" t="str">
        <f t="shared" si="258"/>
        <v/>
      </c>
      <c r="N561" s="4" t="str">
        <f t="shared" si="259"/>
        <v/>
      </c>
      <c r="O561" s="4" t="str">
        <f t="shared" si="260"/>
        <v/>
      </c>
      <c r="P561" s="247"/>
      <c r="Q561" s="117"/>
      <c r="R561" s="4" t="str">
        <f t="shared" si="261"/>
        <v/>
      </c>
      <c r="S561" s="4" t="str">
        <f t="shared" si="262"/>
        <v/>
      </c>
      <c r="T561" s="4" t="str">
        <f t="shared" si="263"/>
        <v/>
      </c>
      <c r="U561" s="4" t="str">
        <f t="shared" si="264"/>
        <v/>
      </c>
      <c r="V561" s="247"/>
      <c r="W561" s="67" t="str">
        <f t="shared" si="252"/>
        <v/>
      </c>
      <c r="X561" s="118"/>
      <c r="Z561" s="67" t="str">
        <f t="shared" si="253"/>
        <v/>
      </c>
      <c r="AA561" s="13">
        <f t="shared" si="254"/>
        <v>0</v>
      </c>
      <c r="AB561" s="17">
        <f t="shared" si="255"/>
        <v>0</v>
      </c>
      <c r="AC561" s="163" t="str">
        <f t="shared" si="256"/>
        <v/>
      </c>
      <c r="AD561" s="119"/>
      <c r="AE561" s="21"/>
      <c r="AF561" s="121"/>
      <c r="AG561" s="122"/>
      <c r="AH561" s="83" t="str">
        <f t="shared" si="265"/>
        <v/>
      </c>
      <c r="AI561" s="115"/>
      <c r="AJ561" s="116"/>
      <c r="AK561" s="83" t="str">
        <f t="shared" si="266"/>
        <v/>
      </c>
      <c r="AL561" s="85" t="str">
        <f t="shared" si="267"/>
        <v/>
      </c>
      <c r="AM561" s="254" t="str">
        <f t="shared" si="268"/>
        <v/>
      </c>
      <c r="AN561" s="254" t="str">
        <f t="shared" ca="1" si="247"/>
        <v/>
      </c>
      <c r="AO561" s="255" t="str">
        <f t="shared" si="269"/>
        <v/>
      </c>
    </row>
    <row r="562" spans="2:41" x14ac:dyDescent="0.25">
      <c r="B562" s="321"/>
      <c r="C562" s="17"/>
      <c r="E562" s="117"/>
      <c r="F562" s="4" t="str">
        <f t="shared" si="248"/>
        <v/>
      </c>
      <c r="G562" s="4" t="str">
        <f t="shared" si="249"/>
        <v/>
      </c>
      <c r="H562" s="4" t="str">
        <f t="shared" si="250"/>
        <v/>
      </c>
      <c r="I562" s="4" t="str">
        <f t="shared" si="251"/>
        <v/>
      </c>
      <c r="J562" s="247"/>
      <c r="K562" s="117"/>
      <c r="L562" s="4" t="str">
        <f t="shared" si="257"/>
        <v/>
      </c>
      <c r="M562" s="4" t="str">
        <f t="shared" si="258"/>
        <v/>
      </c>
      <c r="N562" s="4" t="str">
        <f t="shared" si="259"/>
        <v/>
      </c>
      <c r="O562" s="4" t="str">
        <f t="shared" si="260"/>
        <v/>
      </c>
      <c r="P562" s="247"/>
      <c r="Q562" s="117"/>
      <c r="R562" s="4" t="str">
        <f t="shared" si="261"/>
        <v/>
      </c>
      <c r="S562" s="4" t="str">
        <f t="shared" si="262"/>
        <v/>
      </c>
      <c r="T562" s="4" t="str">
        <f t="shared" si="263"/>
        <v/>
      </c>
      <c r="U562" s="4" t="str">
        <f t="shared" si="264"/>
        <v/>
      </c>
      <c r="V562" s="247"/>
      <c r="W562" s="67" t="str">
        <f t="shared" si="252"/>
        <v/>
      </c>
      <c r="X562" s="118"/>
      <c r="Z562" s="67" t="str">
        <f t="shared" si="253"/>
        <v/>
      </c>
      <c r="AA562" s="13">
        <f t="shared" si="254"/>
        <v>0</v>
      </c>
      <c r="AB562" s="17">
        <f t="shared" si="255"/>
        <v>0</v>
      </c>
      <c r="AC562" s="163" t="str">
        <f t="shared" si="256"/>
        <v/>
      </c>
      <c r="AD562" s="119"/>
      <c r="AE562" s="21"/>
      <c r="AF562" s="121"/>
      <c r="AG562" s="122"/>
      <c r="AH562" s="83" t="str">
        <f t="shared" si="265"/>
        <v/>
      </c>
      <c r="AI562" s="115"/>
      <c r="AJ562" s="116"/>
      <c r="AK562" s="83" t="str">
        <f t="shared" si="266"/>
        <v/>
      </c>
      <c r="AL562" s="85" t="str">
        <f t="shared" si="267"/>
        <v/>
      </c>
      <c r="AM562" s="254" t="str">
        <f t="shared" si="268"/>
        <v/>
      </c>
      <c r="AN562" s="254" t="str">
        <f t="shared" ca="1" si="247"/>
        <v/>
      </c>
      <c r="AO562" s="255" t="str">
        <f t="shared" si="269"/>
        <v/>
      </c>
    </row>
    <row r="563" spans="2:41" x14ac:dyDescent="0.25">
      <c r="B563" s="321"/>
      <c r="C563" s="17"/>
      <c r="E563" s="117"/>
      <c r="F563" s="4" t="str">
        <f t="shared" si="248"/>
        <v/>
      </c>
      <c r="G563" s="4" t="str">
        <f t="shared" si="249"/>
        <v/>
      </c>
      <c r="H563" s="4" t="str">
        <f t="shared" si="250"/>
        <v/>
      </c>
      <c r="I563" s="4" t="str">
        <f t="shared" si="251"/>
        <v/>
      </c>
      <c r="J563" s="247"/>
      <c r="K563" s="117"/>
      <c r="L563" s="4" t="str">
        <f t="shared" si="257"/>
        <v/>
      </c>
      <c r="M563" s="4" t="str">
        <f t="shared" si="258"/>
        <v/>
      </c>
      <c r="N563" s="4" t="str">
        <f t="shared" si="259"/>
        <v/>
      </c>
      <c r="O563" s="4" t="str">
        <f t="shared" si="260"/>
        <v/>
      </c>
      <c r="P563" s="247"/>
      <c r="Q563" s="117"/>
      <c r="R563" s="4" t="str">
        <f t="shared" si="261"/>
        <v/>
      </c>
      <c r="S563" s="4" t="str">
        <f t="shared" si="262"/>
        <v/>
      </c>
      <c r="T563" s="4" t="str">
        <f t="shared" si="263"/>
        <v/>
      </c>
      <c r="U563" s="4" t="str">
        <f t="shared" si="264"/>
        <v/>
      </c>
      <c r="V563" s="247"/>
      <c r="W563" s="67" t="str">
        <f t="shared" si="252"/>
        <v/>
      </c>
      <c r="X563" s="118"/>
      <c r="Z563" s="67" t="str">
        <f t="shared" si="253"/>
        <v/>
      </c>
      <c r="AA563" s="13">
        <f t="shared" si="254"/>
        <v>0</v>
      </c>
      <c r="AB563" s="17">
        <f t="shared" si="255"/>
        <v>0</v>
      </c>
      <c r="AC563" s="163" t="str">
        <f t="shared" si="256"/>
        <v/>
      </c>
      <c r="AD563" s="119"/>
      <c r="AE563" s="21"/>
      <c r="AF563" s="121"/>
      <c r="AG563" s="122"/>
      <c r="AH563" s="83" t="str">
        <f t="shared" si="265"/>
        <v/>
      </c>
      <c r="AI563" s="115"/>
      <c r="AJ563" s="116"/>
      <c r="AK563" s="83" t="str">
        <f t="shared" si="266"/>
        <v/>
      </c>
      <c r="AL563" s="85" t="str">
        <f t="shared" si="267"/>
        <v/>
      </c>
      <c r="AM563" s="254" t="str">
        <f t="shared" si="268"/>
        <v/>
      </c>
      <c r="AN563" s="254" t="str">
        <f t="shared" ca="1" si="247"/>
        <v/>
      </c>
      <c r="AO563" s="255" t="str">
        <f t="shared" si="269"/>
        <v/>
      </c>
    </row>
    <row r="564" spans="2:41" x14ac:dyDescent="0.25">
      <c r="B564" s="321"/>
      <c r="C564" s="17"/>
      <c r="E564" s="117"/>
      <c r="F564" s="4" t="str">
        <f t="shared" si="248"/>
        <v/>
      </c>
      <c r="G564" s="4" t="str">
        <f t="shared" si="249"/>
        <v/>
      </c>
      <c r="H564" s="4" t="str">
        <f t="shared" si="250"/>
        <v/>
      </c>
      <c r="I564" s="4" t="str">
        <f t="shared" si="251"/>
        <v/>
      </c>
      <c r="J564" s="247"/>
      <c r="K564" s="117"/>
      <c r="L564" s="4" t="str">
        <f t="shared" si="257"/>
        <v/>
      </c>
      <c r="M564" s="4" t="str">
        <f t="shared" si="258"/>
        <v/>
      </c>
      <c r="N564" s="4" t="str">
        <f t="shared" si="259"/>
        <v/>
      </c>
      <c r="O564" s="4" t="str">
        <f t="shared" si="260"/>
        <v/>
      </c>
      <c r="P564" s="247"/>
      <c r="Q564" s="117"/>
      <c r="R564" s="4" t="str">
        <f t="shared" si="261"/>
        <v/>
      </c>
      <c r="S564" s="4" t="str">
        <f t="shared" si="262"/>
        <v/>
      </c>
      <c r="T564" s="4" t="str">
        <f t="shared" si="263"/>
        <v/>
      </c>
      <c r="U564" s="4" t="str">
        <f t="shared" si="264"/>
        <v/>
      </c>
      <c r="V564" s="247"/>
      <c r="W564" s="67" t="str">
        <f t="shared" si="252"/>
        <v/>
      </c>
      <c r="X564" s="118"/>
      <c r="Z564" s="67" t="str">
        <f t="shared" si="253"/>
        <v/>
      </c>
      <c r="AA564" s="13">
        <f t="shared" si="254"/>
        <v>0</v>
      </c>
      <c r="AB564" s="17">
        <f t="shared" si="255"/>
        <v>0</v>
      </c>
      <c r="AC564" s="163" t="str">
        <f t="shared" si="256"/>
        <v/>
      </c>
      <c r="AD564" s="119"/>
      <c r="AE564" s="21"/>
      <c r="AF564" s="121"/>
      <c r="AG564" s="122"/>
      <c r="AH564" s="83" t="str">
        <f t="shared" si="265"/>
        <v/>
      </c>
      <c r="AI564" s="115"/>
      <c r="AJ564" s="116"/>
      <c r="AK564" s="83" t="str">
        <f t="shared" si="266"/>
        <v/>
      </c>
      <c r="AL564" s="85" t="str">
        <f t="shared" si="267"/>
        <v/>
      </c>
      <c r="AM564" s="254" t="str">
        <f t="shared" si="268"/>
        <v/>
      </c>
      <c r="AN564" s="254" t="str">
        <f t="shared" ref="AN564:AN627" ca="1" si="270">IF(AK564="","",NOW())</f>
        <v/>
      </c>
      <c r="AO564" s="255" t="str">
        <f t="shared" si="269"/>
        <v/>
      </c>
    </row>
    <row r="565" spans="2:41" x14ac:dyDescent="0.25">
      <c r="B565" s="321"/>
      <c r="C565" s="17"/>
      <c r="E565" s="117"/>
      <c r="F565" s="4" t="str">
        <f t="shared" si="248"/>
        <v/>
      </c>
      <c r="G565" s="4" t="str">
        <f t="shared" si="249"/>
        <v/>
      </c>
      <c r="H565" s="4" t="str">
        <f t="shared" si="250"/>
        <v/>
      </c>
      <c r="I565" s="4" t="str">
        <f t="shared" si="251"/>
        <v/>
      </c>
      <c r="J565" s="247"/>
      <c r="K565" s="117"/>
      <c r="L565" s="4" t="str">
        <f t="shared" si="257"/>
        <v/>
      </c>
      <c r="M565" s="4" t="str">
        <f t="shared" si="258"/>
        <v/>
      </c>
      <c r="N565" s="4" t="str">
        <f t="shared" si="259"/>
        <v/>
      </c>
      <c r="O565" s="4" t="str">
        <f t="shared" si="260"/>
        <v/>
      </c>
      <c r="P565" s="247"/>
      <c r="Q565" s="117"/>
      <c r="R565" s="4" t="str">
        <f t="shared" si="261"/>
        <v/>
      </c>
      <c r="S565" s="4" t="str">
        <f t="shared" si="262"/>
        <v/>
      </c>
      <c r="T565" s="4" t="str">
        <f t="shared" si="263"/>
        <v/>
      </c>
      <c r="U565" s="4" t="str">
        <f t="shared" si="264"/>
        <v/>
      </c>
      <c r="V565" s="247"/>
      <c r="W565" s="67" t="str">
        <f t="shared" si="252"/>
        <v/>
      </c>
      <c r="X565" s="118"/>
      <c r="Z565" s="67" t="str">
        <f t="shared" si="253"/>
        <v/>
      </c>
      <c r="AA565" s="13">
        <f t="shared" si="254"/>
        <v>0</v>
      </c>
      <c r="AB565" s="17">
        <f t="shared" si="255"/>
        <v>0</v>
      </c>
      <c r="AC565" s="163" t="str">
        <f t="shared" si="256"/>
        <v/>
      </c>
      <c r="AD565" s="119"/>
      <c r="AE565" s="21"/>
      <c r="AF565" s="121"/>
      <c r="AG565" s="122"/>
      <c r="AH565" s="83" t="str">
        <f t="shared" si="265"/>
        <v/>
      </c>
      <c r="AI565" s="115"/>
      <c r="AJ565" s="116"/>
      <c r="AK565" s="83" t="str">
        <f t="shared" si="266"/>
        <v/>
      </c>
      <c r="AL565" s="85" t="str">
        <f t="shared" si="267"/>
        <v/>
      </c>
      <c r="AM565" s="254" t="str">
        <f t="shared" si="268"/>
        <v/>
      </c>
      <c r="AN565" s="254" t="str">
        <f t="shared" ca="1" si="270"/>
        <v/>
      </c>
      <c r="AO565" s="255" t="str">
        <f t="shared" si="269"/>
        <v/>
      </c>
    </row>
    <row r="566" spans="2:41" x14ac:dyDescent="0.25">
      <c r="B566" s="321"/>
      <c r="C566" s="17"/>
      <c r="E566" s="117"/>
      <c r="F566" s="4" t="str">
        <f t="shared" si="248"/>
        <v/>
      </c>
      <c r="G566" s="4" t="str">
        <f t="shared" si="249"/>
        <v/>
      </c>
      <c r="H566" s="4" t="str">
        <f t="shared" si="250"/>
        <v/>
      </c>
      <c r="I566" s="4" t="str">
        <f t="shared" si="251"/>
        <v/>
      </c>
      <c r="J566" s="247"/>
      <c r="K566" s="117"/>
      <c r="L566" s="4" t="str">
        <f t="shared" si="257"/>
        <v/>
      </c>
      <c r="M566" s="4" t="str">
        <f t="shared" si="258"/>
        <v/>
      </c>
      <c r="N566" s="4" t="str">
        <f t="shared" si="259"/>
        <v/>
      </c>
      <c r="O566" s="4" t="str">
        <f t="shared" si="260"/>
        <v/>
      </c>
      <c r="P566" s="247"/>
      <c r="Q566" s="117"/>
      <c r="R566" s="4" t="str">
        <f t="shared" si="261"/>
        <v/>
      </c>
      <c r="S566" s="4" t="str">
        <f t="shared" si="262"/>
        <v/>
      </c>
      <c r="T566" s="4" t="str">
        <f t="shared" si="263"/>
        <v/>
      </c>
      <c r="U566" s="4" t="str">
        <f t="shared" si="264"/>
        <v/>
      </c>
      <c r="V566" s="247"/>
      <c r="W566" s="67" t="str">
        <f t="shared" si="252"/>
        <v/>
      </c>
      <c r="X566" s="118"/>
      <c r="Z566" s="67" t="str">
        <f t="shared" si="253"/>
        <v/>
      </c>
      <c r="AA566" s="13">
        <f t="shared" si="254"/>
        <v>0</v>
      </c>
      <c r="AB566" s="17">
        <f t="shared" si="255"/>
        <v>0</v>
      </c>
      <c r="AC566" s="163" t="str">
        <f t="shared" si="256"/>
        <v/>
      </c>
      <c r="AD566" s="119"/>
      <c r="AE566" s="21"/>
      <c r="AF566" s="121"/>
      <c r="AG566" s="122"/>
      <c r="AH566" s="83" t="str">
        <f t="shared" si="265"/>
        <v/>
      </c>
      <c r="AI566" s="115"/>
      <c r="AJ566" s="116"/>
      <c r="AK566" s="83" t="str">
        <f t="shared" si="266"/>
        <v/>
      </c>
      <c r="AL566" s="85" t="str">
        <f t="shared" si="267"/>
        <v/>
      </c>
      <c r="AM566" s="254" t="str">
        <f t="shared" si="268"/>
        <v/>
      </c>
      <c r="AN566" s="254" t="str">
        <f t="shared" ca="1" si="270"/>
        <v/>
      </c>
      <c r="AO566" s="255" t="str">
        <f t="shared" si="269"/>
        <v/>
      </c>
    </row>
    <row r="567" spans="2:41" x14ac:dyDescent="0.25">
      <c r="B567" s="321"/>
      <c r="C567" s="17"/>
      <c r="E567" s="117"/>
      <c r="F567" s="4" t="str">
        <f t="shared" si="248"/>
        <v/>
      </c>
      <c r="G567" s="4" t="str">
        <f t="shared" si="249"/>
        <v/>
      </c>
      <c r="H567" s="4" t="str">
        <f t="shared" si="250"/>
        <v/>
      </c>
      <c r="I567" s="4" t="str">
        <f t="shared" si="251"/>
        <v/>
      </c>
      <c r="J567" s="247"/>
      <c r="K567" s="117"/>
      <c r="L567" s="4" t="str">
        <f t="shared" si="257"/>
        <v/>
      </c>
      <c r="M567" s="4" t="str">
        <f t="shared" si="258"/>
        <v/>
      </c>
      <c r="N567" s="4" t="str">
        <f t="shared" si="259"/>
        <v/>
      </c>
      <c r="O567" s="4" t="str">
        <f t="shared" si="260"/>
        <v/>
      </c>
      <c r="P567" s="247"/>
      <c r="Q567" s="117"/>
      <c r="R567" s="4" t="str">
        <f t="shared" si="261"/>
        <v/>
      </c>
      <c r="S567" s="4" t="str">
        <f t="shared" si="262"/>
        <v/>
      </c>
      <c r="T567" s="4" t="str">
        <f t="shared" si="263"/>
        <v/>
      </c>
      <c r="U567" s="4" t="str">
        <f t="shared" si="264"/>
        <v/>
      </c>
      <c r="V567" s="247"/>
      <c r="W567" s="67" t="str">
        <f t="shared" si="252"/>
        <v/>
      </c>
      <c r="X567" s="118"/>
      <c r="Z567" s="67" t="str">
        <f t="shared" si="253"/>
        <v/>
      </c>
      <c r="AA567" s="13">
        <f t="shared" si="254"/>
        <v>0</v>
      </c>
      <c r="AB567" s="17">
        <f t="shared" si="255"/>
        <v>0</v>
      </c>
      <c r="AC567" s="163" t="str">
        <f t="shared" si="256"/>
        <v/>
      </c>
      <c r="AD567" s="119"/>
      <c r="AE567" s="21"/>
      <c r="AF567" s="121"/>
      <c r="AG567" s="122"/>
      <c r="AH567" s="83" t="str">
        <f t="shared" si="265"/>
        <v/>
      </c>
      <c r="AI567" s="115"/>
      <c r="AJ567" s="116"/>
      <c r="AK567" s="83" t="str">
        <f t="shared" si="266"/>
        <v/>
      </c>
      <c r="AL567" s="85" t="str">
        <f t="shared" si="267"/>
        <v/>
      </c>
      <c r="AM567" s="254" t="str">
        <f t="shared" si="268"/>
        <v/>
      </c>
      <c r="AN567" s="254" t="str">
        <f t="shared" ca="1" si="270"/>
        <v/>
      </c>
      <c r="AO567" s="255" t="str">
        <f t="shared" si="269"/>
        <v/>
      </c>
    </row>
    <row r="568" spans="2:41" x14ac:dyDescent="0.25">
      <c r="B568" s="321"/>
      <c r="C568" s="17"/>
      <c r="E568" s="117"/>
      <c r="F568" s="4" t="str">
        <f t="shared" si="248"/>
        <v/>
      </c>
      <c r="G568" s="4" t="str">
        <f t="shared" si="249"/>
        <v/>
      </c>
      <c r="H568" s="4" t="str">
        <f t="shared" si="250"/>
        <v/>
      </c>
      <c r="I568" s="4" t="str">
        <f t="shared" si="251"/>
        <v/>
      </c>
      <c r="J568" s="247"/>
      <c r="K568" s="117"/>
      <c r="L568" s="4" t="str">
        <f t="shared" si="257"/>
        <v/>
      </c>
      <c r="M568" s="4" t="str">
        <f t="shared" si="258"/>
        <v/>
      </c>
      <c r="N568" s="4" t="str">
        <f t="shared" si="259"/>
        <v/>
      </c>
      <c r="O568" s="4" t="str">
        <f t="shared" si="260"/>
        <v/>
      </c>
      <c r="P568" s="247"/>
      <c r="Q568" s="117"/>
      <c r="R568" s="4" t="str">
        <f t="shared" si="261"/>
        <v/>
      </c>
      <c r="S568" s="4" t="str">
        <f t="shared" si="262"/>
        <v/>
      </c>
      <c r="T568" s="4" t="str">
        <f t="shared" si="263"/>
        <v/>
      </c>
      <c r="U568" s="4" t="str">
        <f t="shared" si="264"/>
        <v/>
      </c>
      <c r="V568" s="247"/>
      <c r="W568" s="67" t="str">
        <f t="shared" si="252"/>
        <v/>
      </c>
      <c r="X568" s="118"/>
      <c r="Z568" s="67" t="str">
        <f t="shared" si="253"/>
        <v/>
      </c>
      <c r="AA568" s="13">
        <f t="shared" si="254"/>
        <v>0</v>
      </c>
      <c r="AB568" s="17">
        <f t="shared" si="255"/>
        <v>0</v>
      </c>
      <c r="AC568" s="163" t="str">
        <f t="shared" si="256"/>
        <v/>
      </c>
      <c r="AD568" s="119"/>
      <c r="AE568" s="21"/>
      <c r="AF568" s="121"/>
      <c r="AG568" s="122"/>
      <c r="AH568" s="83" t="str">
        <f t="shared" si="265"/>
        <v/>
      </c>
      <c r="AI568" s="115"/>
      <c r="AJ568" s="116"/>
      <c r="AK568" s="83" t="str">
        <f t="shared" si="266"/>
        <v/>
      </c>
      <c r="AL568" s="85" t="str">
        <f t="shared" si="267"/>
        <v/>
      </c>
      <c r="AM568" s="254" t="str">
        <f t="shared" si="268"/>
        <v/>
      </c>
      <c r="AN568" s="254" t="str">
        <f t="shared" ca="1" si="270"/>
        <v/>
      </c>
      <c r="AO568" s="255" t="str">
        <f t="shared" si="269"/>
        <v/>
      </c>
    </row>
    <row r="569" spans="2:41" x14ac:dyDescent="0.25">
      <c r="B569" s="321"/>
      <c r="C569" s="17"/>
      <c r="E569" s="117"/>
      <c r="F569" s="4" t="str">
        <f t="shared" ref="F569:F632" si="271">IFERROR(IF(VLOOKUP($E569,Inward,2,FALSE)&gt;0,VLOOKUP($E569,Inward,2,FALSE),""),"")</f>
        <v/>
      </c>
      <c r="G569" s="4" t="str">
        <f t="shared" ref="G569:G632" si="272">IFERROR(IF(VLOOKUP($E569,Inward,7,FALSE)&gt;0,VLOOKUP($E569,Inward,7,FALSE),""),"")</f>
        <v/>
      </c>
      <c r="H569" s="4" t="str">
        <f t="shared" ref="H569:H632" si="273">IFERROR(IF(VLOOKUP($E569,Inward,8,FALSE)&gt;0,VLOOKUP($E569,Inward,8,FALSE),""),"")</f>
        <v/>
      </c>
      <c r="I569" s="4" t="str">
        <f t="shared" ref="I569:I632" si="274">IFERROR(IF(VLOOKUP($E569,Inward,11,FALSE)&gt;0,VLOOKUP($E569,Inward,11,FALSE),""),"")</f>
        <v/>
      </c>
      <c r="J569" s="247"/>
      <c r="K569" s="117"/>
      <c r="L569" s="4" t="str">
        <f t="shared" si="257"/>
        <v/>
      </c>
      <c r="M569" s="4" t="str">
        <f t="shared" si="258"/>
        <v/>
      </c>
      <c r="N569" s="4" t="str">
        <f t="shared" si="259"/>
        <v/>
      </c>
      <c r="O569" s="4" t="str">
        <f t="shared" si="260"/>
        <v/>
      </c>
      <c r="P569" s="247"/>
      <c r="Q569" s="117"/>
      <c r="R569" s="4" t="str">
        <f t="shared" si="261"/>
        <v/>
      </c>
      <c r="S569" s="4" t="str">
        <f t="shared" si="262"/>
        <v/>
      </c>
      <c r="T569" s="4" t="str">
        <f t="shared" si="263"/>
        <v/>
      </c>
      <c r="U569" s="4" t="str">
        <f t="shared" si="264"/>
        <v/>
      </c>
      <c r="V569" s="247"/>
      <c r="W569" s="67" t="str">
        <f t="shared" si="252"/>
        <v/>
      </c>
      <c r="X569" s="118"/>
      <c r="Z569" s="67" t="str">
        <f t="shared" si="253"/>
        <v/>
      </c>
      <c r="AA569" s="13">
        <f t="shared" si="254"/>
        <v>0</v>
      </c>
      <c r="AB569" s="17">
        <f t="shared" si="255"/>
        <v>0</v>
      </c>
      <c r="AC569" s="163" t="str">
        <f t="shared" si="256"/>
        <v/>
      </c>
      <c r="AD569" s="119"/>
      <c r="AE569" s="21"/>
      <c r="AF569" s="121"/>
      <c r="AG569" s="122"/>
      <c r="AH569" s="83" t="str">
        <f t="shared" si="265"/>
        <v/>
      </c>
      <c r="AI569" s="115"/>
      <c r="AJ569" s="116"/>
      <c r="AK569" s="83" t="str">
        <f t="shared" si="266"/>
        <v/>
      </c>
      <c r="AL569" s="85" t="str">
        <f t="shared" si="267"/>
        <v/>
      </c>
      <c r="AM569" s="254" t="str">
        <f t="shared" si="268"/>
        <v/>
      </c>
      <c r="AN569" s="254" t="str">
        <f t="shared" ca="1" si="270"/>
        <v/>
      </c>
      <c r="AO569" s="255" t="str">
        <f t="shared" si="269"/>
        <v/>
      </c>
    </row>
    <row r="570" spans="2:41" x14ac:dyDescent="0.25">
      <c r="B570" s="321"/>
      <c r="C570" s="17"/>
      <c r="E570" s="117"/>
      <c r="F570" s="4" t="str">
        <f t="shared" si="271"/>
        <v/>
      </c>
      <c r="G570" s="4" t="str">
        <f t="shared" si="272"/>
        <v/>
      </c>
      <c r="H570" s="4" t="str">
        <f t="shared" si="273"/>
        <v/>
      </c>
      <c r="I570" s="4" t="str">
        <f t="shared" si="274"/>
        <v/>
      </c>
      <c r="J570" s="247"/>
      <c r="K570" s="117"/>
      <c r="L570" s="4" t="str">
        <f t="shared" si="257"/>
        <v/>
      </c>
      <c r="M570" s="4" t="str">
        <f t="shared" si="258"/>
        <v/>
      </c>
      <c r="N570" s="4" t="str">
        <f t="shared" si="259"/>
        <v/>
      </c>
      <c r="O570" s="4" t="str">
        <f t="shared" si="260"/>
        <v/>
      </c>
      <c r="P570" s="247"/>
      <c r="Q570" s="117"/>
      <c r="R570" s="4" t="str">
        <f t="shared" si="261"/>
        <v/>
      </c>
      <c r="S570" s="4" t="str">
        <f t="shared" si="262"/>
        <v/>
      </c>
      <c r="T570" s="4" t="str">
        <f t="shared" si="263"/>
        <v/>
      </c>
      <c r="U570" s="4" t="str">
        <f t="shared" si="264"/>
        <v/>
      </c>
      <c r="V570" s="247"/>
      <c r="W570" s="67" t="str">
        <f t="shared" si="252"/>
        <v/>
      </c>
      <c r="X570" s="118"/>
      <c r="Z570" s="67" t="str">
        <f t="shared" si="253"/>
        <v/>
      </c>
      <c r="AA570" s="13">
        <f t="shared" si="254"/>
        <v>0</v>
      </c>
      <c r="AB570" s="17">
        <f t="shared" si="255"/>
        <v>0</v>
      </c>
      <c r="AC570" s="163" t="str">
        <f t="shared" si="256"/>
        <v/>
      </c>
      <c r="AD570" s="119"/>
      <c r="AE570" s="21"/>
      <c r="AF570" s="121"/>
      <c r="AG570" s="122"/>
      <c r="AH570" s="83" t="str">
        <f t="shared" si="265"/>
        <v/>
      </c>
      <c r="AI570" s="115"/>
      <c r="AJ570" s="116"/>
      <c r="AK570" s="83" t="str">
        <f t="shared" si="266"/>
        <v/>
      </c>
      <c r="AL570" s="85" t="str">
        <f t="shared" si="267"/>
        <v/>
      </c>
      <c r="AM570" s="254" t="str">
        <f t="shared" si="268"/>
        <v/>
      </c>
      <c r="AN570" s="254" t="str">
        <f t="shared" ca="1" si="270"/>
        <v/>
      </c>
      <c r="AO570" s="255" t="str">
        <f t="shared" si="269"/>
        <v/>
      </c>
    </row>
    <row r="571" spans="2:41" x14ac:dyDescent="0.25">
      <c r="B571" s="321"/>
      <c r="C571" s="17"/>
      <c r="E571" s="117"/>
      <c r="F571" s="4" t="str">
        <f t="shared" si="271"/>
        <v/>
      </c>
      <c r="G571" s="4" t="str">
        <f t="shared" si="272"/>
        <v/>
      </c>
      <c r="H571" s="4" t="str">
        <f t="shared" si="273"/>
        <v/>
      </c>
      <c r="I571" s="4" t="str">
        <f t="shared" si="274"/>
        <v/>
      </c>
      <c r="J571" s="247"/>
      <c r="K571" s="117"/>
      <c r="L571" s="4" t="str">
        <f t="shared" si="257"/>
        <v/>
      </c>
      <c r="M571" s="4" t="str">
        <f t="shared" si="258"/>
        <v/>
      </c>
      <c r="N571" s="4" t="str">
        <f t="shared" si="259"/>
        <v/>
      </c>
      <c r="O571" s="4" t="str">
        <f t="shared" si="260"/>
        <v/>
      </c>
      <c r="P571" s="247"/>
      <c r="Q571" s="117"/>
      <c r="R571" s="4" t="str">
        <f t="shared" si="261"/>
        <v/>
      </c>
      <c r="S571" s="4" t="str">
        <f t="shared" si="262"/>
        <v/>
      </c>
      <c r="T571" s="4" t="str">
        <f t="shared" si="263"/>
        <v/>
      </c>
      <c r="U571" s="4" t="str">
        <f t="shared" si="264"/>
        <v/>
      </c>
      <c r="V571" s="247"/>
      <c r="W571" s="67" t="str">
        <f t="shared" si="252"/>
        <v/>
      </c>
      <c r="X571" s="118"/>
      <c r="Z571" s="67" t="str">
        <f t="shared" si="253"/>
        <v/>
      </c>
      <c r="AA571" s="13">
        <f t="shared" si="254"/>
        <v>0</v>
      </c>
      <c r="AB571" s="17">
        <f t="shared" si="255"/>
        <v>0</v>
      </c>
      <c r="AC571" s="163" t="str">
        <f t="shared" si="256"/>
        <v/>
      </c>
      <c r="AD571" s="119"/>
      <c r="AE571" s="21"/>
      <c r="AF571" s="121"/>
      <c r="AG571" s="122"/>
      <c r="AH571" s="83" t="str">
        <f t="shared" si="265"/>
        <v/>
      </c>
      <c r="AI571" s="115"/>
      <c r="AJ571" s="116"/>
      <c r="AK571" s="83" t="str">
        <f t="shared" si="266"/>
        <v/>
      </c>
      <c r="AL571" s="85" t="str">
        <f t="shared" si="267"/>
        <v/>
      </c>
      <c r="AM571" s="254" t="str">
        <f t="shared" si="268"/>
        <v/>
      </c>
      <c r="AN571" s="254" t="str">
        <f t="shared" ca="1" si="270"/>
        <v/>
      </c>
      <c r="AO571" s="255" t="str">
        <f t="shared" si="269"/>
        <v/>
      </c>
    </row>
    <row r="572" spans="2:41" x14ac:dyDescent="0.25">
      <c r="B572" s="321"/>
      <c r="C572" s="17"/>
      <c r="E572" s="117"/>
      <c r="F572" s="4" t="str">
        <f t="shared" si="271"/>
        <v/>
      </c>
      <c r="G572" s="4" t="str">
        <f t="shared" si="272"/>
        <v/>
      </c>
      <c r="H572" s="4" t="str">
        <f t="shared" si="273"/>
        <v/>
      </c>
      <c r="I572" s="4" t="str">
        <f t="shared" si="274"/>
        <v/>
      </c>
      <c r="J572" s="247"/>
      <c r="K572" s="117"/>
      <c r="L572" s="4" t="str">
        <f t="shared" si="257"/>
        <v/>
      </c>
      <c r="M572" s="4" t="str">
        <f t="shared" si="258"/>
        <v/>
      </c>
      <c r="N572" s="4" t="str">
        <f t="shared" si="259"/>
        <v/>
      </c>
      <c r="O572" s="4" t="str">
        <f t="shared" si="260"/>
        <v/>
      </c>
      <c r="P572" s="247"/>
      <c r="Q572" s="117"/>
      <c r="R572" s="4" t="str">
        <f t="shared" si="261"/>
        <v/>
      </c>
      <c r="S572" s="4" t="str">
        <f t="shared" si="262"/>
        <v/>
      </c>
      <c r="T572" s="4" t="str">
        <f t="shared" si="263"/>
        <v/>
      </c>
      <c r="U572" s="4" t="str">
        <f t="shared" si="264"/>
        <v/>
      </c>
      <c r="V572" s="247"/>
      <c r="W572" s="67" t="str">
        <f t="shared" ref="W572:W635" si="275">IF(SUM(I572,O572,U572)&gt;0,(SUM(I572,O572,U572)),"")</f>
        <v/>
      </c>
      <c r="X572" s="118"/>
      <c r="Z572" s="67" t="str">
        <f t="shared" ref="Z572:Z635" si="276">IF(SUM(W572,Y572)&gt;0,(SUM(W572,Y572)),"")</f>
        <v/>
      </c>
      <c r="AA572" s="13">
        <f t="shared" ref="AA572:AA635" si="277">B572</f>
        <v>0</v>
      </c>
      <c r="AB572" s="17">
        <f t="shared" ref="AB572:AB635" si="278">C572</f>
        <v>0</v>
      </c>
      <c r="AC572" s="163" t="str">
        <f t="shared" ref="AC572:AC635" si="279">F572</f>
        <v/>
      </c>
      <c r="AD572" s="119"/>
      <c r="AE572" s="21"/>
      <c r="AF572" s="121"/>
      <c r="AG572" s="122"/>
      <c r="AH572" s="83" t="str">
        <f t="shared" si="265"/>
        <v/>
      </c>
      <c r="AI572" s="115"/>
      <c r="AJ572" s="116"/>
      <c r="AK572" s="83" t="str">
        <f t="shared" si="266"/>
        <v/>
      </c>
      <c r="AL572" s="85" t="str">
        <f t="shared" si="267"/>
        <v/>
      </c>
      <c r="AM572" s="254" t="str">
        <f t="shared" si="268"/>
        <v/>
      </c>
      <c r="AN572" s="254" t="str">
        <f t="shared" ca="1" si="270"/>
        <v/>
      </c>
      <c r="AO572" s="255" t="str">
        <f t="shared" si="269"/>
        <v/>
      </c>
    </row>
    <row r="573" spans="2:41" x14ac:dyDescent="0.25">
      <c r="B573" s="321"/>
      <c r="C573" s="17"/>
      <c r="E573" s="117"/>
      <c r="F573" s="4" t="str">
        <f t="shared" si="271"/>
        <v/>
      </c>
      <c r="G573" s="4" t="str">
        <f t="shared" si="272"/>
        <v/>
      </c>
      <c r="H573" s="4" t="str">
        <f t="shared" si="273"/>
        <v/>
      </c>
      <c r="I573" s="4" t="str">
        <f t="shared" si="274"/>
        <v/>
      </c>
      <c r="J573" s="247"/>
      <c r="K573" s="117"/>
      <c r="L573" s="4" t="str">
        <f t="shared" si="257"/>
        <v/>
      </c>
      <c r="M573" s="4" t="str">
        <f t="shared" si="258"/>
        <v/>
      </c>
      <c r="N573" s="4" t="str">
        <f t="shared" si="259"/>
        <v/>
      </c>
      <c r="O573" s="4" t="str">
        <f t="shared" si="260"/>
        <v/>
      </c>
      <c r="P573" s="247"/>
      <c r="Q573" s="117"/>
      <c r="R573" s="4" t="str">
        <f t="shared" si="261"/>
        <v/>
      </c>
      <c r="S573" s="4" t="str">
        <f t="shared" si="262"/>
        <v/>
      </c>
      <c r="T573" s="4" t="str">
        <f t="shared" si="263"/>
        <v/>
      </c>
      <c r="U573" s="4" t="str">
        <f t="shared" si="264"/>
        <v/>
      </c>
      <c r="V573" s="247"/>
      <c r="W573" s="67" t="str">
        <f t="shared" si="275"/>
        <v/>
      </c>
      <c r="X573" s="118"/>
      <c r="Z573" s="67" t="str">
        <f t="shared" si="276"/>
        <v/>
      </c>
      <c r="AA573" s="13">
        <f t="shared" si="277"/>
        <v>0</v>
      </c>
      <c r="AB573" s="17">
        <f t="shared" si="278"/>
        <v>0</v>
      </c>
      <c r="AC573" s="163" t="str">
        <f t="shared" si="279"/>
        <v/>
      </c>
      <c r="AD573" s="119"/>
      <c r="AE573" s="21"/>
      <c r="AF573" s="121"/>
      <c r="AG573" s="122"/>
      <c r="AH573" s="83" t="str">
        <f t="shared" si="265"/>
        <v/>
      </c>
      <c r="AI573" s="115"/>
      <c r="AJ573" s="116"/>
      <c r="AK573" s="83" t="str">
        <f t="shared" si="266"/>
        <v/>
      </c>
      <c r="AL573" s="85" t="str">
        <f t="shared" si="267"/>
        <v/>
      </c>
      <c r="AM573" s="254" t="str">
        <f t="shared" si="268"/>
        <v/>
      </c>
      <c r="AN573" s="254" t="str">
        <f t="shared" ca="1" si="270"/>
        <v/>
      </c>
      <c r="AO573" s="255" t="str">
        <f t="shared" si="269"/>
        <v/>
      </c>
    </row>
    <row r="574" spans="2:41" x14ac:dyDescent="0.25">
      <c r="B574" s="321"/>
      <c r="C574" s="17"/>
      <c r="E574" s="117"/>
      <c r="F574" s="4" t="str">
        <f t="shared" si="271"/>
        <v/>
      </c>
      <c r="G574" s="4" t="str">
        <f t="shared" si="272"/>
        <v/>
      </c>
      <c r="H574" s="4" t="str">
        <f t="shared" si="273"/>
        <v/>
      </c>
      <c r="I574" s="4" t="str">
        <f t="shared" si="274"/>
        <v/>
      </c>
      <c r="J574" s="247"/>
      <c r="K574" s="117"/>
      <c r="L574" s="4" t="str">
        <f t="shared" si="257"/>
        <v/>
      </c>
      <c r="M574" s="4" t="str">
        <f t="shared" si="258"/>
        <v/>
      </c>
      <c r="N574" s="4" t="str">
        <f t="shared" si="259"/>
        <v/>
      </c>
      <c r="O574" s="4" t="str">
        <f t="shared" si="260"/>
        <v/>
      </c>
      <c r="P574" s="247"/>
      <c r="Q574" s="117"/>
      <c r="R574" s="4" t="str">
        <f t="shared" si="261"/>
        <v/>
      </c>
      <c r="S574" s="4" t="str">
        <f t="shared" si="262"/>
        <v/>
      </c>
      <c r="T574" s="4" t="str">
        <f t="shared" si="263"/>
        <v/>
      </c>
      <c r="U574" s="4" t="str">
        <f t="shared" si="264"/>
        <v/>
      </c>
      <c r="V574" s="247"/>
      <c r="W574" s="67" t="str">
        <f t="shared" si="275"/>
        <v/>
      </c>
      <c r="X574" s="118"/>
      <c r="Z574" s="67" t="str">
        <f t="shared" si="276"/>
        <v/>
      </c>
      <c r="AA574" s="13">
        <f t="shared" si="277"/>
        <v>0</v>
      </c>
      <c r="AB574" s="17">
        <f t="shared" si="278"/>
        <v>0</v>
      </c>
      <c r="AC574" s="163" t="str">
        <f t="shared" si="279"/>
        <v/>
      </c>
      <c r="AD574" s="119"/>
      <c r="AE574" s="21"/>
      <c r="AF574" s="121"/>
      <c r="AG574" s="122"/>
      <c r="AH574" s="83" t="str">
        <f t="shared" si="265"/>
        <v/>
      </c>
      <c r="AI574" s="115"/>
      <c r="AJ574" s="116"/>
      <c r="AK574" s="83" t="str">
        <f t="shared" si="266"/>
        <v/>
      </c>
      <c r="AL574" s="85" t="str">
        <f t="shared" si="267"/>
        <v/>
      </c>
      <c r="AM574" s="254" t="str">
        <f t="shared" si="268"/>
        <v/>
      </c>
      <c r="AN574" s="254" t="str">
        <f t="shared" ca="1" si="270"/>
        <v/>
      </c>
      <c r="AO574" s="255" t="str">
        <f t="shared" si="269"/>
        <v/>
      </c>
    </row>
    <row r="575" spans="2:41" x14ac:dyDescent="0.25">
      <c r="B575" s="321"/>
      <c r="C575" s="17"/>
      <c r="E575" s="117"/>
      <c r="F575" s="4" t="str">
        <f t="shared" si="271"/>
        <v/>
      </c>
      <c r="G575" s="4" t="str">
        <f t="shared" si="272"/>
        <v/>
      </c>
      <c r="H575" s="4" t="str">
        <f t="shared" si="273"/>
        <v/>
      </c>
      <c r="I575" s="4" t="str">
        <f t="shared" si="274"/>
        <v/>
      </c>
      <c r="J575" s="247"/>
      <c r="K575" s="117"/>
      <c r="L575" s="4" t="str">
        <f t="shared" si="257"/>
        <v/>
      </c>
      <c r="M575" s="4" t="str">
        <f t="shared" si="258"/>
        <v/>
      </c>
      <c r="N575" s="4" t="str">
        <f t="shared" si="259"/>
        <v/>
      </c>
      <c r="O575" s="4" t="str">
        <f t="shared" si="260"/>
        <v/>
      </c>
      <c r="P575" s="247"/>
      <c r="Q575" s="117"/>
      <c r="R575" s="4" t="str">
        <f t="shared" si="261"/>
        <v/>
      </c>
      <c r="S575" s="4" t="str">
        <f t="shared" si="262"/>
        <v/>
      </c>
      <c r="T575" s="4" t="str">
        <f t="shared" si="263"/>
        <v/>
      </c>
      <c r="U575" s="4" t="str">
        <f t="shared" si="264"/>
        <v/>
      </c>
      <c r="V575" s="247"/>
      <c r="W575" s="67" t="str">
        <f t="shared" si="275"/>
        <v/>
      </c>
      <c r="X575" s="118"/>
      <c r="Z575" s="67" t="str">
        <f t="shared" si="276"/>
        <v/>
      </c>
      <c r="AA575" s="13">
        <f t="shared" si="277"/>
        <v>0</v>
      </c>
      <c r="AB575" s="17">
        <f t="shared" si="278"/>
        <v>0</v>
      </c>
      <c r="AC575" s="163" t="str">
        <f t="shared" si="279"/>
        <v/>
      </c>
      <c r="AD575" s="119"/>
      <c r="AE575" s="21"/>
      <c r="AF575" s="121"/>
      <c r="AG575" s="122"/>
      <c r="AH575" s="83" t="str">
        <f t="shared" si="265"/>
        <v/>
      </c>
      <c r="AI575" s="115"/>
      <c r="AJ575" s="116"/>
      <c r="AK575" s="83" t="str">
        <f t="shared" si="266"/>
        <v/>
      </c>
      <c r="AL575" s="85" t="str">
        <f t="shared" si="267"/>
        <v/>
      </c>
      <c r="AM575" s="254" t="str">
        <f t="shared" si="268"/>
        <v/>
      </c>
      <c r="AN575" s="254" t="str">
        <f t="shared" ca="1" si="270"/>
        <v/>
      </c>
      <c r="AO575" s="255" t="str">
        <f t="shared" si="269"/>
        <v/>
      </c>
    </row>
    <row r="576" spans="2:41" x14ac:dyDescent="0.25">
      <c r="B576" s="321"/>
      <c r="C576" s="17"/>
      <c r="E576" s="117"/>
      <c r="F576" s="4" t="str">
        <f t="shared" si="271"/>
        <v/>
      </c>
      <c r="G576" s="4" t="str">
        <f t="shared" si="272"/>
        <v/>
      </c>
      <c r="H576" s="4" t="str">
        <f t="shared" si="273"/>
        <v/>
      </c>
      <c r="I576" s="4" t="str">
        <f t="shared" si="274"/>
        <v/>
      </c>
      <c r="J576" s="247"/>
      <c r="K576" s="117"/>
      <c r="L576" s="4" t="str">
        <f t="shared" si="257"/>
        <v/>
      </c>
      <c r="M576" s="4" t="str">
        <f t="shared" si="258"/>
        <v/>
      </c>
      <c r="N576" s="4" t="str">
        <f t="shared" si="259"/>
        <v/>
      </c>
      <c r="O576" s="4" t="str">
        <f t="shared" si="260"/>
        <v/>
      </c>
      <c r="P576" s="247"/>
      <c r="Q576" s="117"/>
      <c r="R576" s="4" t="str">
        <f t="shared" si="261"/>
        <v/>
      </c>
      <c r="S576" s="4" t="str">
        <f t="shared" si="262"/>
        <v/>
      </c>
      <c r="T576" s="4" t="str">
        <f t="shared" si="263"/>
        <v/>
      </c>
      <c r="U576" s="4" t="str">
        <f t="shared" si="264"/>
        <v/>
      </c>
      <c r="V576" s="247"/>
      <c r="W576" s="67" t="str">
        <f t="shared" si="275"/>
        <v/>
      </c>
      <c r="X576" s="118"/>
      <c r="Z576" s="67" t="str">
        <f t="shared" si="276"/>
        <v/>
      </c>
      <c r="AA576" s="13">
        <f t="shared" si="277"/>
        <v>0</v>
      </c>
      <c r="AB576" s="17">
        <f t="shared" si="278"/>
        <v>0</v>
      </c>
      <c r="AC576" s="163" t="str">
        <f t="shared" si="279"/>
        <v/>
      </c>
      <c r="AD576" s="119"/>
      <c r="AE576" s="21"/>
      <c r="AF576" s="121"/>
      <c r="AG576" s="122"/>
      <c r="AH576" s="83" t="str">
        <f t="shared" si="265"/>
        <v/>
      </c>
      <c r="AI576" s="115"/>
      <c r="AJ576" s="116"/>
      <c r="AK576" s="83" t="str">
        <f t="shared" si="266"/>
        <v/>
      </c>
      <c r="AL576" s="85" t="str">
        <f t="shared" si="267"/>
        <v/>
      </c>
      <c r="AM576" s="254" t="str">
        <f t="shared" si="268"/>
        <v/>
      </c>
      <c r="AN576" s="254" t="str">
        <f t="shared" ca="1" si="270"/>
        <v/>
      </c>
      <c r="AO576" s="255" t="str">
        <f t="shared" si="269"/>
        <v/>
      </c>
    </row>
    <row r="577" spans="2:41" x14ac:dyDescent="0.25">
      <c r="B577" s="321"/>
      <c r="C577" s="17"/>
      <c r="E577" s="117"/>
      <c r="F577" s="4" t="str">
        <f t="shared" si="271"/>
        <v/>
      </c>
      <c r="G577" s="4" t="str">
        <f t="shared" si="272"/>
        <v/>
      </c>
      <c r="H577" s="4" t="str">
        <f t="shared" si="273"/>
        <v/>
      </c>
      <c r="I577" s="4" t="str">
        <f t="shared" si="274"/>
        <v/>
      </c>
      <c r="J577" s="247"/>
      <c r="K577" s="117"/>
      <c r="L577" s="4" t="str">
        <f t="shared" ref="L577:L640" si="280">IFERROR(IF(VLOOKUP($K577,Inward,2,FALSE)&gt;0,VLOOKUP($K577,Inward,2,FALSE),""),"")</f>
        <v/>
      </c>
      <c r="M577" s="4" t="str">
        <f t="shared" ref="M577:M640" si="281">IFERROR(IF(VLOOKUP($K577,Inward,7,FALSE)&gt;0,VLOOKUP($K577,Inward,7,FALSE),""),"")</f>
        <v/>
      </c>
      <c r="N577" s="4" t="str">
        <f t="shared" ref="N577:N640" si="282">IFERROR(IF(VLOOKUP($K577,Inward,8,FALSE)&gt;0,VLOOKUP($K577,Inward,8,FALSE),""),"")</f>
        <v/>
      </c>
      <c r="O577" s="4" t="str">
        <f t="shared" ref="O577:O640" si="283">IFERROR(IF(VLOOKUP($K577,Inward,11,FALSE)&gt;0,VLOOKUP($K577,Inward,11,FALSE),""),"")</f>
        <v/>
      </c>
      <c r="P577" s="247"/>
      <c r="Q577" s="117"/>
      <c r="R577" s="4" t="str">
        <f t="shared" ref="R577:R640" si="284">IFERROR(IF(VLOOKUP($Q577,Inward,2,FALSE)&gt;0,VLOOKUP($Q577,Inward,2,FALSE),""),"")</f>
        <v/>
      </c>
      <c r="S577" s="4" t="str">
        <f t="shared" ref="S577:S640" si="285">IFERROR(IF(VLOOKUP($Q577,Inward,7,FALSE)&gt;0,VLOOKUP($Q577,Inward,7,FALSE),""),"")</f>
        <v/>
      </c>
      <c r="T577" s="4" t="str">
        <f t="shared" ref="T577:T640" si="286">IFERROR(IF(VLOOKUP($Q577,Inward,8,FALSE)&gt;0,VLOOKUP($Q577,Inward,8,FALSE),""),"")</f>
        <v/>
      </c>
      <c r="U577" s="4" t="str">
        <f t="shared" ref="U577:U640" si="287">IFERROR(IF(VLOOKUP($Q577,Inward,11,FALSE)&gt;0,VLOOKUP($Q577,Inward,11,FALSE),""),"")</f>
        <v/>
      </c>
      <c r="V577" s="247"/>
      <c r="W577" s="67" t="str">
        <f t="shared" si="275"/>
        <v/>
      </c>
      <c r="X577" s="118"/>
      <c r="Z577" s="67" t="str">
        <f t="shared" si="276"/>
        <v/>
      </c>
      <c r="AA577" s="13">
        <f t="shared" si="277"/>
        <v>0</v>
      </c>
      <c r="AB577" s="17">
        <f t="shared" si="278"/>
        <v>0</v>
      </c>
      <c r="AC577" s="163" t="str">
        <f t="shared" si="279"/>
        <v/>
      </c>
      <c r="AD577" s="119"/>
      <c r="AE577" s="21"/>
      <c r="AF577" s="121"/>
      <c r="AG577" s="122"/>
      <c r="AH577" s="83" t="str">
        <f t="shared" si="265"/>
        <v/>
      </c>
      <c r="AI577" s="115"/>
      <c r="AJ577" s="116"/>
      <c r="AK577" s="83" t="str">
        <f t="shared" si="266"/>
        <v/>
      </c>
      <c r="AL577" s="85" t="str">
        <f t="shared" si="267"/>
        <v/>
      </c>
      <c r="AM577" s="254" t="str">
        <f t="shared" si="268"/>
        <v/>
      </c>
      <c r="AN577" s="254" t="str">
        <f t="shared" ca="1" si="270"/>
        <v/>
      </c>
      <c r="AO577" s="255" t="str">
        <f t="shared" si="269"/>
        <v/>
      </c>
    </row>
    <row r="578" spans="2:41" x14ac:dyDescent="0.25">
      <c r="B578" s="321"/>
      <c r="C578" s="17"/>
      <c r="E578" s="117"/>
      <c r="F578" s="4" t="str">
        <f t="shared" si="271"/>
        <v/>
      </c>
      <c r="G578" s="4" t="str">
        <f t="shared" si="272"/>
        <v/>
      </c>
      <c r="H578" s="4" t="str">
        <f t="shared" si="273"/>
        <v/>
      </c>
      <c r="I578" s="4" t="str">
        <f t="shared" si="274"/>
        <v/>
      </c>
      <c r="J578" s="247"/>
      <c r="K578" s="117"/>
      <c r="L578" s="4" t="str">
        <f t="shared" si="280"/>
        <v/>
      </c>
      <c r="M578" s="4" t="str">
        <f t="shared" si="281"/>
        <v/>
      </c>
      <c r="N578" s="4" t="str">
        <f t="shared" si="282"/>
        <v/>
      </c>
      <c r="O578" s="4" t="str">
        <f t="shared" si="283"/>
        <v/>
      </c>
      <c r="P578" s="247"/>
      <c r="Q578" s="117"/>
      <c r="R578" s="4" t="str">
        <f t="shared" si="284"/>
        <v/>
      </c>
      <c r="S578" s="4" t="str">
        <f t="shared" si="285"/>
        <v/>
      </c>
      <c r="T578" s="4" t="str">
        <f t="shared" si="286"/>
        <v/>
      </c>
      <c r="U578" s="4" t="str">
        <f t="shared" si="287"/>
        <v/>
      </c>
      <c r="V578" s="247"/>
      <c r="W578" s="67" t="str">
        <f t="shared" si="275"/>
        <v/>
      </c>
      <c r="X578" s="118"/>
      <c r="Z578" s="67" t="str">
        <f t="shared" si="276"/>
        <v/>
      </c>
      <c r="AA578" s="13">
        <f t="shared" si="277"/>
        <v>0</v>
      </c>
      <c r="AB578" s="17">
        <f t="shared" si="278"/>
        <v>0</v>
      </c>
      <c r="AC578" s="163" t="str">
        <f t="shared" si="279"/>
        <v/>
      </c>
      <c r="AD578" s="119"/>
      <c r="AE578" s="21"/>
      <c r="AF578" s="121"/>
      <c r="AG578" s="122"/>
      <c r="AH578" s="83" t="str">
        <f t="shared" si="265"/>
        <v/>
      </c>
      <c r="AI578" s="115"/>
      <c r="AJ578" s="116"/>
      <c r="AK578" s="83" t="str">
        <f t="shared" si="266"/>
        <v/>
      </c>
      <c r="AL578" s="85" t="str">
        <f t="shared" si="267"/>
        <v/>
      </c>
      <c r="AM578" s="254" t="str">
        <f t="shared" si="268"/>
        <v/>
      </c>
      <c r="AN578" s="254" t="str">
        <f t="shared" ca="1" si="270"/>
        <v/>
      </c>
      <c r="AO578" s="255" t="str">
        <f t="shared" si="269"/>
        <v/>
      </c>
    </row>
    <row r="579" spans="2:41" x14ac:dyDescent="0.25">
      <c r="B579" s="321"/>
      <c r="C579" s="17"/>
      <c r="E579" s="117"/>
      <c r="F579" s="4" t="str">
        <f t="shared" si="271"/>
        <v/>
      </c>
      <c r="G579" s="4" t="str">
        <f t="shared" si="272"/>
        <v/>
      </c>
      <c r="H579" s="4" t="str">
        <f t="shared" si="273"/>
        <v/>
      </c>
      <c r="I579" s="4" t="str">
        <f t="shared" si="274"/>
        <v/>
      </c>
      <c r="J579" s="247"/>
      <c r="K579" s="117"/>
      <c r="L579" s="4" t="str">
        <f t="shared" si="280"/>
        <v/>
      </c>
      <c r="M579" s="4" t="str">
        <f t="shared" si="281"/>
        <v/>
      </c>
      <c r="N579" s="4" t="str">
        <f t="shared" si="282"/>
        <v/>
      </c>
      <c r="O579" s="4" t="str">
        <f t="shared" si="283"/>
        <v/>
      </c>
      <c r="P579" s="247"/>
      <c r="Q579" s="117"/>
      <c r="R579" s="4" t="str">
        <f t="shared" si="284"/>
        <v/>
      </c>
      <c r="S579" s="4" t="str">
        <f t="shared" si="285"/>
        <v/>
      </c>
      <c r="T579" s="4" t="str">
        <f t="shared" si="286"/>
        <v/>
      </c>
      <c r="U579" s="4" t="str">
        <f t="shared" si="287"/>
        <v/>
      </c>
      <c r="V579" s="247"/>
      <c r="W579" s="67" t="str">
        <f t="shared" si="275"/>
        <v/>
      </c>
      <c r="X579" s="118"/>
      <c r="Z579" s="67" t="str">
        <f t="shared" si="276"/>
        <v/>
      </c>
      <c r="AA579" s="13">
        <f t="shared" si="277"/>
        <v>0</v>
      </c>
      <c r="AB579" s="17">
        <f t="shared" si="278"/>
        <v>0</v>
      </c>
      <c r="AC579" s="163" t="str">
        <f t="shared" si="279"/>
        <v/>
      </c>
      <c r="AD579" s="119"/>
      <c r="AE579" s="21"/>
      <c r="AF579" s="121"/>
      <c r="AG579" s="122"/>
      <c r="AH579" s="83" t="str">
        <f t="shared" si="265"/>
        <v/>
      </c>
      <c r="AI579" s="115"/>
      <c r="AJ579" s="116"/>
      <c r="AK579" s="83" t="str">
        <f t="shared" si="266"/>
        <v/>
      </c>
      <c r="AL579" s="85" t="str">
        <f t="shared" si="267"/>
        <v/>
      </c>
      <c r="AM579" s="254" t="str">
        <f t="shared" si="268"/>
        <v/>
      </c>
      <c r="AN579" s="254" t="str">
        <f t="shared" ca="1" si="270"/>
        <v/>
      </c>
      <c r="AO579" s="255" t="str">
        <f t="shared" si="269"/>
        <v/>
      </c>
    </row>
    <row r="580" spans="2:41" x14ac:dyDescent="0.25">
      <c r="B580" s="321"/>
      <c r="C580" s="17"/>
      <c r="E580" s="117"/>
      <c r="F580" s="4" t="str">
        <f t="shared" si="271"/>
        <v/>
      </c>
      <c r="G580" s="4" t="str">
        <f t="shared" si="272"/>
        <v/>
      </c>
      <c r="H580" s="4" t="str">
        <f t="shared" si="273"/>
        <v/>
      </c>
      <c r="I580" s="4" t="str">
        <f t="shared" si="274"/>
        <v/>
      </c>
      <c r="J580" s="247"/>
      <c r="K580" s="117"/>
      <c r="L580" s="4" t="str">
        <f t="shared" si="280"/>
        <v/>
      </c>
      <c r="M580" s="4" t="str">
        <f t="shared" si="281"/>
        <v/>
      </c>
      <c r="N580" s="4" t="str">
        <f t="shared" si="282"/>
        <v/>
      </c>
      <c r="O580" s="4" t="str">
        <f t="shared" si="283"/>
        <v/>
      </c>
      <c r="P580" s="247"/>
      <c r="Q580" s="117"/>
      <c r="R580" s="4" t="str">
        <f t="shared" si="284"/>
        <v/>
      </c>
      <c r="S580" s="4" t="str">
        <f t="shared" si="285"/>
        <v/>
      </c>
      <c r="T580" s="4" t="str">
        <f t="shared" si="286"/>
        <v/>
      </c>
      <c r="U580" s="4" t="str">
        <f t="shared" si="287"/>
        <v/>
      </c>
      <c r="V580" s="247"/>
      <c r="W580" s="67" t="str">
        <f t="shared" si="275"/>
        <v/>
      </c>
      <c r="X580" s="118"/>
      <c r="Z580" s="67" t="str">
        <f t="shared" si="276"/>
        <v/>
      </c>
      <c r="AA580" s="13">
        <f t="shared" si="277"/>
        <v>0</v>
      </c>
      <c r="AB580" s="17">
        <f t="shared" si="278"/>
        <v>0</v>
      </c>
      <c r="AC580" s="163" t="str">
        <f t="shared" si="279"/>
        <v/>
      </c>
      <c r="AD580" s="119"/>
      <c r="AE580" s="21"/>
      <c r="AF580" s="121"/>
      <c r="AG580" s="122"/>
      <c r="AH580" s="83" t="str">
        <f t="shared" si="265"/>
        <v/>
      </c>
      <c r="AI580" s="115"/>
      <c r="AJ580" s="116"/>
      <c r="AK580" s="83" t="str">
        <f t="shared" si="266"/>
        <v/>
      </c>
      <c r="AL580" s="85" t="str">
        <f t="shared" si="267"/>
        <v/>
      </c>
      <c r="AM580" s="254" t="str">
        <f t="shared" si="268"/>
        <v/>
      </c>
      <c r="AN580" s="254" t="str">
        <f t="shared" ca="1" si="270"/>
        <v/>
      </c>
      <c r="AO580" s="255" t="str">
        <f t="shared" si="269"/>
        <v/>
      </c>
    </row>
    <row r="581" spans="2:41" x14ac:dyDescent="0.25">
      <c r="B581" s="321"/>
      <c r="C581" s="17"/>
      <c r="E581" s="117"/>
      <c r="F581" s="4" t="str">
        <f t="shared" si="271"/>
        <v/>
      </c>
      <c r="G581" s="4" t="str">
        <f t="shared" si="272"/>
        <v/>
      </c>
      <c r="H581" s="4" t="str">
        <f t="shared" si="273"/>
        <v/>
      </c>
      <c r="I581" s="4" t="str">
        <f t="shared" si="274"/>
        <v/>
      </c>
      <c r="J581" s="247"/>
      <c r="K581" s="117"/>
      <c r="L581" s="4" t="str">
        <f t="shared" si="280"/>
        <v/>
      </c>
      <c r="M581" s="4" t="str">
        <f t="shared" si="281"/>
        <v/>
      </c>
      <c r="N581" s="4" t="str">
        <f t="shared" si="282"/>
        <v/>
      </c>
      <c r="O581" s="4" t="str">
        <f t="shared" si="283"/>
        <v/>
      </c>
      <c r="P581" s="247"/>
      <c r="Q581" s="117"/>
      <c r="R581" s="4" t="str">
        <f t="shared" si="284"/>
        <v/>
      </c>
      <c r="S581" s="4" t="str">
        <f t="shared" si="285"/>
        <v/>
      </c>
      <c r="T581" s="4" t="str">
        <f t="shared" si="286"/>
        <v/>
      </c>
      <c r="U581" s="4" t="str">
        <f t="shared" si="287"/>
        <v/>
      </c>
      <c r="V581" s="247"/>
      <c r="W581" s="67" t="str">
        <f t="shared" si="275"/>
        <v/>
      </c>
      <c r="X581" s="118"/>
      <c r="Z581" s="67" t="str">
        <f t="shared" si="276"/>
        <v/>
      </c>
      <c r="AA581" s="13">
        <f t="shared" si="277"/>
        <v>0</v>
      </c>
      <c r="AB581" s="17">
        <f t="shared" si="278"/>
        <v>0</v>
      </c>
      <c r="AC581" s="163" t="str">
        <f t="shared" si="279"/>
        <v/>
      </c>
      <c r="AD581" s="119"/>
      <c r="AE581" s="21"/>
      <c r="AF581" s="121"/>
      <c r="AG581" s="122"/>
      <c r="AH581" s="83" t="str">
        <f t="shared" si="265"/>
        <v/>
      </c>
      <c r="AI581" s="115"/>
      <c r="AJ581" s="116"/>
      <c r="AK581" s="83" t="str">
        <f t="shared" si="266"/>
        <v/>
      </c>
      <c r="AL581" s="85" t="str">
        <f t="shared" si="267"/>
        <v/>
      </c>
      <c r="AM581" s="254" t="str">
        <f t="shared" si="268"/>
        <v/>
      </c>
      <c r="AN581" s="254" t="str">
        <f t="shared" ca="1" si="270"/>
        <v/>
      </c>
      <c r="AO581" s="255" t="str">
        <f t="shared" si="269"/>
        <v/>
      </c>
    </row>
    <row r="582" spans="2:41" x14ac:dyDescent="0.25">
      <c r="B582" s="321"/>
      <c r="C582" s="17"/>
      <c r="E582" s="117"/>
      <c r="F582" s="4" t="str">
        <f t="shared" si="271"/>
        <v/>
      </c>
      <c r="G582" s="4" t="str">
        <f t="shared" si="272"/>
        <v/>
      </c>
      <c r="H582" s="4" t="str">
        <f t="shared" si="273"/>
        <v/>
      </c>
      <c r="I582" s="4" t="str">
        <f t="shared" si="274"/>
        <v/>
      </c>
      <c r="J582" s="247"/>
      <c r="K582" s="117"/>
      <c r="L582" s="4" t="str">
        <f t="shared" si="280"/>
        <v/>
      </c>
      <c r="M582" s="4" t="str">
        <f t="shared" si="281"/>
        <v/>
      </c>
      <c r="N582" s="4" t="str">
        <f t="shared" si="282"/>
        <v/>
      </c>
      <c r="O582" s="4" t="str">
        <f t="shared" si="283"/>
        <v/>
      </c>
      <c r="P582" s="247"/>
      <c r="Q582" s="117"/>
      <c r="R582" s="4" t="str">
        <f t="shared" si="284"/>
        <v/>
      </c>
      <c r="S582" s="4" t="str">
        <f t="shared" si="285"/>
        <v/>
      </c>
      <c r="T582" s="4" t="str">
        <f t="shared" si="286"/>
        <v/>
      </c>
      <c r="U582" s="4" t="str">
        <f t="shared" si="287"/>
        <v/>
      </c>
      <c r="V582" s="247"/>
      <c r="W582" s="67" t="str">
        <f t="shared" si="275"/>
        <v/>
      </c>
      <c r="X582" s="118"/>
      <c r="Z582" s="67" t="str">
        <f t="shared" si="276"/>
        <v/>
      </c>
      <c r="AA582" s="13">
        <f t="shared" si="277"/>
        <v>0</v>
      </c>
      <c r="AB582" s="17">
        <f t="shared" si="278"/>
        <v>0</v>
      </c>
      <c r="AC582" s="163" t="str">
        <f t="shared" si="279"/>
        <v/>
      </c>
      <c r="AD582" s="119"/>
      <c r="AE582" s="21"/>
      <c r="AF582" s="121"/>
      <c r="AG582" s="122"/>
      <c r="AH582" s="83" t="str">
        <f t="shared" si="265"/>
        <v/>
      </c>
      <c r="AI582" s="115"/>
      <c r="AJ582" s="116"/>
      <c r="AK582" s="83" t="str">
        <f t="shared" si="266"/>
        <v/>
      </c>
      <c r="AL582" s="85" t="str">
        <f t="shared" si="267"/>
        <v/>
      </c>
      <c r="AM582" s="254" t="str">
        <f t="shared" si="268"/>
        <v/>
      </c>
      <c r="AN582" s="254" t="str">
        <f t="shared" ca="1" si="270"/>
        <v/>
      </c>
      <c r="AO582" s="255" t="str">
        <f t="shared" si="269"/>
        <v/>
      </c>
    </row>
    <row r="583" spans="2:41" x14ac:dyDescent="0.25">
      <c r="B583" s="321"/>
      <c r="C583" s="17"/>
      <c r="E583" s="117"/>
      <c r="F583" s="4" t="str">
        <f t="shared" si="271"/>
        <v/>
      </c>
      <c r="G583" s="4" t="str">
        <f t="shared" si="272"/>
        <v/>
      </c>
      <c r="H583" s="4" t="str">
        <f t="shared" si="273"/>
        <v/>
      </c>
      <c r="I583" s="4" t="str">
        <f t="shared" si="274"/>
        <v/>
      </c>
      <c r="J583" s="247"/>
      <c r="K583" s="117"/>
      <c r="L583" s="4" t="str">
        <f t="shared" si="280"/>
        <v/>
      </c>
      <c r="M583" s="4" t="str">
        <f t="shared" si="281"/>
        <v/>
      </c>
      <c r="N583" s="4" t="str">
        <f t="shared" si="282"/>
        <v/>
      </c>
      <c r="O583" s="4" t="str">
        <f t="shared" si="283"/>
        <v/>
      </c>
      <c r="P583" s="247"/>
      <c r="Q583" s="117"/>
      <c r="R583" s="4" t="str">
        <f t="shared" si="284"/>
        <v/>
      </c>
      <c r="S583" s="4" t="str">
        <f t="shared" si="285"/>
        <v/>
      </c>
      <c r="T583" s="4" t="str">
        <f t="shared" si="286"/>
        <v/>
      </c>
      <c r="U583" s="4" t="str">
        <f t="shared" si="287"/>
        <v/>
      </c>
      <c r="V583" s="247"/>
      <c r="W583" s="67" t="str">
        <f t="shared" si="275"/>
        <v/>
      </c>
      <c r="X583" s="118"/>
      <c r="Z583" s="67" t="str">
        <f t="shared" si="276"/>
        <v/>
      </c>
      <c r="AA583" s="13">
        <f t="shared" si="277"/>
        <v>0</v>
      </c>
      <c r="AB583" s="17">
        <f t="shared" si="278"/>
        <v>0</v>
      </c>
      <c r="AC583" s="163" t="str">
        <f t="shared" si="279"/>
        <v/>
      </c>
      <c r="AD583" s="119"/>
      <c r="AE583" s="21"/>
      <c r="AF583" s="121"/>
      <c r="AG583" s="122"/>
      <c r="AH583" s="83" t="str">
        <f t="shared" si="265"/>
        <v/>
      </c>
      <c r="AI583" s="115"/>
      <c r="AJ583" s="116"/>
      <c r="AK583" s="83" t="str">
        <f t="shared" si="266"/>
        <v/>
      </c>
      <c r="AL583" s="85" t="str">
        <f t="shared" si="267"/>
        <v/>
      </c>
      <c r="AM583" s="254" t="str">
        <f t="shared" si="268"/>
        <v/>
      </c>
      <c r="AN583" s="254" t="str">
        <f t="shared" ca="1" si="270"/>
        <v/>
      </c>
      <c r="AO583" s="255" t="str">
        <f t="shared" si="269"/>
        <v/>
      </c>
    </row>
    <row r="584" spans="2:41" x14ac:dyDescent="0.25">
      <c r="B584" s="321"/>
      <c r="C584" s="17"/>
      <c r="E584" s="117"/>
      <c r="F584" s="4" t="str">
        <f t="shared" si="271"/>
        <v/>
      </c>
      <c r="G584" s="4" t="str">
        <f t="shared" si="272"/>
        <v/>
      </c>
      <c r="H584" s="4" t="str">
        <f t="shared" si="273"/>
        <v/>
      </c>
      <c r="I584" s="4" t="str">
        <f t="shared" si="274"/>
        <v/>
      </c>
      <c r="J584" s="247"/>
      <c r="K584" s="117"/>
      <c r="L584" s="4" t="str">
        <f t="shared" si="280"/>
        <v/>
      </c>
      <c r="M584" s="4" t="str">
        <f t="shared" si="281"/>
        <v/>
      </c>
      <c r="N584" s="4" t="str">
        <f t="shared" si="282"/>
        <v/>
      </c>
      <c r="O584" s="4" t="str">
        <f t="shared" si="283"/>
        <v/>
      </c>
      <c r="P584" s="247"/>
      <c r="Q584" s="117"/>
      <c r="R584" s="4" t="str">
        <f t="shared" si="284"/>
        <v/>
      </c>
      <c r="S584" s="4" t="str">
        <f t="shared" si="285"/>
        <v/>
      </c>
      <c r="T584" s="4" t="str">
        <f t="shared" si="286"/>
        <v/>
      </c>
      <c r="U584" s="4" t="str">
        <f t="shared" si="287"/>
        <v/>
      </c>
      <c r="V584" s="247"/>
      <c r="W584" s="67" t="str">
        <f t="shared" si="275"/>
        <v/>
      </c>
      <c r="X584" s="118"/>
      <c r="Z584" s="67" t="str">
        <f t="shared" si="276"/>
        <v/>
      </c>
      <c r="AA584" s="13">
        <f t="shared" si="277"/>
        <v>0</v>
      </c>
      <c r="AB584" s="17">
        <f t="shared" si="278"/>
        <v>0</v>
      </c>
      <c r="AC584" s="163" t="str">
        <f t="shared" si="279"/>
        <v/>
      </c>
      <c r="AD584" s="119"/>
      <c r="AE584" s="21"/>
      <c r="AF584" s="121"/>
      <c r="AG584" s="122"/>
      <c r="AH584" s="83" t="str">
        <f t="shared" si="265"/>
        <v/>
      </c>
      <c r="AI584" s="115"/>
      <c r="AJ584" s="116"/>
      <c r="AK584" s="83" t="str">
        <f t="shared" si="266"/>
        <v/>
      </c>
      <c r="AL584" s="85" t="str">
        <f t="shared" si="267"/>
        <v/>
      </c>
      <c r="AM584" s="254" t="str">
        <f t="shared" si="268"/>
        <v/>
      </c>
      <c r="AN584" s="254" t="str">
        <f t="shared" ca="1" si="270"/>
        <v/>
      </c>
      <c r="AO584" s="255" t="str">
        <f t="shared" si="269"/>
        <v/>
      </c>
    </row>
    <row r="585" spans="2:41" x14ac:dyDescent="0.25">
      <c r="B585" s="321"/>
      <c r="C585" s="17"/>
      <c r="E585" s="117"/>
      <c r="F585" s="4" t="str">
        <f t="shared" si="271"/>
        <v/>
      </c>
      <c r="G585" s="4" t="str">
        <f t="shared" si="272"/>
        <v/>
      </c>
      <c r="H585" s="4" t="str">
        <f t="shared" si="273"/>
        <v/>
      </c>
      <c r="I585" s="4" t="str">
        <f t="shared" si="274"/>
        <v/>
      </c>
      <c r="J585" s="247"/>
      <c r="K585" s="117"/>
      <c r="L585" s="4" t="str">
        <f t="shared" si="280"/>
        <v/>
      </c>
      <c r="M585" s="4" t="str">
        <f t="shared" si="281"/>
        <v/>
      </c>
      <c r="N585" s="4" t="str">
        <f t="shared" si="282"/>
        <v/>
      </c>
      <c r="O585" s="4" t="str">
        <f t="shared" si="283"/>
        <v/>
      </c>
      <c r="P585" s="247"/>
      <c r="Q585" s="117"/>
      <c r="R585" s="4" t="str">
        <f t="shared" si="284"/>
        <v/>
      </c>
      <c r="S585" s="4" t="str">
        <f t="shared" si="285"/>
        <v/>
      </c>
      <c r="T585" s="4" t="str">
        <f t="shared" si="286"/>
        <v/>
      </c>
      <c r="U585" s="4" t="str">
        <f t="shared" si="287"/>
        <v/>
      </c>
      <c r="V585" s="247"/>
      <c r="W585" s="67" t="str">
        <f t="shared" si="275"/>
        <v/>
      </c>
      <c r="X585" s="118"/>
      <c r="Z585" s="67" t="str">
        <f t="shared" si="276"/>
        <v/>
      </c>
      <c r="AA585" s="13">
        <f t="shared" si="277"/>
        <v>0</v>
      </c>
      <c r="AB585" s="17">
        <f t="shared" si="278"/>
        <v>0</v>
      </c>
      <c r="AC585" s="163" t="str">
        <f t="shared" si="279"/>
        <v/>
      </c>
      <c r="AD585" s="119"/>
      <c r="AE585" s="21"/>
      <c r="AF585" s="121"/>
      <c r="AG585" s="122"/>
      <c r="AH585" s="83" t="str">
        <f t="shared" si="265"/>
        <v/>
      </c>
      <c r="AI585" s="115"/>
      <c r="AJ585" s="116"/>
      <c r="AK585" s="83" t="str">
        <f t="shared" si="266"/>
        <v/>
      </c>
      <c r="AL585" s="85" t="str">
        <f t="shared" si="267"/>
        <v/>
      </c>
      <c r="AM585" s="254" t="str">
        <f t="shared" si="268"/>
        <v/>
      </c>
      <c r="AN585" s="254" t="str">
        <f t="shared" ca="1" si="270"/>
        <v/>
      </c>
      <c r="AO585" s="255" t="str">
        <f t="shared" si="269"/>
        <v/>
      </c>
    </row>
    <row r="586" spans="2:41" x14ac:dyDescent="0.25">
      <c r="B586" s="321"/>
      <c r="C586" s="17"/>
      <c r="E586" s="117"/>
      <c r="F586" s="4" t="str">
        <f t="shared" si="271"/>
        <v/>
      </c>
      <c r="G586" s="4" t="str">
        <f t="shared" si="272"/>
        <v/>
      </c>
      <c r="H586" s="4" t="str">
        <f t="shared" si="273"/>
        <v/>
      </c>
      <c r="I586" s="4" t="str">
        <f t="shared" si="274"/>
        <v/>
      </c>
      <c r="J586" s="247"/>
      <c r="K586" s="117"/>
      <c r="L586" s="4" t="str">
        <f t="shared" si="280"/>
        <v/>
      </c>
      <c r="M586" s="4" t="str">
        <f t="shared" si="281"/>
        <v/>
      </c>
      <c r="N586" s="4" t="str">
        <f t="shared" si="282"/>
        <v/>
      </c>
      <c r="O586" s="4" t="str">
        <f t="shared" si="283"/>
        <v/>
      </c>
      <c r="P586" s="247"/>
      <c r="Q586" s="117"/>
      <c r="R586" s="4" t="str">
        <f t="shared" si="284"/>
        <v/>
      </c>
      <c r="S586" s="4" t="str">
        <f t="shared" si="285"/>
        <v/>
      </c>
      <c r="T586" s="4" t="str">
        <f t="shared" si="286"/>
        <v/>
      </c>
      <c r="U586" s="4" t="str">
        <f t="shared" si="287"/>
        <v/>
      </c>
      <c r="V586" s="247"/>
      <c r="W586" s="67" t="str">
        <f t="shared" si="275"/>
        <v/>
      </c>
      <c r="X586" s="118"/>
      <c r="Z586" s="67" t="str">
        <f t="shared" si="276"/>
        <v/>
      </c>
      <c r="AA586" s="13">
        <f t="shared" si="277"/>
        <v>0</v>
      </c>
      <c r="AB586" s="17">
        <f t="shared" si="278"/>
        <v>0</v>
      </c>
      <c r="AC586" s="163" t="str">
        <f t="shared" si="279"/>
        <v/>
      </c>
      <c r="AD586" s="119"/>
      <c r="AE586" s="21"/>
      <c r="AF586" s="121"/>
      <c r="AG586" s="122"/>
      <c r="AH586" s="83" t="str">
        <f t="shared" si="265"/>
        <v/>
      </c>
      <c r="AI586" s="115"/>
      <c r="AJ586" s="116"/>
      <c r="AK586" s="83" t="str">
        <f t="shared" si="266"/>
        <v/>
      </c>
      <c r="AL586" s="85" t="str">
        <f t="shared" si="267"/>
        <v/>
      </c>
      <c r="AM586" s="254" t="str">
        <f t="shared" si="268"/>
        <v/>
      </c>
      <c r="AN586" s="254" t="str">
        <f t="shared" ca="1" si="270"/>
        <v/>
      </c>
      <c r="AO586" s="255" t="str">
        <f t="shared" si="269"/>
        <v/>
      </c>
    </row>
    <row r="587" spans="2:41" x14ac:dyDescent="0.25">
      <c r="B587" s="321"/>
      <c r="C587" s="17"/>
      <c r="E587" s="117"/>
      <c r="F587" s="4" t="str">
        <f t="shared" si="271"/>
        <v/>
      </c>
      <c r="G587" s="4" t="str">
        <f t="shared" si="272"/>
        <v/>
      </c>
      <c r="H587" s="4" t="str">
        <f t="shared" si="273"/>
        <v/>
      </c>
      <c r="I587" s="4" t="str">
        <f t="shared" si="274"/>
        <v/>
      </c>
      <c r="J587" s="247"/>
      <c r="K587" s="117"/>
      <c r="L587" s="4" t="str">
        <f t="shared" si="280"/>
        <v/>
      </c>
      <c r="M587" s="4" t="str">
        <f t="shared" si="281"/>
        <v/>
      </c>
      <c r="N587" s="4" t="str">
        <f t="shared" si="282"/>
        <v/>
      </c>
      <c r="O587" s="4" t="str">
        <f t="shared" si="283"/>
        <v/>
      </c>
      <c r="P587" s="247"/>
      <c r="Q587" s="117"/>
      <c r="R587" s="4" t="str">
        <f t="shared" si="284"/>
        <v/>
      </c>
      <c r="S587" s="4" t="str">
        <f t="shared" si="285"/>
        <v/>
      </c>
      <c r="T587" s="4" t="str">
        <f t="shared" si="286"/>
        <v/>
      </c>
      <c r="U587" s="4" t="str">
        <f t="shared" si="287"/>
        <v/>
      </c>
      <c r="V587" s="247"/>
      <c r="W587" s="67" t="str">
        <f t="shared" si="275"/>
        <v/>
      </c>
      <c r="X587" s="118"/>
      <c r="Z587" s="67" t="str">
        <f t="shared" si="276"/>
        <v/>
      </c>
      <c r="AA587" s="13">
        <f t="shared" si="277"/>
        <v>0</v>
      </c>
      <c r="AB587" s="17">
        <f t="shared" si="278"/>
        <v>0</v>
      </c>
      <c r="AC587" s="163" t="str">
        <f t="shared" si="279"/>
        <v/>
      </c>
      <c r="AD587" s="119"/>
      <c r="AE587" s="21"/>
      <c r="AF587" s="121"/>
      <c r="AG587" s="122"/>
      <c r="AH587" s="83" t="str">
        <f t="shared" si="265"/>
        <v/>
      </c>
      <c r="AI587" s="115"/>
      <c r="AJ587" s="116"/>
      <c r="AK587" s="83" t="str">
        <f t="shared" si="266"/>
        <v/>
      </c>
      <c r="AL587" s="85" t="str">
        <f t="shared" si="267"/>
        <v/>
      </c>
      <c r="AM587" s="254" t="str">
        <f t="shared" si="268"/>
        <v/>
      </c>
      <c r="AN587" s="254" t="str">
        <f t="shared" ca="1" si="270"/>
        <v/>
      </c>
      <c r="AO587" s="255" t="str">
        <f t="shared" si="269"/>
        <v/>
      </c>
    </row>
    <row r="588" spans="2:41" x14ac:dyDescent="0.25">
      <c r="B588" s="321"/>
      <c r="C588" s="17"/>
      <c r="E588" s="117"/>
      <c r="F588" s="4" t="str">
        <f t="shared" si="271"/>
        <v/>
      </c>
      <c r="G588" s="4" t="str">
        <f t="shared" si="272"/>
        <v/>
      </c>
      <c r="H588" s="4" t="str">
        <f t="shared" si="273"/>
        <v/>
      </c>
      <c r="I588" s="4" t="str">
        <f t="shared" si="274"/>
        <v/>
      </c>
      <c r="J588" s="247"/>
      <c r="K588" s="117"/>
      <c r="L588" s="4" t="str">
        <f t="shared" si="280"/>
        <v/>
      </c>
      <c r="M588" s="4" t="str">
        <f t="shared" si="281"/>
        <v/>
      </c>
      <c r="N588" s="4" t="str">
        <f t="shared" si="282"/>
        <v/>
      </c>
      <c r="O588" s="4" t="str">
        <f t="shared" si="283"/>
        <v/>
      </c>
      <c r="P588" s="247"/>
      <c r="Q588" s="117"/>
      <c r="R588" s="4" t="str">
        <f t="shared" si="284"/>
        <v/>
      </c>
      <c r="S588" s="4" t="str">
        <f t="shared" si="285"/>
        <v/>
      </c>
      <c r="T588" s="4" t="str">
        <f t="shared" si="286"/>
        <v/>
      </c>
      <c r="U588" s="4" t="str">
        <f t="shared" si="287"/>
        <v/>
      </c>
      <c r="V588" s="247"/>
      <c r="W588" s="67" t="str">
        <f t="shared" si="275"/>
        <v/>
      </c>
      <c r="X588" s="118"/>
      <c r="Z588" s="67" t="str">
        <f t="shared" si="276"/>
        <v/>
      </c>
      <c r="AA588" s="13">
        <f t="shared" si="277"/>
        <v>0</v>
      </c>
      <c r="AB588" s="17">
        <f t="shared" si="278"/>
        <v>0</v>
      </c>
      <c r="AC588" s="163" t="str">
        <f t="shared" si="279"/>
        <v/>
      </c>
      <c r="AD588" s="119"/>
      <c r="AE588" s="21"/>
      <c r="AF588" s="121"/>
      <c r="AG588" s="122"/>
      <c r="AH588" s="83" t="str">
        <f t="shared" si="265"/>
        <v/>
      </c>
      <c r="AI588" s="115"/>
      <c r="AJ588" s="116"/>
      <c r="AK588" s="83" t="str">
        <f t="shared" si="266"/>
        <v/>
      </c>
      <c r="AL588" s="85" t="str">
        <f t="shared" si="267"/>
        <v/>
      </c>
      <c r="AM588" s="254" t="str">
        <f t="shared" si="268"/>
        <v/>
      </c>
      <c r="AN588" s="254" t="str">
        <f t="shared" ca="1" si="270"/>
        <v/>
      </c>
      <c r="AO588" s="255" t="str">
        <f t="shared" si="269"/>
        <v/>
      </c>
    </row>
    <row r="589" spans="2:41" x14ac:dyDescent="0.25">
      <c r="B589" s="321"/>
      <c r="C589" s="17"/>
      <c r="E589" s="117"/>
      <c r="F589" s="4" t="str">
        <f t="shared" si="271"/>
        <v/>
      </c>
      <c r="G589" s="4" t="str">
        <f t="shared" si="272"/>
        <v/>
      </c>
      <c r="H589" s="4" t="str">
        <f t="shared" si="273"/>
        <v/>
      </c>
      <c r="I589" s="4" t="str">
        <f t="shared" si="274"/>
        <v/>
      </c>
      <c r="J589" s="247"/>
      <c r="K589" s="117"/>
      <c r="L589" s="4" t="str">
        <f t="shared" si="280"/>
        <v/>
      </c>
      <c r="M589" s="4" t="str">
        <f t="shared" si="281"/>
        <v/>
      </c>
      <c r="N589" s="4" t="str">
        <f t="shared" si="282"/>
        <v/>
      </c>
      <c r="O589" s="4" t="str">
        <f t="shared" si="283"/>
        <v/>
      </c>
      <c r="P589" s="247"/>
      <c r="Q589" s="117"/>
      <c r="R589" s="4" t="str">
        <f t="shared" si="284"/>
        <v/>
      </c>
      <c r="S589" s="4" t="str">
        <f t="shared" si="285"/>
        <v/>
      </c>
      <c r="T589" s="4" t="str">
        <f t="shared" si="286"/>
        <v/>
      </c>
      <c r="U589" s="4" t="str">
        <f t="shared" si="287"/>
        <v/>
      </c>
      <c r="V589" s="247"/>
      <c r="W589" s="67" t="str">
        <f t="shared" si="275"/>
        <v/>
      </c>
      <c r="X589" s="118"/>
      <c r="Z589" s="67" t="str">
        <f t="shared" si="276"/>
        <v/>
      </c>
      <c r="AA589" s="13">
        <f t="shared" si="277"/>
        <v>0</v>
      </c>
      <c r="AB589" s="17">
        <f t="shared" si="278"/>
        <v>0</v>
      </c>
      <c r="AC589" s="163" t="str">
        <f t="shared" si="279"/>
        <v/>
      </c>
      <c r="AD589" s="119"/>
      <c r="AE589" s="21"/>
      <c r="AF589" s="121"/>
      <c r="AG589" s="122"/>
      <c r="AH589" s="83" t="str">
        <f t="shared" si="265"/>
        <v/>
      </c>
      <c r="AI589" s="115"/>
      <c r="AJ589" s="116"/>
      <c r="AK589" s="83" t="str">
        <f t="shared" si="266"/>
        <v/>
      </c>
      <c r="AL589" s="85" t="str">
        <f t="shared" si="267"/>
        <v/>
      </c>
      <c r="AM589" s="254" t="str">
        <f t="shared" si="268"/>
        <v/>
      </c>
      <c r="AN589" s="254" t="str">
        <f t="shared" ca="1" si="270"/>
        <v/>
      </c>
      <c r="AO589" s="255" t="str">
        <f t="shared" si="269"/>
        <v/>
      </c>
    </row>
    <row r="590" spans="2:41" x14ac:dyDescent="0.25">
      <c r="B590" s="321"/>
      <c r="C590" s="17"/>
      <c r="E590" s="117"/>
      <c r="F590" s="4" t="str">
        <f t="shared" si="271"/>
        <v/>
      </c>
      <c r="G590" s="4" t="str">
        <f t="shared" si="272"/>
        <v/>
      </c>
      <c r="H590" s="4" t="str">
        <f t="shared" si="273"/>
        <v/>
      </c>
      <c r="I590" s="4" t="str">
        <f t="shared" si="274"/>
        <v/>
      </c>
      <c r="J590" s="247"/>
      <c r="K590" s="117"/>
      <c r="L590" s="4" t="str">
        <f t="shared" si="280"/>
        <v/>
      </c>
      <c r="M590" s="4" t="str">
        <f t="shared" si="281"/>
        <v/>
      </c>
      <c r="N590" s="4" t="str">
        <f t="shared" si="282"/>
        <v/>
      </c>
      <c r="O590" s="4" t="str">
        <f t="shared" si="283"/>
        <v/>
      </c>
      <c r="P590" s="247"/>
      <c r="Q590" s="117"/>
      <c r="R590" s="4" t="str">
        <f t="shared" si="284"/>
        <v/>
      </c>
      <c r="S590" s="4" t="str">
        <f t="shared" si="285"/>
        <v/>
      </c>
      <c r="T590" s="4" t="str">
        <f t="shared" si="286"/>
        <v/>
      </c>
      <c r="U590" s="4" t="str">
        <f t="shared" si="287"/>
        <v/>
      </c>
      <c r="V590" s="247"/>
      <c r="W590" s="67" t="str">
        <f t="shared" si="275"/>
        <v/>
      </c>
      <c r="X590" s="118"/>
      <c r="Z590" s="67" t="str">
        <f t="shared" si="276"/>
        <v/>
      </c>
      <c r="AA590" s="13">
        <f t="shared" si="277"/>
        <v>0</v>
      </c>
      <c r="AB590" s="17">
        <f t="shared" si="278"/>
        <v>0</v>
      </c>
      <c r="AC590" s="163" t="str">
        <f t="shared" si="279"/>
        <v/>
      </c>
      <c r="AD590" s="119"/>
      <c r="AE590" s="21"/>
      <c r="AF590" s="121"/>
      <c r="AG590" s="122"/>
      <c r="AH590" s="83" t="str">
        <f t="shared" si="265"/>
        <v/>
      </c>
      <c r="AI590" s="115"/>
      <c r="AJ590" s="116"/>
      <c r="AK590" s="83" t="str">
        <f t="shared" si="266"/>
        <v/>
      </c>
      <c r="AL590" s="85" t="str">
        <f t="shared" si="267"/>
        <v/>
      </c>
      <c r="AM590" s="254" t="str">
        <f t="shared" si="268"/>
        <v/>
      </c>
      <c r="AN590" s="254" t="str">
        <f t="shared" ca="1" si="270"/>
        <v/>
      </c>
      <c r="AO590" s="255" t="str">
        <f t="shared" si="269"/>
        <v/>
      </c>
    </row>
    <row r="591" spans="2:41" x14ac:dyDescent="0.25">
      <c r="B591" s="321"/>
      <c r="C591" s="17"/>
      <c r="E591" s="117"/>
      <c r="F591" s="4" t="str">
        <f t="shared" si="271"/>
        <v/>
      </c>
      <c r="G591" s="4" t="str">
        <f t="shared" si="272"/>
        <v/>
      </c>
      <c r="H591" s="4" t="str">
        <f t="shared" si="273"/>
        <v/>
      </c>
      <c r="I591" s="4" t="str">
        <f t="shared" si="274"/>
        <v/>
      </c>
      <c r="J591" s="247"/>
      <c r="K591" s="117"/>
      <c r="L591" s="4" t="str">
        <f t="shared" si="280"/>
        <v/>
      </c>
      <c r="M591" s="4" t="str">
        <f t="shared" si="281"/>
        <v/>
      </c>
      <c r="N591" s="4" t="str">
        <f t="shared" si="282"/>
        <v/>
      </c>
      <c r="O591" s="4" t="str">
        <f t="shared" si="283"/>
        <v/>
      </c>
      <c r="P591" s="247"/>
      <c r="Q591" s="117"/>
      <c r="R591" s="4" t="str">
        <f t="shared" si="284"/>
        <v/>
      </c>
      <c r="S591" s="4" t="str">
        <f t="shared" si="285"/>
        <v/>
      </c>
      <c r="T591" s="4" t="str">
        <f t="shared" si="286"/>
        <v/>
      </c>
      <c r="U591" s="4" t="str">
        <f t="shared" si="287"/>
        <v/>
      </c>
      <c r="V591" s="247"/>
      <c r="W591" s="67" t="str">
        <f t="shared" si="275"/>
        <v/>
      </c>
      <c r="X591" s="118"/>
      <c r="Z591" s="67" t="str">
        <f t="shared" si="276"/>
        <v/>
      </c>
      <c r="AA591" s="13">
        <f t="shared" si="277"/>
        <v>0</v>
      </c>
      <c r="AB591" s="17">
        <f t="shared" si="278"/>
        <v>0</v>
      </c>
      <c r="AC591" s="163" t="str">
        <f t="shared" si="279"/>
        <v/>
      </c>
      <c r="AD591" s="119"/>
      <c r="AE591" s="21"/>
      <c r="AF591" s="121"/>
      <c r="AG591" s="122"/>
      <c r="AH591" s="83" t="str">
        <f t="shared" si="265"/>
        <v/>
      </c>
      <c r="AI591" s="115"/>
      <c r="AJ591" s="116"/>
      <c r="AK591" s="83" t="str">
        <f t="shared" si="266"/>
        <v/>
      </c>
      <c r="AL591" s="85" t="str">
        <f t="shared" si="267"/>
        <v/>
      </c>
      <c r="AM591" s="254" t="str">
        <f t="shared" si="268"/>
        <v/>
      </c>
      <c r="AN591" s="254" t="str">
        <f t="shared" ca="1" si="270"/>
        <v/>
      </c>
      <c r="AO591" s="255" t="str">
        <f t="shared" si="269"/>
        <v/>
      </c>
    </row>
    <row r="592" spans="2:41" x14ac:dyDescent="0.25">
      <c r="B592" s="321"/>
      <c r="C592" s="17"/>
      <c r="E592" s="117"/>
      <c r="F592" s="4" t="str">
        <f t="shared" si="271"/>
        <v/>
      </c>
      <c r="G592" s="4" t="str">
        <f t="shared" si="272"/>
        <v/>
      </c>
      <c r="H592" s="4" t="str">
        <f t="shared" si="273"/>
        <v/>
      </c>
      <c r="I592" s="4" t="str">
        <f t="shared" si="274"/>
        <v/>
      </c>
      <c r="J592" s="247"/>
      <c r="K592" s="117"/>
      <c r="L592" s="4" t="str">
        <f t="shared" si="280"/>
        <v/>
      </c>
      <c r="M592" s="4" t="str">
        <f t="shared" si="281"/>
        <v/>
      </c>
      <c r="N592" s="4" t="str">
        <f t="shared" si="282"/>
        <v/>
      </c>
      <c r="O592" s="4" t="str">
        <f t="shared" si="283"/>
        <v/>
      </c>
      <c r="P592" s="247"/>
      <c r="Q592" s="117"/>
      <c r="R592" s="4" t="str">
        <f t="shared" si="284"/>
        <v/>
      </c>
      <c r="S592" s="4" t="str">
        <f t="shared" si="285"/>
        <v/>
      </c>
      <c r="T592" s="4" t="str">
        <f t="shared" si="286"/>
        <v/>
      </c>
      <c r="U592" s="4" t="str">
        <f t="shared" si="287"/>
        <v/>
      </c>
      <c r="V592" s="247"/>
      <c r="W592" s="67" t="str">
        <f t="shared" si="275"/>
        <v/>
      </c>
      <c r="X592" s="118"/>
      <c r="Z592" s="67" t="str">
        <f t="shared" si="276"/>
        <v/>
      </c>
      <c r="AA592" s="13">
        <f t="shared" si="277"/>
        <v>0</v>
      </c>
      <c r="AB592" s="17">
        <f t="shared" si="278"/>
        <v>0</v>
      </c>
      <c r="AC592" s="163" t="str">
        <f t="shared" si="279"/>
        <v/>
      </c>
      <c r="AD592" s="119"/>
      <c r="AE592" s="21"/>
      <c r="AF592" s="121"/>
      <c r="AG592" s="122"/>
      <c r="AH592" s="83" t="str">
        <f t="shared" si="265"/>
        <v/>
      </c>
      <c r="AI592" s="115"/>
      <c r="AJ592" s="116"/>
      <c r="AK592" s="83" t="str">
        <f t="shared" si="266"/>
        <v/>
      </c>
      <c r="AL592" s="85" t="str">
        <f t="shared" si="267"/>
        <v/>
      </c>
      <c r="AM592" s="254" t="str">
        <f t="shared" si="268"/>
        <v/>
      </c>
      <c r="AN592" s="254" t="str">
        <f t="shared" ca="1" si="270"/>
        <v/>
      </c>
      <c r="AO592" s="255" t="str">
        <f t="shared" si="269"/>
        <v/>
      </c>
    </row>
    <row r="593" spans="2:41" x14ac:dyDescent="0.25">
      <c r="B593" s="321"/>
      <c r="C593" s="17"/>
      <c r="E593" s="117"/>
      <c r="F593" s="4" t="str">
        <f t="shared" si="271"/>
        <v/>
      </c>
      <c r="G593" s="4" t="str">
        <f t="shared" si="272"/>
        <v/>
      </c>
      <c r="H593" s="4" t="str">
        <f t="shared" si="273"/>
        <v/>
      </c>
      <c r="I593" s="4" t="str">
        <f t="shared" si="274"/>
        <v/>
      </c>
      <c r="J593" s="247"/>
      <c r="K593" s="117"/>
      <c r="L593" s="4" t="str">
        <f t="shared" si="280"/>
        <v/>
      </c>
      <c r="M593" s="4" t="str">
        <f t="shared" si="281"/>
        <v/>
      </c>
      <c r="N593" s="4" t="str">
        <f t="shared" si="282"/>
        <v/>
      </c>
      <c r="O593" s="4" t="str">
        <f t="shared" si="283"/>
        <v/>
      </c>
      <c r="P593" s="247"/>
      <c r="Q593" s="117"/>
      <c r="R593" s="4" t="str">
        <f t="shared" si="284"/>
        <v/>
      </c>
      <c r="S593" s="4" t="str">
        <f t="shared" si="285"/>
        <v/>
      </c>
      <c r="T593" s="4" t="str">
        <f t="shared" si="286"/>
        <v/>
      </c>
      <c r="U593" s="4" t="str">
        <f t="shared" si="287"/>
        <v/>
      </c>
      <c r="V593" s="247"/>
      <c r="W593" s="67" t="str">
        <f t="shared" si="275"/>
        <v/>
      </c>
      <c r="X593" s="118"/>
      <c r="Z593" s="67" t="str">
        <f t="shared" si="276"/>
        <v/>
      </c>
      <c r="AA593" s="13">
        <f t="shared" si="277"/>
        <v>0</v>
      </c>
      <c r="AB593" s="17">
        <f t="shared" si="278"/>
        <v>0</v>
      </c>
      <c r="AC593" s="163" t="str">
        <f t="shared" si="279"/>
        <v/>
      </c>
      <c r="AD593" s="119"/>
      <c r="AE593" s="21"/>
      <c r="AF593" s="121"/>
      <c r="AG593" s="122"/>
      <c r="AH593" s="83" t="str">
        <f t="shared" si="265"/>
        <v/>
      </c>
      <c r="AI593" s="115"/>
      <c r="AJ593" s="116"/>
      <c r="AK593" s="83" t="str">
        <f t="shared" si="266"/>
        <v/>
      </c>
      <c r="AL593" s="85" t="str">
        <f t="shared" si="267"/>
        <v/>
      </c>
      <c r="AM593" s="254" t="str">
        <f t="shared" si="268"/>
        <v/>
      </c>
      <c r="AN593" s="254" t="str">
        <f t="shared" ca="1" si="270"/>
        <v/>
      </c>
      <c r="AO593" s="255" t="str">
        <f t="shared" si="269"/>
        <v/>
      </c>
    </row>
    <row r="594" spans="2:41" x14ac:dyDescent="0.25">
      <c r="B594" s="321"/>
      <c r="C594" s="17"/>
      <c r="E594" s="117"/>
      <c r="F594" s="4" t="str">
        <f t="shared" si="271"/>
        <v/>
      </c>
      <c r="G594" s="4" t="str">
        <f t="shared" si="272"/>
        <v/>
      </c>
      <c r="H594" s="4" t="str">
        <f t="shared" si="273"/>
        <v/>
      </c>
      <c r="I594" s="4" t="str">
        <f t="shared" si="274"/>
        <v/>
      </c>
      <c r="J594" s="247"/>
      <c r="K594" s="117"/>
      <c r="L594" s="4" t="str">
        <f t="shared" si="280"/>
        <v/>
      </c>
      <c r="M594" s="4" t="str">
        <f t="shared" si="281"/>
        <v/>
      </c>
      <c r="N594" s="4" t="str">
        <f t="shared" si="282"/>
        <v/>
      </c>
      <c r="O594" s="4" t="str">
        <f t="shared" si="283"/>
        <v/>
      </c>
      <c r="P594" s="247"/>
      <c r="Q594" s="117"/>
      <c r="R594" s="4" t="str">
        <f t="shared" si="284"/>
        <v/>
      </c>
      <c r="S594" s="4" t="str">
        <f t="shared" si="285"/>
        <v/>
      </c>
      <c r="T594" s="4" t="str">
        <f t="shared" si="286"/>
        <v/>
      </c>
      <c r="U594" s="4" t="str">
        <f t="shared" si="287"/>
        <v/>
      </c>
      <c r="V594" s="247"/>
      <c r="W594" s="67" t="str">
        <f t="shared" si="275"/>
        <v/>
      </c>
      <c r="X594" s="118"/>
      <c r="Z594" s="67" t="str">
        <f t="shared" si="276"/>
        <v/>
      </c>
      <c r="AA594" s="13">
        <f t="shared" si="277"/>
        <v>0</v>
      </c>
      <c r="AB594" s="17">
        <f t="shared" si="278"/>
        <v>0</v>
      </c>
      <c r="AC594" s="163" t="str">
        <f t="shared" si="279"/>
        <v/>
      </c>
      <c r="AD594" s="119"/>
      <c r="AE594" s="21"/>
      <c r="AF594" s="121"/>
      <c r="AG594" s="122"/>
      <c r="AH594" s="83" t="str">
        <f t="shared" si="265"/>
        <v/>
      </c>
      <c r="AI594" s="115"/>
      <c r="AJ594" s="116"/>
      <c r="AK594" s="83" t="str">
        <f t="shared" si="266"/>
        <v/>
      </c>
      <c r="AL594" s="85" t="str">
        <f t="shared" si="267"/>
        <v/>
      </c>
      <c r="AM594" s="254" t="str">
        <f t="shared" si="268"/>
        <v/>
      </c>
      <c r="AN594" s="254" t="str">
        <f t="shared" ca="1" si="270"/>
        <v/>
      </c>
      <c r="AO594" s="255" t="str">
        <f t="shared" si="269"/>
        <v/>
      </c>
    </row>
    <row r="595" spans="2:41" x14ac:dyDescent="0.25">
      <c r="B595" s="321"/>
      <c r="C595" s="17"/>
      <c r="E595" s="117"/>
      <c r="F595" s="4" t="str">
        <f t="shared" si="271"/>
        <v/>
      </c>
      <c r="G595" s="4" t="str">
        <f t="shared" si="272"/>
        <v/>
      </c>
      <c r="H595" s="4" t="str">
        <f t="shared" si="273"/>
        <v/>
      </c>
      <c r="I595" s="4" t="str">
        <f t="shared" si="274"/>
        <v/>
      </c>
      <c r="J595" s="247"/>
      <c r="K595" s="117"/>
      <c r="L595" s="4" t="str">
        <f t="shared" si="280"/>
        <v/>
      </c>
      <c r="M595" s="4" t="str">
        <f t="shared" si="281"/>
        <v/>
      </c>
      <c r="N595" s="4" t="str">
        <f t="shared" si="282"/>
        <v/>
      </c>
      <c r="O595" s="4" t="str">
        <f t="shared" si="283"/>
        <v/>
      </c>
      <c r="P595" s="247"/>
      <c r="Q595" s="117"/>
      <c r="R595" s="4" t="str">
        <f t="shared" si="284"/>
        <v/>
      </c>
      <c r="S595" s="4" t="str">
        <f t="shared" si="285"/>
        <v/>
      </c>
      <c r="T595" s="4" t="str">
        <f t="shared" si="286"/>
        <v/>
      </c>
      <c r="U595" s="4" t="str">
        <f t="shared" si="287"/>
        <v/>
      </c>
      <c r="V595" s="247"/>
      <c r="W595" s="67" t="str">
        <f t="shared" si="275"/>
        <v/>
      </c>
      <c r="X595" s="118"/>
      <c r="Z595" s="67" t="str">
        <f t="shared" si="276"/>
        <v/>
      </c>
      <c r="AA595" s="13">
        <f t="shared" si="277"/>
        <v>0</v>
      </c>
      <c r="AB595" s="17">
        <f t="shared" si="278"/>
        <v>0</v>
      </c>
      <c r="AC595" s="163" t="str">
        <f t="shared" si="279"/>
        <v/>
      </c>
      <c r="AD595" s="119"/>
      <c r="AE595" s="21"/>
      <c r="AF595" s="121"/>
      <c r="AG595" s="122"/>
      <c r="AH595" s="83" t="str">
        <f t="shared" si="265"/>
        <v/>
      </c>
      <c r="AI595" s="115"/>
      <c r="AJ595" s="116"/>
      <c r="AK595" s="83" t="str">
        <f t="shared" si="266"/>
        <v/>
      </c>
      <c r="AL595" s="85" t="str">
        <f t="shared" si="267"/>
        <v/>
      </c>
      <c r="AM595" s="254" t="str">
        <f t="shared" si="268"/>
        <v/>
      </c>
      <c r="AN595" s="254" t="str">
        <f t="shared" ca="1" si="270"/>
        <v/>
      </c>
      <c r="AO595" s="255" t="str">
        <f t="shared" si="269"/>
        <v/>
      </c>
    </row>
    <row r="596" spans="2:41" x14ac:dyDescent="0.25">
      <c r="B596" s="321"/>
      <c r="C596" s="17"/>
      <c r="E596" s="117"/>
      <c r="F596" s="4" t="str">
        <f t="shared" si="271"/>
        <v/>
      </c>
      <c r="G596" s="4" t="str">
        <f t="shared" si="272"/>
        <v/>
      </c>
      <c r="H596" s="4" t="str">
        <f t="shared" si="273"/>
        <v/>
      </c>
      <c r="I596" s="4" t="str">
        <f t="shared" si="274"/>
        <v/>
      </c>
      <c r="J596" s="247"/>
      <c r="K596" s="117"/>
      <c r="L596" s="4" t="str">
        <f t="shared" si="280"/>
        <v/>
      </c>
      <c r="M596" s="4" t="str">
        <f t="shared" si="281"/>
        <v/>
      </c>
      <c r="N596" s="4" t="str">
        <f t="shared" si="282"/>
        <v/>
      </c>
      <c r="O596" s="4" t="str">
        <f t="shared" si="283"/>
        <v/>
      </c>
      <c r="P596" s="247"/>
      <c r="Q596" s="117"/>
      <c r="R596" s="4" t="str">
        <f t="shared" si="284"/>
        <v/>
      </c>
      <c r="S596" s="4" t="str">
        <f t="shared" si="285"/>
        <v/>
      </c>
      <c r="T596" s="4" t="str">
        <f t="shared" si="286"/>
        <v/>
      </c>
      <c r="U596" s="4" t="str">
        <f t="shared" si="287"/>
        <v/>
      </c>
      <c r="V596" s="247"/>
      <c r="W596" s="67" t="str">
        <f t="shared" si="275"/>
        <v/>
      </c>
      <c r="X596" s="118"/>
      <c r="Z596" s="67" t="str">
        <f t="shared" si="276"/>
        <v/>
      </c>
      <c r="AA596" s="13">
        <f t="shared" si="277"/>
        <v>0</v>
      </c>
      <c r="AB596" s="17">
        <f t="shared" si="278"/>
        <v>0</v>
      </c>
      <c r="AC596" s="163" t="str">
        <f t="shared" si="279"/>
        <v/>
      </c>
      <c r="AD596" s="119"/>
      <c r="AE596" s="21"/>
      <c r="AF596" s="121"/>
      <c r="AG596" s="122"/>
      <c r="AH596" s="83" t="str">
        <f t="shared" si="265"/>
        <v/>
      </c>
      <c r="AI596" s="115"/>
      <c r="AJ596" s="116"/>
      <c r="AK596" s="83" t="str">
        <f t="shared" si="266"/>
        <v/>
      </c>
      <c r="AL596" s="85" t="str">
        <f t="shared" si="267"/>
        <v/>
      </c>
      <c r="AM596" s="254" t="str">
        <f t="shared" si="268"/>
        <v/>
      </c>
      <c r="AN596" s="254" t="str">
        <f t="shared" ca="1" si="270"/>
        <v/>
      </c>
      <c r="AO596" s="255" t="str">
        <f t="shared" si="269"/>
        <v/>
      </c>
    </row>
    <row r="597" spans="2:41" x14ac:dyDescent="0.25">
      <c r="B597" s="321"/>
      <c r="C597" s="17"/>
      <c r="E597" s="117"/>
      <c r="F597" s="4" t="str">
        <f t="shared" si="271"/>
        <v/>
      </c>
      <c r="G597" s="4" t="str">
        <f t="shared" si="272"/>
        <v/>
      </c>
      <c r="H597" s="4" t="str">
        <f t="shared" si="273"/>
        <v/>
      </c>
      <c r="I597" s="4" t="str">
        <f t="shared" si="274"/>
        <v/>
      </c>
      <c r="J597" s="247"/>
      <c r="K597" s="117"/>
      <c r="L597" s="4" t="str">
        <f t="shared" si="280"/>
        <v/>
      </c>
      <c r="M597" s="4" t="str">
        <f t="shared" si="281"/>
        <v/>
      </c>
      <c r="N597" s="4" t="str">
        <f t="shared" si="282"/>
        <v/>
      </c>
      <c r="O597" s="4" t="str">
        <f t="shared" si="283"/>
        <v/>
      </c>
      <c r="P597" s="247"/>
      <c r="Q597" s="117"/>
      <c r="R597" s="4" t="str">
        <f t="shared" si="284"/>
        <v/>
      </c>
      <c r="S597" s="4" t="str">
        <f t="shared" si="285"/>
        <v/>
      </c>
      <c r="T597" s="4" t="str">
        <f t="shared" si="286"/>
        <v/>
      </c>
      <c r="U597" s="4" t="str">
        <f t="shared" si="287"/>
        <v/>
      </c>
      <c r="V597" s="247"/>
      <c r="W597" s="67" t="str">
        <f t="shared" si="275"/>
        <v/>
      </c>
      <c r="X597" s="118"/>
      <c r="Z597" s="67" t="str">
        <f t="shared" si="276"/>
        <v/>
      </c>
      <c r="AA597" s="13">
        <f t="shared" si="277"/>
        <v>0</v>
      </c>
      <c r="AB597" s="17">
        <f t="shared" si="278"/>
        <v>0</v>
      </c>
      <c r="AC597" s="163" t="str">
        <f t="shared" si="279"/>
        <v/>
      </c>
      <c r="AD597" s="119"/>
      <c r="AE597" s="21"/>
      <c r="AF597" s="121"/>
      <c r="AG597" s="122"/>
      <c r="AH597" s="83" t="str">
        <f t="shared" si="265"/>
        <v/>
      </c>
      <c r="AI597" s="115"/>
      <c r="AJ597" s="116"/>
      <c r="AK597" s="83" t="str">
        <f t="shared" si="266"/>
        <v/>
      </c>
      <c r="AL597" s="85" t="str">
        <f t="shared" si="267"/>
        <v/>
      </c>
      <c r="AM597" s="254" t="str">
        <f t="shared" si="268"/>
        <v/>
      </c>
      <c r="AN597" s="254" t="str">
        <f t="shared" ca="1" si="270"/>
        <v/>
      </c>
      <c r="AO597" s="255" t="str">
        <f t="shared" si="269"/>
        <v/>
      </c>
    </row>
    <row r="598" spans="2:41" x14ac:dyDescent="0.25">
      <c r="B598" s="321"/>
      <c r="C598" s="17"/>
      <c r="E598" s="117"/>
      <c r="F598" s="4" t="str">
        <f t="shared" si="271"/>
        <v/>
      </c>
      <c r="G598" s="4" t="str">
        <f t="shared" si="272"/>
        <v/>
      </c>
      <c r="H598" s="4" t="str">
        <f t="shared" si="273"/>
        <v/>
      </c>
      <c r="I598" s="4" t="str">
        <f t="shared" si="274"/>
        <v/>
      </c>
      <c r="J598" s="247"/>
      <c r="K598" s="117"/>
      <c r="L598" s="4" t="str">
        <f t="shared" si="280"/>
        <v/>
      </c>
      <c r="M598" s="4" t="str">
        <f t="shared" si="281"/>
        <v/>
      </c>
      <c r="N598" s="4" t="str">
        <f t="shared" si="282"/>
        <v/>
      </c>
      <c r="O598" s="4" t="str">
        <f t="shared" si="283"/>
        <v/>
      </c>
      <c r="P598" s="247"/>
      <c r="Q598" s="117"/>
      <c r="R598" s="4" t="str">
        <f t="shared" si="284"/>
        <v/>
      </c>
      <c r="S598" s="4" t="str">
        <f t="shared" si="285"/>
        <v/>
      </c>
      <c r="T598" s="4" t="str">
        <f t="shared" si="286"/>
        <v/>
      </c>
      <c r="U598" s="4" t="str">
        <f t="shared" si="287"/>
        <v/>
      </c>
      <c r="V598" s="247"/>
      <c r="W598" s="67" t="str">
        <f t="shared" si="275"/>
        <v/>
      </c>
      <c r="X598" s="118"/>
      <c r="Z598" s="67" t="str">
        <f t="shared" si="276"/>
        <v/>
      </c>
      <c r="AA598" s="13">
        <f t="shared" si="277"/>
        <v>0</v>
      </c>
      <c r="AB598" s="17">
        <f t="shared" si="278"/>
        <v>0</v>
      </c>
      <c r="AC598" s="163" t="str">
        <f t="shared" si="279"/>
        <v/>
      </c>
      <c r="AD598" s="119"/>
      <c r="AE598" s="21"/>
      <c r="AF598" s="121"/>
      <c r="AG598" s="122"/>
      <c r="AH598" s="83" t="str">
        <f t="shared" si="265"/>
        <v/>
      </c>
      <c r="AI598" s="115"/>
      <c r="AJ598" s="116"/>
      <c r="AK598" s="83" t="str">
        <f t="shared" si="266"/>
        <v/>
      </c>
      <c r="AL598" s="85" t="str">
        <f t="shared" si="267"/>
        <v/>
      </c>
      <c r="AM598" s="254" t="str">
        <f t="shared" si="268"/>
        <v/>
      </c>
      <c r="AN598" s="254" t="str">
        <f t="shared" ca="1" si="270"/>
        <v/>
      </c>
      <c r="AO598" s="255" t="str">
        <f t="shared" si="269"/>
        <v/>
      </c>
    </row>
    <row r="599" spans="2:41" x14ac:dyDescent="0.25">
      <c r="B599" s="321"/>
      <c r="C599" s="17"/>
      <c r="E599" s="117"/>
      <c r="F599" s="4" t="str">
        <f t="shared" si="271"/>
        <v/>
      </c>
      <c r="G599" s="4" t="str">
        <f t="shared" si="272"/>
        <v/>
      </c>
      <c r="H599" s="4" t="str">
        <f t="shared" si="273"/>
        <v/>
      </c>
      <c r="I599" s="4" t="str">
        <f t="shared" si="274"/>
        <v/>
      </c>
      <c r="J599" s="247"/>
      <c r="K599" s="117"/>
      <c r="L599" s="4" t="str">
        <f t="shared" si="280"/>
        <v/>
      </c>
      <c r="M599" s="4" t="str">
        <f t="shared" si="281"/>
        <v/>
      </c>
      <c r="N599" s="4" t="str">
        <f t="shared" si="282"/>
        <v/>
      </c>
      <c r="O599" s="4" t="str">
        <f t="shared" si="283"/>
        <v/>
      </c>
      <c r="P599" s="247"/>
      <c r="Q599" s="117"/>
      <c r="R599" s="4" t="str">
        <f t="shared" si="284"/>
        <v/>
      </c>
      <c r="S599" s="4" t="str">
        <f t="shared" si="285"/>
        <v/>
      </c>
      <c r="T599" s="4" t="str">
        <f t="shared" si="286"/>
        <v/>
      </c>
      <c r="U599" s="4" t="str">
        <f t="shared" si="287"/>
        <v/>
      </c>
      <c r="V599" s="247"/>
      <c r="W599" s="67" t="str">
        <f t="shared" si="275"/>
        <v/>
      </c>
      <c r="X599" s="118"/>
      <c r="Z599" s="67" t="str">
        <f t="shared" si="276"/>
        <v/>
      </c>
      <c r="AA599" s="13">
        <f t="shared" si="277"/>
        <v>0</v>
      </c>
      <c r="AB599" s="17">
        <f t="shared" si="278"/>
        <v>0</v>
      </c>
      <c r="AC599" s="163" t="str">
        <f t="shared" si="279"/>
        <v/>
      </c>
      <c r="AD599" s="119"/>
      <c r="AE599" s="21"/>
      <c r="AF599" s="121"/>
      <c r="AG599" s="122"/>
      <c r="AH599" s="83" t="str">
        <f t="shared" si="265"/>
        <v/>
      </c>
      <c r="AI599" s="115"/>
      <c r="AJ599" s="116"/>
      <c r="AK599" s="83" t="str">
        <f t="shared" si="266"/>
        <v/>
      </c>
      <c r="AL599" s="85" t="str">
        <f t="shared" si="267"/>
        <v/>
      </c>
      <c r="AM599" s="254" t="str">
        <f t="shared" si="268"/>
        <v/>
      </c>
      <c r="AN599" s="254" t="str">
        <f t="shared" ca="1" si="270"/>
        <v/>
      </c>
      <c r="AO599" s="255" t="str">
        <f t="shared" si="269"/>
        <v/>
      </c>
    </row>
    <row r="600" spans="2:41" x14ac:dyDescent="0.25">
      <c r="B600" s="321"/>
      <c r="C600" s="17"/>
      <c r="E600" s="117"/>
      <c r="F600" s="4" t="str">
        <f t="shared" si="271"/>
        <v/>
      </c>
      <c r="G600" s="4" t="str">
        <f t="shared" si="272"/>
        <v/>
      </c>
      <c r="H600" s="4" t="str">
        <f t="shared" si="273"/>
        <v/>
      </c>
      <c r="I600" s="4" t="str">
        <f t="shared" si="274"/>
        <v/>
      </c>
      <c r="J600" s="247"/>
      <c r="K600" s="117"/>
      <c r="L600" s="4" t="str">
        <f t="shared" si="280"/>
        <v/>
      </c>
      <c r="M600" s="4" t="str">
        <f t="shared" si="281"/>
        <v/>
      </c>
      <c r="N600" s="4" t="str">
        <f t="shared" si="282"/>
        <v/>
      </c>
      <c r="O600" s="4" t="str">
        <f t="shared" si="283"/>
        <v/>
      </c>
      <c r="P600" s="247"/>
      <c r="Q600" s="117"/>
      <c r="R600" s="4" t="str">
        <f t="shared" si="284"/>
        <v/>
      </c>
      <c r="S600" s="4" t="str">
        <f t="shared" si="285"/>
        <v/>
      </c>
      <c r="T600" s="4" t="str">
        <f t="shared" si="286"/>
        <v/>
      </c>
      <c r="U600" s="4" t="str">
        <f t="shared" si="287"/>
        <v/>
      </c>
      <c r="V600" s="247"/>
      <c r="W600" s="67" t="str">
        <f t="shared" si="275"/>
        <v/>
      </c>
      <c r="X600" s="118"/>
      <c r="Z600" s="67" t="str">
        <f t="shared" si="276"/>
        <v/>
      </c>
      <c r="AA600" s="13">
        <f t="shared" si="277"/>
        <v>0</v>
      </c>
      <c r="AB600" s="17">
        <f t="shared" si="278"/>
        <v>0</v>
      </c>
      <c r="AC600" s="163" t="str">
        <f t="shared" si="279"/>
        <v/>
      </c>
      <c r="AD600" s="119"/>
      <c r="AE600" s="21"/>
      <c r="AF600" s="121"/>
      <c r="AG600" s="122"/>
      <c r="AH600" s="83" t="str">
        <f t="shared" si="265"/>
        <v/>
      </c>
      <c r="AI600" s="115"/>
      <c r="AJ600" s="116"/>
      <c r="AK600" s="83" t="str">
        <f t="shared" si="266"/>
        <v/>
      </c>
      <c r="AL600" s="85" t="str">
        <f t="shared" si="267"/>
        <v/>
      </c>
      <c r="AM600" s="254" t="str">
        <f t="shared" si="268"/>
        <v/>
      </c>
      <c r="AN600" s="254" t="str">
        <f t="shared" ca="1" si="270"/>
        <v/>
      </c>
      <c r="AO600" s="255" t="str">
        <f t="shared" si="269"/>
        <v/>
      </c>
    </row>
    <row r="601" spans="2:41" x14ac:dyDescent="0.25">
      <c r="B601" s="321"/>
      <c r="C601" s="17"/>
      <c r="E601" s="117"/>
      <c r="F601" s="4" t="str">
        <f t="shared" si="271"/>
        <v/>
      </c>
      <c r="G601" s="4" t="str">
        <f t="shared" si="272"/>
        <v/>
      </c>
      <c r="H601" s="4" t="str">
        <f t="shared" si="273"/>
        <v/>
      </c>
      <c r="I601" s="4" t="str">
        <f t="shared" si="274"/>
        <v/>
      </c>
      <c r="J601" s="247"/>
      <c r="K601" s="117"/>
      <c r="L601" s="4" t="str">
        <f t="shared" si="280"/>
        <v/>
      </c>
      <c r="M601" s="4" t="str">
        <f t="shared" si="281"/>
        <v/>
      </c>
      <c r="N601" s="4" t="str">
        <f t="shared" si="282"/>
        <v/>
      </c>
      <c r="O601" s="4" t="str">
        <f t="shared" si="283"/>
        <v/>
      </c>
      <c r="P601" s="247"/>
      <c r="Q601" s="117"/>
      <c r="R601" s="4" t="str">
        <f t="shared" si="284"/>
        <v/>
      </c>
      <c r="S601" s="4" t="str">
        <f t="shared" si="285"/>
        <v/>
      </c>
      <c r="T601" s="4" t="str">
        <f t="shared" si="286"/>
        <v/>
      </c>
      <c r="U601" s="4" t="str">
        <f t="shared" si="287"/>
        <v/>
      </c>
      <c r="V601" s="247"/>
      <c r="W601" s="67" t="str">
        <f t="shared" si="275"/>
        <v/>
      </c>
      <c r="X601" s="118"/>
      <c r="Z601" s="67" t="str">
        <f t="shared" si="276"/>
        <v/>
      </c>
      <c r="AA601" s="13">
        <f t="shared" si="277"/>
        <v>0</v>
      </c>
      <c r="AB601" s="17">
        <f t="shared" si="278"/>
        <v>0</v>
      </c>
      <c r="AC601" s="163" t="str">
        <f t="shared" si="279"/>
        <v/>
      </c>
      <c r="AD601" s="119"/>
      <c r="AE601" s="21"/>
      <c r="AF601" s="121"/>
      <c r="AG601" s="122"/>
      <c r="AH601" s="83" t="str">
        <f t="shared" si="265"/>
        <v/>
      </c>
      <c r="AI601" s="115"/>
      <c r="AJ601" s="116"/>
      <c r="AK601" s="83" t="str">
        <f t="shared" si="266"/>
        <v/>
      </c>
      <c r="AL601" s="85" t="str">
        <f t="shared" si="267"/>
        <v/>
      </c>
      <c r="AM601" s="254" t="str">
        <f t="shared" si="268"/>
        <v/>
      </c>
      <c r="AN601" s="254" t="str">
        <f t="shared" ca="1" si="270"/>
        <v/>
      </c>
      <c r="AO601" s="255" t="str">
        <f t="shared" si="269"/>
        <v/>
      </c>
    </row>
    <row r="602" spans="2:41" x14ac:dyDescent="0.25">
      <c r="B602" s="321"/>
      <c r="C602" s="17"/>
      <c r="E602" s="117"/>
      <c r="F602" s="4" t="str">
        <f t="shared" si="271"/>
        <v/>
      </c>
      <c r="G602" s="4" t="str">
        <f t="shared" si="272"/>
        <v/>
      </c>
      <c r="H602" s="4" t="str">
        <f t="shared" si="273"/>
        <v/>
      </c>
      <c r="I602" s="4" t="str">
        <f t="shared" si="274"/>
        <v/>
      </c>
      <c r="J602" s="247"/>
      <c r="K602" s="117"/>
      <c r="L602" s="4" t="str">
        <f t="shared" si="280"/>
        <v/>
      </c>
      <c r="M602" s="4" t="str">
        <f t="shared" si="281"/>
        <v/>
      </c>
      <c r="N602" s="4" t="str">
        <f t="shared" si="282"/>
        <v/>
      </c>
      <c r="O602" s="4" t="str">
        <f t="shared" si="283"/>
        <v/>
      </c>
      <c r="P602" s="247"/>
      <c r="Q602" s="117"/>
      <c r="R602" s="4" t="str">
        <f t="shared" si="284"/>
        <v/>
      </c>
      <c r="S602" s="4" t="str">
        <f t="shared" si="285"/>
        <v/>
      </c>
      <c r="T602" s="4" t="str">
        <f t="shared" si="286"/>
        <v/>
      </c>
      <c r="U602" s="4" t="str">
        <f t="shared" si="287"/>
        <v/>
      </c>
      <c r="V602" s="247"/>
      <c r="W602" s="67" t="str">
        <f t="shared" si="275"/>
        <v/>
      </c>
      <c r="X602" s="118"/>
      <c r="Z602" s="67" t="str">
        <f t="shared" si="276"/>
        <v/>
      </c>
      <c r="AA602" s="13">
        <f t="shared" si="277"/>
        <v>0</v>
      </c>
      <c r="AB602" s="17">
        <f t="shared" si="278"/>
        <v>0</v>
      </c>
      <c r="AC602" s="163" t="str">
        <f t="shared" si="279"/>
        <v/>
      </c>
      <c r="AD602" s="119"/>
      <c r="AE602" s="21"/>
      <c r="AF602" s="121"/>
      <c r="AG602" s="122"/>
      <c r="AH602" s="83" t="str">
        <f t="shared" si="265"/>
        <v/>
      </c>
      <c r="AI602" s="115"/>
      <c r="AJ602" s="116"/>
      <c r="AK602" s="83" t="str">
        <f t="shared" si="266"/>
        <v/>
      </c>
      <c r="AL602" s="85" t="str">
        <f t="shared" si="267"/>
        <v/>
      </c>
      <c r="AM602" s="254" t="str">
        <f t="shared" si="268"/>
        <v/>
      </c>
      <c r="AN602" s="254" t="str">
        <f t="shared" ca="1" si="270"/>
        <v/>
      </c>
      <c r="AO602" s="255" t="str">
        <f t="shared" si="269"/>
        <v/>
      </c>
    </row>
    <row r="603" spans="2:41" x14ac:dyDescent="0.25">
      <c r="B603" s="321"/>
      <c r="C603" s="17"/>
      <c r="E603" s="117"/>
      <c r="F603" s="4" t="str">
        <f t="shared" si="271"/>
        <v/>
      </c>
      <c r="G603" s="4" t="str">
        <f t="shared" si="272"/>
        <v/>
      </c>
      <c r="H603" s="4" t="str">
        <f t="shared" si="273"/>
        <v/>
      </c>
      <c r="I603" s="4" t="str">
        <f t="shared" si="274"/>
        <v/>
      </c>
      <c r="J603" s="247"/>
      <c r="K603" s="117"/>
      <c r="L603" s="4" t="str">
        <f t="shared" si="280"/>
        <v/>
      </c>
      <c r="M603" s="4" t="str">
        <f t="shared" si="281"/>
        <v/>
      </c>
      <c r="N603" s="4" t="str">
        <f t="shared" si="282"/>
        <v/>
      </c>
      <c r="O603" s="4" t="str">
        <f t="shared" si="283"/>
        <v/>
      </c>
      <c r="P603" s="247"/>
      <c r="Q603" s="117"/>
      <c r="R603" s="4" t="str">
        <f t="shared" si="284"/>
        <v/>
      </c>
      <c r="S603" s="4" t="str">
        <f t="shared" si="285"/>
        <v/>
      </c>
      <c r="T603" s="4" t="str">
        <f t="shared" si="286"/>
        <v/>
      </c>
      <c r="U603" s="4" t="str">
        <f t="shared" si="287"/>
        <v/>
      </c>
      <c r="V603" s="247"/>
      <c r="W603" s="67" t="str">
        <f t="shared" si="275"/>
        <v/>
      </c>
      <c r="X603" s="118"/>
      <c r="Z603" s="67" t="str">
        <f t="shared" si="276"/>
        <v/>
      </c>
      <c r="AA603" s="13">
        <f t="shared" si="277"/>
        <v>0</v>
      </c>
      <c r="AB603" s="17">
        <f t="shared" si="278"/>
        <v>0</v>
      </c>
      <c r="AC603" s="163" t="str">
        <f t="shared" si="279"/>
        <v/>
      </c>
      <c r="AD603" s="119"/>
      <c r="AE603" s="21"/>
      <c r="AF603" s="121"/>
      <c r="AG603" s="122"/>
      <c r="AH603" s="83" t="str">
        <f t="shared" si="265"/>
        <v/>
      </c>
      <c r="AI603" s="115"/>
      <c r="AJ603" s="116"/>
      <c r="AK603" s="83" t="str">
        <f t="shared" si="266"/>
        <v/>
      </c>
      <c r="AL603" s="85" t="str">
        <f t="shared" si="267"/>
        <v/>
      </c>
      <c r="AM603" s="254" t="str">
        <f t="shared" si="268"/>
        <v/>
      </c>
      <c r="AN603" s="254" t="str">
        <f t="shared" ca="1" si="270"/>
        <v/>
      </c>
      <c r="AO603" s="255" t="str">
        <f t="shared" si="269"/>
        <v/>
      </c>
    </row>
    <row r="604" spans="2:41" x14ac:dyDescent="0.25">
      <c r="B604" s="321"/>
      <c r="C604" s="17"/>
      <c r="E604" s="117"/>
      <c r="F604" s="4" t="str">
        <f t="shared" si="271"/>
        <v/>
      </c>
      <c r="G604" s="4" t="str">
        <f t="shared" si="272"/>
        <v/>
      </c>
      <c r="H604" s="4" t="str">
        <f t="shared" si="273"/>
        <v/>
      </c>
      <c r="I604" s="4" t="str">
        <f t="shared" si="274"/>
        <v/>
      </c>
      <c r="J604" s="247"/>
      <c r="K604" s="117"/>
      <c r="L604" s="4" t="str">
        <f t="shared" si="280"/>
        <v/>
      </c>
      <c r="M604" s="4" t="str">
        <f t="shared" si="281"/>
        <v/>
      </c>
      <c r="N604" s="4" t="str">
        <f t="shared" si="282"/>
        <v/>
      </c>
      <c r="O604" s="4" t="str">
        <f t="shared" si="283"/>
        <v/>
      </c>
      <c r="P604" s="247"/>
      <c r="Q604" s="117"/>
      <c r="R604" s="4" t="str">
        <f t="shared" si="284"/>
        <v/>
      </c>
      <c r="S604" s="4" t="str">
        <f t="shared" si="285"/>
        <v/>
      </c>
      <c r="T604" s="4" t="str">
        <f t="shared" si="286"/>
        <v/>
      </c>
      <c r="U604" s="4" t="str">
        <f t="shared" si="287"/>
        <v/>
      </c>
      <c r="V604" s="247"/>
      <c r="W604" s="67" t="str">
        <f t="shared" si="275"/>
        <v/>
      </c>
      <c r="X604" s="118"/>
      <c r="Z604" s="67" t="str">
        <f t="shared" si="276"/>
        <v/>
      </c>
      <c r="AA604" s="13">
        <f t="shared" si="277"/>
        <v>0</v>
      </c>
      <c r="AB604" s="17">
        <f t="shared" si="278"/>
        <v>0</v>
      </c>
      <c r="AC604" s="163" t="str">
        <f t="shared" si="279"/>
        <v/>
      </c>
      <c r="AD604" s="119"/>
      <c r="AE604" s="21"/>
      <c r="AF604" s="121"/>
      <c r="AG604" s="122"/>
      <c r="AH604" s="83" t="str">
        <f t="shared" si="265"/>
        <v/>
      </c>
      <c r="AI604" s="115"/>
      <c r="AJ604" s="116"/>
      <c r="AK604" s="83" t="str">
        <f t="shared" si="266"/>
        <v/>
      </c>
      <c r="AL604" s="85" t="str">
        <f t="shared" si="267"/>
        <v/>
      </c>
      <c r="AM604" s="254" t="str">
        <f t="shared" si="268"/>
        <v/>
      </c>
      <c r="AN604" s="254" t="str">
        <f t="shared" ca="1" si="270"/>
        <v/>
      </c>
      <c r="AO604" s="255" t="str">
        <f t="shared" si="269"/>
        <v/>
      </c>
    </row>
    <row r="605" spans="2:41" x14ac:dyDescent="0.25">
      <c r="B605" s="321"/>
      <c r="C605" s="17"/>
      <c r="E605" s="117"/>
      <c r="F605" s="4" t="str">
        <f t="shared" si="271"/>
        <v/>
      </c>
      <c r="G605" s="4" t="str">
        <f t="shared" si="272"/>
        <v/>
      </c>
      <c r="H605" s="4" t="str">
        <f t="shared" si="273"/>
        <v/>
      </c>
      <c r="I605" s="4" t="str">
        <f t="shared" si="274"/>
        <v/>
      </c>
      <c r="J605" s="247"/>
      <c r="K605" s="117"/>
      <c r="L605" s="4" t="str">
        <f t="shared" si="280"/>
        <v/>
      </c>
      <c r="M605" s="4" t="str">
        <f t="shared" si="281"/>
        <v/>
      </c>
      <c r="N605" s="4" t="str">
        <f t="shared" si="282"/>
        <v/>
      </c>
      <c r="O605" s="4" t="str">
        <f t="shared" si="283"/>
        <v/>
      </c>
      <c r="P605" s="247"/>
      <c r="Q605" s="117"/>
      <c r="R605" s="4" t="str">
        <f t="shared" si="284"/>
        <v/>
      </c>
      <c r="S605" s="4" t="str">
        <f t="shared" si="285"/>
        <v/>
      </c>
      <c r="T605" s="4" t="str">
        <f t="shared" si="286"/>
        <v/>
      </c>
      <c r="U605" s="4" t="str">
        <f t="shared" si="287"/>
        <v/>
      </c>
      <c r="V605" s="247"/>
      <c r="W605" s="67" t="str">
        <f t="shared" si="275"/>
        <v/>
      </c>
      <c r="X605" s="118"/>
      <c r="Z605" s="67" t="str">
        <f t="shared" si="276"/>
        <v/>
      </c>
      <c r="AA605" s="13">
        <f t="shared" si="277"/>
        <v>0</v>
      </c>
      <c r="AB605" s="17">
        <f t="shared" si="278"/>
        <v>0</v>
      </c>
      <c r="AC605" s="163" t="str">
        <f t="shared" si="279"/>
        <v/>
      </c>
      <c r="AD605" s="119"/>
      <c r="AE605" s="21"/>
      <c r="AF605" s="121"/>
      <c r="AG605" s="122"/>
      <c r="AH605" s="83" t="str">
        <f t="shared" si="265"/>
        <v/>
      </c>
      <c r="AI605" s="115"/>
      <c r="AJ605" s="116"/>
      <c r="AK605" s="83" t="str">
        <f t="shared" si="266"/>
        <v/>
      </c>
      <c r="AL605" s="85" t="str">
        <f t="shared" si="267"/>
        <v/>
      </c>
      <c r="AM605" s="254" t="str">
        <f t="shared" si="268"/>
        <v/>
      </c>
      <c r="AN605" s="254" t="str">
        <f t="shared" ca="1" si="270"/>
        <v/>
      </c>
      <c r="AO605" s="255" t="str">
        <f t="shared" si="269"/>
        <v/>
      </c>
    </row>
    <row r="606" spans="2:41" x14ac:dyDescent="0.25">
      <c r="B606" s="321"/>
      <c r="C606" s="17"/>
      <c r="E606" s="117"/>
      <c r="F606" s="4" t="str">
        <f t="shared" si="271"/>
        <v/>
      </c>
      <c r="G606" s="4" t="str">
        <f t="shared" si="272"/>
        <v/>
      </c>
      <c r="H606" s="4" t="str">
        <f t="shared" si="273"/>
        <v/>
      </c>
      <c r="I606" s="4" t="str">
        <f t="shared" si="274"/>
        <v/>
      </c>
      <c r="J606" s="247"/>
      <c r="K606" s="117"/>
      <c r="L606" s="4" t="str">
        <f t="shared" si="280"/>
        <v/>
      </c>
      <c r="M606" s="4" t="str">
        <f t="shared" si="281"/>
        <v/>
      </c>
      <c r="N606" s="4" t="str">
        <f t="shared" si="282"/>
        <v/>
      </c>
      <c r="O606" s="4" t="str">
        <f t="shared" si="283"/>
        <v/>
      </c>
      <c r="P606" s="247"/>
      <c r="Q606" s="117"/>
      <c r="R606" s="4" t="str">
        <f t="shared" si="284"/>
        <v/>
      </c>
      <c r="S606" s="4" t="str">
        <f t="shared" si="285"/>
        <v/>
      </c>
      <c r="T606" s="4" t="str">
        <f t="shared" si="286"/>
        <v/>
      </c>
      <c r="U606" s="4" t="str">
        <f t="shared" si="287"/>
        <v/>
      </c>
      <c r="V606" s="247"/>
      <c r="W606" s="67" t="str">
        <f t="shared" si="275"/>
        <v/>
      </c>
      <c r="X606" s="118"/>
      <c r="Z606" s="67" t="str">
        <f t="shared" si="276"/>
        <v/>
      </c>
      <c r="AA606" s="13">
        <f t="shared" si="277"/>
        <v>0</v>
      </c>
      <c r="AB606" s="17">
        <f t="shared" si="278"/>
        <v>0</v>
      </c>
      <c r="AC606" s="163" t="str">
        <f t="shared" si="279"/>
        <v/>
      </c>
      <c r="AD606" s="119"/>
      <c r="AE606" s="21"/>
      <c r="AF606" s="121"/>
      <c r="AG606" s="122"/>
      <c r="AH606" s="83" t="str">
        <f t="shared" si="265"/>
        <v/>
      </c>
      <c r="AI606" s="115"/>
      <c r="AJ606" s="116"/>
      <c r="AK606" s="83" t="str">
        <f t="shared" si="266"/>
        <v/>
      </c>
      <c r="AL606" s="85" t="str">
        <f t="shared" si="267"/>
        <v/>
      </c>
      <c r="AM606" s="254" t="str">
        <f t="shared" si="268"/>
        <v/>
      </c>
      <c r="AN606" s="254" t="str">
        <f t="shared" ca="1" si="270"/>
        <v/>
      </c>
      <c r="AO606" s="255" t="str">
        <f t="shared" si="269"/>
        <v/>
      </c>
    </row>
    <row r="607" spans="2:41" x14ac:dyDescent="0.25">
      <c r="B607" s="321"/>
      <c r="C607" s="17"/>
      <c r="E607" s="117"/>
      <c r="F607" s="4" t="str">
        <f t="shared" si="271"/>
        <v/>
      </c>
      <c r="G607" s="4" t="str">
        <f t="shared" si="272"/>
        <v/>
      </c>
      <c r="H607" s="4" t="str">
        <f t="shared" si="273"/>
        <v/>
      </c>
      <c r="I607" s="4" t="str">
        <f t="shared" si="274"/>
        <v/>
      </c>
      <c r="J607" s="247"/>
      <c r="K607" s="117"/>
      <c r="L607" s="4" t="str">
        <f t="shared" si="280"/>
        <v/>
      </c>
      <c r="M607" s="4" t="str">
        <f t="shared" si="281"/>
        <v/>
      </c>
      <c r="N607" s="4" t="str">
        <f t="shared" si="282"/>
        <v/>
      </c>
      <c r="O607" s="4" t="str">
        <f t="shared" si="283"/>
        <v/>
      </c>
      <c r="P607" s="247"/>
      <c r="Q607" s="117"/>
      <c r="R607" s="4" t="str">
        <f t="shared" si="284"/>
        <v/>
      </c>
      <c r="S607" s="4" t="str">
        <f t="shared" si="285"/>
        <v/>
      </c>
      <c r="T607" s="4" t="str">
        <f t="shared" si="286"/>
        <v/>
      </c>
      <c r="U607" s="4" t="str">
        <f t="shared" si="287"/>
        <v/>
      </c>
      <c r="V607" s="247"/>
      <c r="W607" s="67" t="str">
        <f t="shared" si="275"/>
        <v/>
      </c>
      <c r="X607" s="118"/>
      <c r="Z607" s="67" t="str">
        <f t="shared" si="276"/>
        <v/>
      </c>
      <c r="AA607" s="13">
        <f t="shared" si="277"/>
        <v>0</v>
      </c>
      <c r="AB607" s="17">
        <f t="shared" si="278"/>
        <v>0</v>
      </c>
      <c r="AC607" s="163" t="str">
        <f t="shared" si="279"/>
        <v/>
      </c>
      <c r="AD607" s="119"/>
      <c r="AE607" s="21"/>
      <c r="AF607" s="121"/>
      <c r="AG607" s="122"/>
      <c r="AH607" s="83" t="str">
        <f t="shared" si="265"/>
        <v/>
      </c>
      <c r="AI607" s="115"/>
      <c r="AJ607" s="116"/>
      <c r="AK607" s="83" t="str">
        <f t="shared" si="266"/>
        <v/>
      </c>
      <c r="AL607" s="85" t="str">
        <f t="shared" si="267"/>
        <v/>
      </c>
      <c r="AM607" s="254" t="str">
        <f t="shared" si="268"/>
        <v/>
      </c>
      <c r="AN607" s="254" t="str">
        <f t="shared" ca="1" si="270"/>
        <v/>
      </c>
      <c r="AO607" s="255" t="str">
        <f t="shared" si="269"/>
        <v/>
      </c>
    </row>
    <row r="608" spans="2:41" x14ac:dyDescent="0.25">
      <c r="B608" s="321"/>
      <c r="C608" s="17"/>
      <c r="E608" s="117"/>
      <c r="F608" s="4" t="str">
        <f t="shared" si="271"/>
        <v/>
      </c>
      <c r="G608" s="4" t="str">
        <f t="shared" si="272"/>
        <v/>
      </c>
      <c r="H608" s="4" t="str">
        <f t="shared" si="273"/>
        <v/>
      </c>
      <c r="I608" s="4" t="str">
        <f t="shared" si="274"/>
        <v/>
      </c>
      <c r="J608" s="247"/>
      <c r="K608" s="117"/>
      <c r="L608" s="4" t="str">
        <f t="shared" si="280"/>
        <v/>
      </c>
      <c r="M608" s="4" t="str">
        <f t="shared" si="281"/>
        <v/>
      </c>
      <c r="N608" s="4" t="str">
        <f t="shared" si="282"/>
        <v/>
      </c>
      <c r="O608" s="4" t="str">
        <f t="shared" si="283"/>
        <v/>
      </c>
      <c r="P608" s="247"/>
      <c r="Q608" s="117"/>
      <c r="R608" s="4" t="str">
        <f t="shared" si="284"/>
        <v/>
      </c>
      <c r="S608" s="4" t="str">
        <f t="shared" si="285"/>
        <v/>
      </c>
      <c r="T608" s="4" t="str">
        <f t="shared" si="286"/>
        <v/>
      </c>
      <c r="U608" s="4" t="str">
        <f t="shared" si="287"/>
        <v/>
      </c>
      <c r="V608" s="247"/>
      <c r="W608" s="67" t="str">
        <f t="shared" si="275"/>
        <v/>
      </c>
      <c r="X608" s="118"/>
      <c r="Z608" s="67" t="str">
        <f t="shared" si="276"/>
        <v/>
      </c>
      <c r="AA608" s="13">
        <f t="shared" si="277"/>
        <v>0</v>
      </c>
      <c r="AB608" s="17">
        <f t="shared" si="278"/>
        <v>0</v>
      </c>
      <c r="AC608" s="163" t="str">
        <f t="shared" si="279"/>
        <v/>
      </c>
      <c r="AD608" s="119"/>
      <c r="AE608" s="21"/>
      <c r="AF608" s="121"/>
      <c r="AG608" s="122"/>
      <c r="AH608" s="83" t="str">
        <f t="shared" si="265"/>
        <v/>
      </c>
      <c r="AI608" s="115"/>
      <c r="AJ608" s="116"/>
      <c r="AK608" s="83" t="str">
        <f t="shared" si="266"/>
        <v/>
      </c>
      <c r="AL608" s="85" t="str">
        <f t="shared" si="267"/>
        <v/>
      </c>
      <c r="AM608" s="254" t="str">
        <f t="shared" si="268"/>
        <v/>
      </c>
      <c r="AN608" s="254" t="str">
        <f t="shared" ca="1" si="270"/>
        <v/>
      </c>
      <c r="AO608" s="255" t="str">
        <f t="shared" si="269"/>
        <v/>
      </c>
    </row>
    <row r="609" spans="2:41" x14ac:dyDescent="0.25">
      <c r="B609" s="321"/>
      <c r="C609" s="17"/>
      <c r="E609" s="117"/>
      <c r="F609" s="4" t="str">
        <f t="shared" si="271"/>
        <v/>
      </c>
      <c r="G609" s="4" t="str">
        <f t="shared" si="272"/>
        <v/>
      </c>
      <c r="H609" s="4" t="str">
        <f t="shared" si="273"/>
        <v/>
      </c>
      <c r="I609" s="4" t="str">
        <f t="shared" si="274"/>
        <v/>
      </c>
      <c r="J609" s="247"/>
      <c r="K609" s="117"/>
      <c r="L609" s="4" t="str">
        <f t="shared" si="280"/>
        <v/>
      </c>
      <c r="M609" s="4" t="str">
        <f t="shared" si="281"/>
        <v/>
      </c>
      <c r="N609" s="4" t="str">
        <f t="shared" si="282"/>
        <v/>
      </c>
      <c r="O609" s="4" t="str">
        <f t="shared" si="283"/>
        <v/>
      </c>
      <c r="P609" s="247"/>
      <c r="Q609" s="117"/>
      <c r="R609" s="4" t="str">
        <f t="shared" si="284"/>
        <v/>
      </c>
      <c r="S609" s="4" t="str">
        <f t="shared" si="285"/>
        <v/>
      </c>
      <c r="T609" s="4" t="str">
        <f t="shared" si="286"/>
        <v/>
      </c>
      <c r="U609" s="4" t="str">
        <f t="shared" si="287"/>
        <v/>
      </c>
      <c r="V609" s="247"/>
      <c r="W609" s="67" t="str">
        <f t="shared" si="275"/>
        <v/>
      </c>
      <c r="X609" s="118"/>
      <c r="Z609" s="67" t="str">
        <f t="shared" si="276"/>
        <v/>
      </c>
      <c r="AA609" s="13">
        <f t="shared" si="277"/>
        <v>0</v>
      </c>
      <c r="AB609" s="17">
        <f t="shared" si="278"/>
        <v>0</v>
      </c>
      <c r="AC609" s="163" t="str">
        <f t="shared" si="279"/>
        <v/>
      </c>
      <c r="AD609" s="119"/>
      <c r="AE609" s="21"/>
      <c r="AF609" s="121"/>
      <c r="AG609" s="122"/>
      <c r="AH609" s="83" t="str">
        <f t="shared" si="265"/>
        <v/>
      </c>
      <c r="AI609" s="115"/>
      <c r="AJ609" s="116"/>
      <c r="AK609" s="83" t="str">
        <f t="shared" si="266"/>
        <v/>
      </c>
      <c r="AL609" s="85" t="str">
        <f t="shared" si="267"/>
        <v/>
      </c>
      <c r="AM609" s="254" t="str">
        <f t="shared" si="268"/>
        <v/>
      </c>
      <c r="AN609" s="254" t="str">
        <f t="shared" ca="1" si="270"/>
        <v/>
      </c>
      <c r="AO609" s="255" t="str">
        <f t="shared" si="269"/>
        <v/>
      </c>
    </row>
    <row r="610" spans="2:41" x14ac:dyDescent="0.25">
      <c r="B610" s="321"/>
      <c r="C610" s="17"/>
      <c r="E610" s="117"/>
      <c r="F610" s="4" t="str">
        <f t="shared" si="271"/>
        <v/>
      </c>
      <c r="G610" s="4" t="str">
        <f t="shared" si="272"/>
        <v/>
      </c>
      <c r="H610" s="4" t="str">
        <f t="shared" si="273"/>
        <v/>
      </c>
      <c r="I610" s="4" t="str">
        <f t="shared" si="274"/>
        <v/>
      </c>
      <c r="J610" s="247"/>
      <c r="K610" s="117"/>
      <c r="L610" s="4" t="str">
        <f t="shared" si="280"/>
        <v/>
      </c>
      <c r="M610" s="4" t="str">
        <f t="shared" si="281"/>
        <v/>
      </c>
      <c r="N610" s="4" t="str">
        <f t="shared" si="282"/>
        <v/>
      </c>
      <c r="O610" s="4" t="str">
        <f t="shared" si="283"/>
        <v/>
      </c>
      <c r="P610" s="247"/>
      <c r="Q610" s="117"/>
      <c r="R610" s="4" t="str">
        <f t="shared" si="284"/>
        <v/>
      </c>
      <c r="S610" s="4" t="str">
        <f t="shared" si="285"/>
        <v/>
      </c>
      <c r="T610" s="4" t="str">
        <f t="shared" si="286"/>
        <v/>
      </c>
      <c r="U610" s="4" t="str">
        <f t="shared" si="287"/>
        <v/>
      </c>
      <c r="V610" s="247"/>
      <c r="W610" s="67" t="str">
        <f t="shared" si="275"/>
        <v/>
      </c>
      <c r="X610" s="118"/>
      <c r="Z610" s="67" t="str">
        <f t="shared" si="276"/>
        <v/>
      </c>
      <c r="AA610" s="13">
        <f t="shared" si="277"/>
        <v>0</v>
      </c>
      <c r="AB610" s="17">
        <f t="shared" si="278"/>
        <v>0</v>
      </c>
      <c r="AC610" s="163" t="str">
        <f t="shared" si="279"/>
        <v/>
      </c>
      <c r="AD610" s="119"/>
      <c r="AE610" s="21"/>
      <c r="AF610" s="121"/>
      <c r="AG610" s="122"/>
      <c r="AH610" s="83" t="str">
        <f t="shared" si="265"/>
        <v/>
      </c>
      <c r="AI610" s="115"/>
      <c r="AJ610" s="116"/>
      <c r="AK610" s="83" t="str">
        <f t="shared" si="266"/>
        <v/>
      </c>
      <c r="AL610" s="85" t="str">
        <f t="shared" si="267"/>
        <v/>
      </c>
      <c r="AM610" s="254" t="str">
        <f t="shared" si="268"/>
        <v/>
      </c>
      <c r="AN610" s="254" t="str">
        <f t="shared" ca="1" si="270"/>
        <v/>
      </c>
      <c r="AO610" s="255" t="str">
        <f t="shared" si="269"/>
        <v/>
      </c>
    </row>
    <row r="611" spans="2:41" x14ac:dyDescent="0.25">
      <c r="B611" s="321"/>
      <c r="C611" s="17"/>
      <c r="E611" s="117"/>
      <c r="F611" s="4" t="str">
        <f t="shared" si="271"/>
        <v/>
      </c>
      <c r="G611" s="4" t="str">
        <f t="shared" si="272"/>
        <v/>
      </c>
      <c r="H611" s="4" t="str">
        <f t="shared" si="273"/>
        <v/>
      </c>
      <c r="I611" s="4" t="str">
        <f t="shared" si="274"/>
        <v/>
      </c>
      <c r="J611" s="247"/>
      <c r="K611" s="117"/>
      <c r="L611" s="4" t="str">
        <f t="shared" si="280"/>
        <v/>
      </c>
      <c r="M611" s="4" t="str">
        <f t="shared" si="281"/>
        <v/>
      </c>
      <c r="N611" s="4" t="str">
        <f t="shared" si="282"/>
        <v/>
      </c>
      <c r="O611" s="4" t="str">
        <f t="shared" si="283"/>
        <v/>
      </c>
      <c r="P611" s="247"/>
      <c r="Q611" s="117"/>
      <c r="R611" s="4" t="str">
        <f t="shared" si="284"/>
        <v/>
      </c>
      <c r="S611" s="4" t="str">
        <f t="shared" si="285"/>
        <v/>
      </c>
      <c r="T611" s="4" t="str">
        <f t="shared" si="286"/>
        <v/>
      </c>
      <c r="U611" s="4" t="str">
        <f t="shared" si="287"/>
        <v/>
      </c>
      <c r="V611" s="247"/>
      <c r="W611" s="67" t="str">
        <f t="shared" si="275"/>
        <v/>
      </c>
      <c r="X611" s="118"/>
      <c r="Z611" s="67" t="str">
        <f t="shared" si="276"/>
        <v/>
      </c>
      <c r="AA611" s="13">
        <f t="shared" si="277"/>
        <v>0</v>
      </c>
      <c r="AB611" s="17">
        <f t="shared" si="278"/>
        <v>0</v>
      </c>
      <c r="AC611" s="163" t="str">
        <f t="shared" si="279"/>
        <v/>
      </c>
      <c r="AD611" s="119"/>
      <c r="AE611" s="21"/>
      <c r="AF611" s="121"/>
      <c r="AG611" s="122"/>
      <c r="AH611" s="83" t="str">
        <f t="shared" si="265"/>
        <v/>
      </c>
      <c r="AI611" s="115"/>
      <c r="AJ611" s="116"/>
      <c r="AK611" s="83" t="str">
        <f t="shared" si="266"/>
        <v/>
      </c>
      <c r="AL611" s="85" t="str">
        <f t="shared" si="267"/>
        <v/>
      </c>
      <c r="AM611" s="254" t="str">
        <f t="shared" si="268"/>
        <v/>
      </c>
      <c r="AN611" s="254" t="str">
        <f t="shared" ca="1" si="270"/>
        <v/>
      </c>
      <c r="AO611" s="255" t="str">
        <f t="shared" si="269"/>
        <v/>
      </c>
    </row>
    <row r="612" spans="2:41" x14ac:dyDescent="0.25">
      <c r="B612" s="321"/>
      <c r="C612" s="17"/>
      <c r="E612" s="117"/>
      <c r="F612" s="4" t="str">
        <f t="shared" si="271"/>
        <v/>
      </c>
      <c r="G612" s="4" t="str">
        <f t="shared" si="272"/>
        <v/>
      </c>
      <c r="H612" s="4" t="str">
        <f t="shared" si="273"/>
        <v/>
      </c>
      <c r="I612" s="4" t="str">
        <f t="shared" si="274"/>
        <v/>
      </c>
      <c r="J612" s="247"/>
      <c r="K612" s="117"/>
      <c r="L612" s="4" t="str">
        <f t="shared" si="280"/>
        <v/>
      </c>
      <c r="M612" s="4" t="str">
        <f t="shared" si="281"/>
        <v/>
      </c>
      <c r="N612" s="4" t="str">
        <f t="shared" si="282"/>
        <v/>
      </c>
      <c r="O612" s="4" t="str">
        <f t="shared" si="283"/>
        <v/>
      </c>
      <c r="P612" s="247"/>
      <c r="Q612" s="117"/>
      <c r="R612" s="4" t="str">
        <f t="shared" si="284"/>
        <v/>
      </c>
      <c r="S612" s="4" t="str">
        <f t="shared" si="285"/>
        <v/>
      </c>
      <c r="T612" s="4" t="str">
        <f t="shared" si="286"/>
        <v/>
      </c>
      <c r="U612" s="4" t="str">
        <f t="shared" si="287"/>
        <v/>
      </c>
      <c r="V612" s="247"/>
      <c r="W612" s="67" t="str">
        <f t="shared" si="275"/>
        <v/>
      </c>
      <c r="X612" s="118"/>
      <c r="Z612" s="67" t="str">
        <f t="shared" si="276"/>
        <v/>
      </c>
      <c r="AA612" s="13">
        <f t="shared" si="277"/>
        <v>0</v>
      </c>
      <c r="AB612" s="17">
        <f t="shared" si="278"/>
        <v>0</v>
      </c>
      <c r="AC612" s="163" t="str">
        <f t="shared" si="279"/>
        <v/>
      </c>
      <c r="AD612" s="119"/>
      <c r="AE612" s="21"/>
      <c r="AF612" s="121"/>
      <c r="AG612" s="122"/>
      <c r="AH612" s="83" t="str">
        <f t="shared" si="265"/>
        <v/>
      </c>
      <c r="AI612" s="115"/>
      <c r="AJ612" s="116"/>
      <c r="AK612" s="83" t="str">
        <f t="shared" si="266"/>
        <v/>
      </c>
      <c r="AL612" s="85" t="str">
        <f t="shared" si="267"/>
        <v/>
      </c>
      <c r="AM612" s="254" t="str">
        <f t="shared" si="268"/>
        <v/>
      </c>
      <c r="AN612" s="254" t="str">
        <f t="shared" ca="1" si="270"/>
        <v/>
      </c>
      <c r="AO612" s="255" t="str">
        <f t="shared" si="269"/>
        <v/>
      </c>
    </row>
    <row r="613" spans="2:41" x14ac:dyDescent="0.25">
      <c r="B613" s="321"/>
      <c r="C613" s="17"/>
      <c r="E613" s="117"/>
      <c r="F613" s="4" t="str">
        <f t="shared" si="271"/>
        <v/>
      </c>
      <c r="G613" s="4" t="str">
        <f t="shared" si="272"/>
        <v/>
      </c>
      <c r="H613" s="4" t="str">
        <f t="shared" si="273"/>
        <v/>
      </c>
      <c r="I613" s="4" t="str">
        <f t="shared" si="274"/>
        <v/>
      </c>
      <c r="J613" s="247"/>
      <c r="K613" s="117"/>
      <c r="L613" s="4" t="str">
        <f t="shared" si="280"/>
        <v/>
      </c>
      <c r="M613" s="4" t="str">
        <f t="shared" si="281"/>
        <v/>
      </c>
      <c r="N613" s="4" t="str">
        <f t="shared" si="282"/>
        <v/>
      </c>
      <c r="O613" s="4" t="str">
        <f t="shared" si="283"/>
        <v/>
      </c>
      <c r="P613" s="247"/>
      <c r="Q613" s="117"/>
      <c r="R613" s="4" t="str">
        <f t="shared" si="284"/>
        <v/>
      </c>
      <c r="S613" s="4" t="str">
        <f t="shared" si="285"/>
        <v/>
      </c>
      <c r="T613" s="4" t="str">
        <f t="shared" si="286"/>
        <v/>
      </c>
      <c r="U613" s="4" t="str">
        <f t="shared" si="287"/>
        <v/>
      </c>
      <c r="V613" s="247"/>
      <c r="W613" s="67" t="str">
        <f t="shared" si="275"/>
        <v/>
      </c>
      <c r="X613" s="118"/>
      <c r="Z613" s="67" t="str">
        <f t="shared" si="276"/>
        <v/>
      </c>
      <c r="AA613" s="13">
        <f t="shared" si="277"/>
        <v>0</v>
      </c>
      <c r="AB613" s="17">
        <f t="shared" si="278"/>
        <v>0</v>
      </c>
      <c r="AC613" s="163" t="str">
        <f t="shared" si="279"/>
        <v/>
      </c>
      <c r="AD613" s="119"/>
      <c r="AE613" s="21"/>
      <c r="AF613" s="121"/>
      <c r="AG613" s="122"/>
      <c r="AH613" s="83" t="str">
        <f t="shared" si="265"/>
        <v/>
      </c>
      <c r="AI613" s="115"/>
      <c r="AJ613" s="116"/>
      <c r="AK613" s="83" t="str">
        <f t="shared" si="266"/>
        <v/>
      </c>
      <c r="AL613" s="85" t="str">
        <f t="shared" si="267"/>
        <v/>
      </c>
      <c r="AM613" s="254" t="str">
        <f t="shared" si="268"/>
        <v/>
      </c>
      <c r="AN613" s="254" t="str">
        <f t="shared" ca="1" si="270"/>
        <v/>
      </c>
      <c r="AO613" s="255" t="str">
        <f t="shared" si="269"/>
        <v/>
      </c>
    </row>
    <row r="614" spans="2:41" x14ac:dyDescent="0.25">
      <c r="B614" s="321"/>
      <c r="C614" s="17"/>
      <c r="E614" s="117"/>
      <c r="F614" s="4" t="str">
        <f t="shared" si="271"/>
        <v/>
      </c>
      <c r="G614" s="4" t="str">
        <f t="shared" si="272"/>
        <v/>
      </c>
      <c r="H614" s="4" t="str">
        <f t="shared" si="273"/>
        <v/>
      </c>
      <c r="I614" s="4" t="str">
        <f t="shared" si="274"/>
        <v/>
      </c>
      <c r="J614" s="247"/>
      <c r="K614" s="117"/>
      <c r="L614" s="4" t="str">
        <f t="shared" si="280"/>
        <v/>
      </c>
      <c r="M614" s="4" t="str">
        <f t="shared" si="281"/>
        <v/>
      </c>
      <c r="N614" s="4" t="str">
        <f t="shared" si="282"/>
        <v/>
      </c>
      <c r="O614" s="4" t="str">
        <f t="shared" si="283"/>
        <v/>
      </c>
      <c r="P614" s="247"/>
      <c r="Q614" s="117"/>
      <c r="R614" s="4" t="str">
        <f t="shared" si="284"/>
        <v/>
      </c>
      <c r="S614" s="4" t="str">
        <f t="shared" si="285"/>
        <v/>
      </c>
      <c r="T614" s="4" t="str">
        <f t="shared" si="286"/>
        <v/>
      </c>
      <c r="U614" s="4" t="str">
        <f t="shared" si="287"/>
        <v/>
      </c>
      <c r="V614" s="247"/>
      <c r="W614" s="67" t="str">
        <f t="shared" si="275"/>
        <v/>
      </c>
      <c r="X614" s="118"/>
      <c r="Z614" s="67" t="str">
        <f t="shared" si="276"/>
        <v/>
      </c>
      <c r="AA614" s="13">
        <f t="shared" si="277"/>
        <v>0</v>
      </c>
      <c r="AB614" s="17">
        <f t="shared" si="278"/>
        <v>0</v>
      </c>
      <c r="AC614" s="163" t="str">
        <f t="shared" si="279"/>
        <v/>
      </c>
      <c r="AD614" s="119"/>
      <c r="AE614" s="21"/>
      <c r="AF614" s="121"/>
      <c r="AG614" s="122"/>
      <c r="AH614" s="83" t="str">
        <f t="shared" si="265"/>
        <v/>
      </c>
      <c r="AI614" s="115"/>
      <c r="AJ614" s="116"/>
      <c r="AK614" s="83" t="str">
        <f t="shared" si="266"/>
        <v/>
      </c>
      <c r="AL614" s="85" t="str">
        <f t="shared" si="267"/>
        <v/>
      </c>
      <c r="AM614" s="254" t="str">
        <f t="shared" si="268"/>
        <v/>
      </c>
      <c r="AN614" s="254" t="str">
        <f t="shared" ca="1" si="270"/>
        <v/>
      </c>
      <c r="AO614" s="255" t="str">
        <f t="shared" si="269"/>
        <v/>
      </c>
    </row>
    <row r="615" spans="2:41" x14ac:dyDescent="0.25">
      <c r="B615" s="321"/>
      <c r="C615" s="17"/>
      <c r="E615" s="117"/>
      <c r="F615" s="4" t="str">
        <f t="shared" si="271"/>
        <v/>
      </c>
      <c r="G615" s="4" t="str">
        <f t="shared" si="272"/>
        <v/>
      </c>
      <c r="H615" s="4" t="str">
        <f t="shared" si="273"/>
        <v/>
      </c>
      <c r="I615" s="4" t="str">
        <f t="shared" si="274"/>
        <v/>
      </c>
      <c r="J615" s="247"/>
      <c r="K615" s="117"/>
      <c r="L615" s="4" t="str">
        <f t="shared" si="280"/>
        <v/>
      </c>
      <c r="M615" s="4" t="str">
        <f t="shared" si="281"/>
        <v/>
      </c>
      <c r="N615" s="4" t="str">
        <f t="shared" si="282"/>
        <v/>
      </c>
      <c r="O615" s="4" t="str">
        <f t="shared" si="283"/>
        <v/>
      </c>
      <c r="P615" s="247"/>
      <c r="Q615" s="117"/>
      <c r="R615" s="4" t="str">
        <f t="shared" si="284"/>
        <v/>
      </c>
      <c r="S615" s="4" t="str">
        <f t="shared" si="285"/>
        <v/>
      </c>
      <c r="T615" s="4" t="str">
        <f t="shared" si="286"/>
        <v/>
      </c>
      <c r="U615" s="4" t="str">
        <f t="shared" si="287"/>
        <v/>
      </c>
      <c r="V615" s="247"/>
      <c r="W615" s="67" t="str">
        <f t="shared" si="275"/>
        <v/>
      </c>
      <c r="X615" s="118"/>
      <c r="Z615" s="67" t="str">
        <f t="shared" si="276"/>
        <v/>
      </c>
      <c r="AA615" s="13">
        <f t="shared" si="277"/>
        <v>0</v>
      </c>
      <c r="AB615" s="17">
        <f t="shared" si="278"/>
        <v>0</v>
      </c>
      <c r="AC615" s="163" t="str">
        <f t="shared" si="279"/>
        <v/>
      </c>
      <c r="AD615" s="119"/>
      <c r="AE615" s="21"/>
      <c r="AF615" s="121"/>
      <c r="AG615" s="122"/>
      <c r="AH615" s="83" t="str">
        <f t="shared" si="265"/>
        <v/>
      </c>
      <c r="AI615" s="115"/>
      <c r="AJ615" s="116"/>
      <c r="AK615" s="83" t="str">
        <f t="shared" si="266"/>
        <v/>
      </c>
      <c r="AL615" s="85" t="str">
        <f t="shared" si="267"/>
        <v/>
      </c>
      <c r="AM615" s="254" t="str">
        <f t="shared" si="268"/>
        <v/>
      </c>
      <c r="AN615" s="254" t="str">
        <f t="shared" ca="1" si="270"/>
        <v/>
      </c>
      <c r="AO615" s="255" t="str">
        <f t="shared" si="269"/>
        <v/>
      </c>
    </row>
    <row r="616" spans="2:41" x14ac:dyDescent="0.25">
      <c r="B616" s="321"/>
      <c r="C616" s="17"/>
      <c r="E616" s="117"/>
      <c r="F616" s="4" t="str">
        <f t="shared" si="271"/>
        <v/>
      </c>
      <c r="G616" s="4" t="str">
        <f t="shared" si="272"/>
        <v/>
      </c>
      <c r="H616" s="4" t="str">
        <f t="shared" si="273"/>
        <v/>
      </c>
      <c r="I616" s="4" t="str">
        <f t="shared" si="274"/>
        <v/>
      </c>
      <c r="J616" s="247"/>
      <c r="K616" s="117"/>
      <c r="L616" s="4" t="str">
        <f t="shared" si="280"/>
        <v/>
      </c>
      <c r="M616" s="4" t="str">
        <f t="shared" si="281"/>
        <v/>
      </c>
      <c r="N616" s="4" t="str">
        <f t="shared" si="282"/>
        <v/>
      </c>
      <c r="O616" s="4" t="str">
        <f t="shared" si="283"/>
        <v/>
      </c>
      <c r="P616" s="247"/>
      <c r="Q616" s="117"/>
      <c r="R616" s="4" t="str">
        <f t="shared" si="284"/>
        <v/>
      </c>
      <c r="S616" s="4" t="str">
        <f t="shared" si="285"/>
        <v/>
      </c>
      <c r="T616" s="4" t="str">
        <f t="shared" si="286"/>
        <v/>
      </c>
      <c r="U616" s="4" t="str">
        <f t="shared" si="287"/>
        <v/>
      </c>
      <c r="V616" s="247"/>
      <c r="W616" s="67" t="str">
        <f t="shared" si="275"/>
        <v/>
      </c>
      <c r="X616" s="118"/>
      <c r="Z616" s="67" t="str">
        <f t="shared" si="276"/>
        <v/>
      </c>
      <c r="AA616" s="13">
        <f t="shared" si="277"/>
        <v>0</v>
      </c>
      <c r="AB616" s="17">
        <f t="shared" si="278"/>
        <v>0</v>
      </c>
      <c r="AC616" s="163" t="str">
        <f t="shared" si="279"/>
        <v/>
      </c>
      <c r="AD616" s="119"/>
      <c r="AE616" s="21"/>
      <c r="AF616" s="121"/>
      <c r="AG616" s="122"/>
      <c r="AH616" s="83" t="str">
        <f t="shared" si="265"/>
        <v/>
      </c>
      <c r="AI616" s="115"/>
      <c r="AJ616" s="116"/>
      <c r="AK616" s="83" t="str">
        <f t="shared" si="266"/>
        <v/>
      </c>
      <c r="AL616" s="85" t="str">
        <f t="shared" si="267"/>
        <v/>
      </c>
      <c r="AM616" s="254" t="str">
        <f t="shared" si="268"/>
        <v/>
      </c>
      <c r="AN616" s="254" t="str">
        <f t="shared" ca="1" si="270"/>
        <v/>
      </c>
      <c r="AO616" s="255" t="str">
        <f t="shared" si="269"/>
        <v/>
      </c>
    </row>
    <row r="617" spans="2:41" x14ac:dyDescent="0.25">
      <c r="B617" s="321"/>
      <c r="C617" s="17"/>
      <c r="E617" s="117"/>
      <c r="F617" s="4" t="str">
        <f t="shared" si="271"/>
        <v/>
      </c>
      <c r="G617" s="4" t="str">
        <f t="shared" si="272"/>
        <v/>
      </c>
      <c r="H617" s="4" t="str">
        <f t="shared" si="273"/>
        <v/>
      </c>
      <c r="I617" s="4" t="str">
        <f t="shared" si="274"/>
        <v/>
      </c>
      <c r="J617" s="247"/>
      <c r="K617" s="117"/>
      <c r="L617" s="4" t="str">
        <f t="shared" si="280"/>
        <v/>
      </c>
      <c r="M617" s="4" t="str">
        <f t="shared" si="281"/>
        <v/>
      </c>
      <c r="N617" s="4" t="str">
        <f t="shared" si="282"/>
        <v/>
      </c>
      <c r="O617" s="4" t="str">
        <f t="shared" si="283"/>
        <v/>
      </c>
      <c r="P617" s="247"/>
      <c r="Q617" s="117"/>
      <c r="R617" s="4" t="str">
        <f t="shared" si="284"/>
        <v/>
      </c>
      <c r="S617" s="4" t="str">
        <f t="shared" si="285"/>
        <v/>
      </c>
      <c r="T617" s="4" t="str">
        <f t="shared" si="286"/>
        <v/>
      </c>
      <c r="U617" s="4" t="str">
        <f t="shared" si="287"/>
        <v/>
      </c>
      <c r="V617" s="247"/>
      <c r="W617" s="67" t="str">
        <f t="shared" si="275"/>
        <v/>
      </c>
      <c r="X617" s="118"/>
      <c r="Z617" s="67" t="str">
        <f t="shared" si="276"/>
        <v/>
      </c>
      <c r="AA617" s="13">
        <f t="shared" si="277"/>
        <v>0</v>
      </c>
      <c r="AB617" s="17">
        <f t="shared" si="278"/>
        <v>0</v>
      </c>
      <c r="AC617" s="163" t="str">
        <f t="shared" si="279"/>
        <v/>
      </c>
      <c r="AD617" s="119"/>
      <c r="AE617" s="21"/>
      <c r="AF617" s="121"/>
      <c r="AG617" s="122"/>
      <c r="AH617" s="83" t="str">
        <f t="shared" si="265"/>
        <v/>
      </c>
      <c r="AI617" s="115"/>
      <c r="AJ617" s="116"/>
      <c r="AK617" s="83" t="str">
        <f t="shared" si="266"/>
        <v/>
      </c>
      <c r="AL617" s="85" t="str">
        <f t="shared" si="267"/>
        <v/>
      </c>
      <c r="AM617" s="254" t="str">
        <f t="shared" si="268"/>
        <v/>
      </c>
      <c r="AN617" s="254" t="str">
        <f t="shared" ca="1" si="270"/>
        <v/>
      </c>
      <c r="AO617" s="255" t="str">
        <f t="shared" si="269"/>
        <v/>
      </c>
    </row>
    <row r="618" spans="2:41" x14ac:dyDescent="0.25">
      <c r="B618" s="321"/>
      <c r="C618" s="17"/>
      <c r="E618" s="117"/>
      <c r="F618" s="4" t="str">
        <f t="shared" si="271"/>
        <v/>
      </c>
      <c r="G618" s="4" t="str">
        <f t="shared" si="272"/>
        <v/>
      </c>
      <c r="H618" s="4" t="str">
        <f t="shared" si="273"/>
        <v/>
      </c>
      <c r="I618" s="4" t="str">
        <f t="shared" si="274"/>
        <v/>
      </c>
      <c r="J618" s="247"/>
      <c r="K618" s="117"/>
      <c r="L618" s="4" t="str">
        <f t="shared" si="280"/>
        <v/>
      </c>
      <c r="M618" s="4" t="str">
        <f t="shared" si="281"/>
        <v/>
      </c>
      <c r="N618" s="4" t="str">
        <f t="shared" si="282"/>
        <v/>
      </c>
      <c r="O618" s="4" t="str">
        <f t="shared" si="283"/>
        <v/>
      </c>
      <c r="P618" s="247"/>
      <c r="Q618" s="117"/>
      <c r="R618" s="4" t="str">
        <f t="shared" si="284"/>
        <v/>
      </c>
      <c r="S618" s="4" t="str">
        <f t="shared" si="285"/>
        <v/>
      </c>
      <c r="T618" s="4" t="str">
        <f t="shared" si="286"/>
        <v/>
      </c>
      <c r="U618" s="4" t="str">
        <f t="shared" si="287"/>
        <v/>
      </c>
      <c r="V618" s="247"/>
      <c r="W618" s="67" t="str">
        <f t="shared" si="275"/>
        <v/>
      </c>
      <c r="X618" s="118"/>
      <c r="Z618" s="67" t="str">
        <f t="shared" si="276"/>
        <v/>
      </c>
      <c r="AA618" s="13">
        <f t="shared" si="277"/>
        <v>0</v>
      </c>
      <c r="AB618" s="17">
        <f t="shared" si="278"/>
        <v>0</v>
      </c>
      <c r="AC618" s="163" t="str">
        <f t="shared" si="279"/>
        <v/>
      </c>
      <c r="AD618" s="119"/>
      <c r="AE618" s="21"/>
      <c r="AF618" s="121"/>
      <c r="AG618" s="122"/>
      <c r="AH618" s="83" t="str">
        <f t="shared" si="265"/>
        <v/>
      </c>
      <c r="AI618" s="115"/>
      <c r="AJ618" s="116"/>
      <c r="AK618" s="83" t="str">
        <f t="shared" si="266"/>
        <v/>
      </c>
      <c r="AL618" s="85" t="str">
        <f t="shared" si="267"/>
        <v/>
      </c>
      <c r="AM618" s="254" t="str">
        <f t="shared" si="268"/>
        <v/>
      </c>
      <c r="AN618" s="254" t="str">
        <f t="shared" ca="1" si="270"/>
        <v/>
      </c>
      <c r="AO618" s="255" t="str">
        <f t="shared" si="269"/>
        <v/>
      </c>
    </row>
    <row r="619" spans="2:41" x14ac:dyDescent="0.25">
      <c r="B619" s="321"/>
      <c r="C619" s="17"/>
      <c r="E619" s="117"/>
      <c r="F619" s="4" t="str">
        <f t="shared" si="271"/>
        <v/>
      </c>
      <c r="G619" s="4" t="str">
        <f t="shared" si="272"/>
        <v/>
      </c>
      <c r="H619" s="4" t="str">
        <f t="shared" si="273"/>
        <v/>
      </c>
      <c r="I619" s="4" t="str">
        <f t="shared" si="274"/>
        <v/>
      </c>
      <c r="J619" s="247"/>
      <c r="K619" s="117"/>
      <c r="L619" s="4" t="str">
        <f t="shared" si="280"/>
        <v/>
      </c>
      <c r="M619" s="4" t="str">
        <f t="shared" si="281"/>
        <v/>
      </c>
      <c r="N619" s="4" t="str">
        <f t="shared" si="282"/>
        <v/>
      </c>
      <c r="O619" s="4" t="str">
        <f t="shared" si="283"/>
        <v/>
      </c>
      <c r="P619" s="247"/>
      <c r="Q619" s="117"/>
      <c r="R619" s="4" t="str">
        <f t="shared" si="284"/>
        <v/>
      </c>
      <c r="S619" s="4" t="str">
        <f t="shared" si="285"/>
        <v/>
      </c>
      <c r="T619" s="4" t="str">
        <f t="shared" si="286"/>
        <v/>
      </c>
      <c r="U619" s="4" t="str">
        <f t="shared" si="287"/>
        <v/>
      </c>
      <c r="V619" s="247"/>
      <c r="W619" s="67" t="str">
        <f t="shared" si="275"/>
        <v/>
      </c>
      <c r="X619" s="118"/>
      <c r="Z619" s="67" t="str">
        <f t="shared" si="276"/>
        <v/>
      </c>
      <c r="AA619" s="13">
        <f t="shared" si="277"/>
        <v>0</v>
      </c>
      <c r="AB619" s="17">
        <f t="shared" si="278"/>
        <v>0</v>
      </c>
      <c r="AC619" s="163" t="str">
        <f t="shared" si="279"/>
        <v/>
      </c>
      <c r="AD619" s="119"/>
      <c r="AE619" s="21"/>
      <c r="AF619" s="121"/>
      <c r="AG619" s="122"/>
      <c r="AH619" s="83" t="str">
        <f t="shared" ref="AH619:AH645" si="288">IF(AG619&lt;&gt;0,((AF619+AG619)-(AD619+AE619)),"")</f>
        <v/>
      </c>
      <c r="AI619" s="115"/>
      <c r="AJ619" s="116"/>
      <c r="AK619" s="83" t="str">
        <f t="shared" ref="AK619:AK645" si="289">IF(AJ619&lt;&gt;0,((AI619+AJ619)-(AF619+AG619)),"")</f>
        <v/>
      </c>
      <c r="AL619" s="85" t="str">
        <f t="shared" ref="AL619:AL645" si="290">IFERROR((AH619+AK619),"")</f>
        <v/>
      </c>
      <c r="AM619" s="254" t="str">
        <f t="shared" ref="AM619:AM645" si="291">IF(AK619="","",AI619+AJ619)</f>
        <v/>
      </c>
      <c r="AN619" s="254" t="str">
        <f t="shared" ca="1" si="270"/>
        <v/>
      </c>
      <c r="AO619" s="255" t="str">
        <f t="shared" ref="AO619:AO645" si="292">IF(AK619="","",AN619-AM619)</f>
        <v/>
      </c>
    </row>
    <row r="620" spans="2:41" x14ac:dyDescent="0.25">
      <c r="B620" s="321"/>
      <c r="C620" s="17"/>
      <c r="E620" s="117"/>
      <c r="F620" s="4" t="str">
        <f t="shared" si="271"/>
        <v/>
      </c>
      <c r="G620" s="4" t="str">
        <f t="shared" si="272"/>
        <v/>
      </c>
      <c r="H620" s="4" t="str">
        <f t="shared" si="273"/>
        <v/>
      </c>
      <c r="I620" s="4" t="str">
        <f t="shared" si="274"/>
        <v/>
      </c>
      <c r="J620" s="247"/>
      <c r="K620" s="117"/>
      <c r="L620" s="4" t="str">
        <f t="shared" si="280"/>
        <v/>
      </c>
      <c r="M620" s="4" t="str">
        <f t="shared" si="281"/>
        <v/>
      </c>
      <c r="N620" s="4" t="str">
        <f t="shared" si="282"/>
        <v/>
      </c>
      <c r="O620" s="4" t="str">
        <f t="shared" si="283"/>
        <v/>
      </c>
      <c r="P620" s="247"/>
      <c r="Q620" s="117"/>
      <c r="R620" s="4" t="str">
        <f t="shared" si="284"/>
        <v/>
      </c>
      <c r="S620" s="4" t="str">
        <f t="shared" si="285"/>
        <v/>
      </c>
      <c r="T620" s="4" t="str">
        <f t="shared" si="286"/>
        <v/>
      </c>
      <c r="U620" s="4" t="str">
        <f t="shared" si="287"/>
        <v/>
      </c>
      <c r="V620" s="247"/>
      <c r="W620" s="67" t="str">
        <f t="shared" si="275"/>
        <v/>
      </c>
      <c r="X620" s="118"/>
      <c r="Z620" s="67" t="str">
        <f t="shared" si="276"/>
        <v/>
      </c>
      <c r="AA620" s="13">
        <f t="shared" si="277"/>
        <v>0</v>
      </c>
      <c r="AB620" s="17">
        <f t="shared" si="278"/>
        <v>0</v>
      </c>
      <c r="AC620" s="163" t="str">
        <f t="shared" si="279"/>
        <v/>
      </c>
      <c r="AD620" s="119"/>
      <c r="AE620" s="21"/>
      <c r="AF620" s="121"/>
      <c r="AG620" s="122"/>
      <c r="AH620" s="83" t="str">
        <f t="shared" si="288"/>
        <v/>
      </c>
      <c r="AI620" s="115"/>
      <c r="AJ620" s="116"/>
      <c r="AK620" s="83" t="str">
        <f t="shared" si="289"/>
        <v/>
      </c>
      <c r="AL620" s="85" t="str">
        <f t="shared" si="290"/>
        <v/>
      </c>
      <c r="AM620" s="254" t="str">
        <f t="shared" si="291"/>
        <v/>
      </c>
      <c r="AN620" s="254" t="str">
        <f t="shared" ca="1" si="270"/>
        <v/>
      </c>
      <c r="AO620" s="255" t="str">
        <f t="shared" si="292"/>
        <v/>
      </c>
    </row>
    <row r="621" spans="2:41" x14ac:dyDescent="0.25">
      <c r="B621" s="321"/>
      <c r="C621" s="17"/>
      <c r="E621" s="117"/>
      <c r="F621" s="4" t="str">
        <f t="shared" si="271"/>
        <v/>
      </c>
      <c r="G621" s="4" t="str">
        <f t="shared" si="272"/>
        <v/>
      </c>
      <c r="H621" s="4" t="str">
        <f t="shared" si="273"/>
        <v/>
      </c>
      <c r="I621" s="4" t="str">
        <f t="shared" si="274"/>
        <v/>
      </c>
      <c r="J621" s="247"/>
      <c r="K621" s="117"/>
      <c r="L621" s="4" t="str">
        <f t="shared" si="280"/>
        <v/>
      </c>
      <c r="M621" s="4" t="str">
        <f t="shared" si="281"/>
        <v/>
      </c>
      <c r="N621" s="4" t="str">
        <f t="shared" si="282"/>
        <v/>
      </c>
      <c r="O621" s="4" t="str">
        <f t="shared" si="283"/>
        <v/>
      </c>
      <c r="P621" s="247"/>
      <c r="Q621" s="117"/>
      <c r="R621" s="4" t="str">
        <f t="shared" si="284"/>
        <v/>
      </c>
      <c r="S621" s="4" t="str">
        <f t="shared" si="285"/>
        <v/>
      </c>
      <c r="T621" s="4" t="str">
        <f t="shared" si="286"/>
        <v/>
      </c>
      <c r="U621" s="4" t="str">
        <f t="shared" si="287"/>
        <v/>
      </c>
      <c r="V621" s="247"/>
      <c r="W621" s="67" t="str">
        <f t="shared" si="275"/>
        <v/>
      </c>
      <c r="X621" s="118"/>
      <c r="Z621" s="67" t="str">
        <f t="shared" si="276"/>
        <v/>
      </c>
      <c r="AA621" s="13">
        <f t="shared" si="277"/>
        <v>0</v>
      </c>
      <c r="AB621" s="17">
        <f t="shared" si="278"/>
        <v>0</v>
      </c>
      <c r="AC621" s="163" t="str">
        <f t="shared" si="279"/>
        <v/>
      </c>
      <c r="AD621" s="119"/>
      <c r="AE621" s="21"/>
      <c r="AF621" s="121"/>
      <c r="AG621" s="122"/>
      <c r="AH621" s="83" t="str">
        <f t="shared" si="288"/>
        <v/>
      </c>
      <c r="AI621" s="115"/>
      <c r="AJ621" s="116"/>
      <c r="AK621" s="83" t="str">
        <f t="shared" si="289"/>
        <v/>
      </c>
      <c r="AL621" s="85" t="str">
        <f t="shared" si="290"/>
        <v/>
      </c>
      <c r="AM621" s="254" t="str">
        <f t="shared" si="291"/>
        <v/>
      </c>
      <c r="AN621" s="254" t="str">
        <f t="shared" ca="1" si="270"/>
        <v/>
      </c>
      <c r="AO621" s="255" t="str">
        <f t="shared" si="292"/>
        <v/>
      </c>
    </row>
    <row r="622" spans="2:41" x14ac:dyDescent="0.25">
      <c r="B622" s="321"/>
      <c r="C622" s="17"/>
      <c r="E622" s="117"/>
      <c r="F622" s="4" t="str">
        <f t="shared" si="271"/>
        <v/>
      </c>
      <c r="G622" s="4" t="str">
        <f t="shared" si="272"/>
        <v/>
      </c>
      <c r="H622" s="4" t="str">
        <f t="shared" si="273"/>
        <v/>
      </c>
      <c r="I622" s="4" t="str">
        <f t="shared" si="274"/>
        <v/>
      </c>
      <c r="J622" s="247"/>
      <c r="K622" s="117"/>
      <c r="L622" s="4" t="str">
        <f t="shared" si="280"/>
        <v/>
      </c>
      <c r="M622" s="4" t="str">
        <f t="shared" si="281"/>
        <v/>
      </c>
      <c r="N622" s="4" t="str">
        <f t="shared" si="282"/>
        <v/>
      </c>
      <c r="O622" s="4" t="str">
        <f t="shared" si="283"/>
        <v/>
      </c>
      <c r="P622" s="247"/>
      <c r="Q622" s="117"/>
      <c r="R622" s="4" t="str">
        <f t="shared" si="284"/>
        <v/>
      </c>
      <c r="S622" s="4" t="str">
        <f t="shared" si="285"/>
        <v/>
      </c>
      <c r="T622" s="4" t="str">
        <f t="shared" si="286"/>
        <v/>
      </c>
      <c r="U622" s="4" t="str">
        <f t="shared" si="287"/>
        <v/>
      </c>
      <c r="V622" s="247"/>
      <c r="W622" s="67" t="str">
        <f t="shared" si="275"/>
        <v/>
      </c>
      <c r="X622" s="118"/>
      <c r="Z622" s="67" t="str">
        <f t="shared" si="276"/>
        <v/>
      </c>
      <c r="AA622" s="13">
        <f t="shared" si="277"/>
        <v>0</v>
      </c>
      <c r="AB622" s="17">
        <f t="shared" si="278"/>
        <v>0</v>
      </c>
      <c r="AC622" s="163" t="str">
        <f t="shared" si="279"/>
        <v/>
      </c>
      <c r="AD622" s="119"/>
      <c r="AE622" s="21"/>
      <c r="AF622" s="121"/>
      <c r="AG622" s="122"/>
      <c r="AH622" s="83" t="str">
        <f t="shared" si="288"/>
        <v/>
      </c>
      <c r="AI622" s="115"/>
      <c r="AJ622" s="116"/>
      <c r="AK622" s="83" t="str">
        <f t="shared" si="289"/>
        <v/>
      </c>
      <c r="AL622" s="85" t="str">
        <f t="shared" si="290"/>
        <v/>
      </c>
      <c r="AM622" s="254" t="str">
        <f t="shared" si="291"/>
        <v/>
      </c>
      <c r="AN622" s="254" t="str">
        <f t="shared" ca="1" si="270"/>
        <v/>
      </c>
      <c r="AO622" s="255" t="str">
        <f t="shared" si="292"/>
        <v/>
      </c>
    </row>
    <row r="623" spans="2:41" x14ac:dyDescent="0.25">
      <c r="B623" s="321"/>
      <c r="C623" s="17"/>
      <c r="E623" s="117"/>
      <c r="F623" s="4" t="str">
        <f t="shared" si="271"/>
        <v/>
      </c>
      <c r="G623" s="4" t="str">
        <f t="shared" si="272"/>
        <v/>
      </c>
      <c r="H623" s="4" t="str">
        <f t="shared" si="273"/>
        <v/>
      </c>
      <c r="I623" s="4" t="str">
        <f t="shared" si="274"/>
        <v/>
      </c>
      <c r="J623" s="247"/>
      <c r="K623" s="117"/>
      <c r="L623" s="4" t="str">
        <f t="shared" si="280"/>
        <v/>
      </c>
      <c r="M623" s="4" t="str">
        <f t="shared" si="281"/>
        <v/>
      </c>
      <c r="N623" s="4" t="str">
        <f t="shared" si="282"/>
        <v/>
      </c>
      <c r="O623" s="4" t="str">
        <f t="shared" si="283"/>
        <v/>
      </c>
      <c r="P623" s="247"/>
      <c r="Q623" s="117"/>
      <c r="R623" s="4" t="str">
        <f t="shared" si="284"/>
        <v/>
      </c>
      <c r="S623" s="4" t="str">
        <f t="shared" si="285"/>
        <v/>
      </c>
      <c r="T623" s="4" t="str">
        <f t="shared" si="286"/>
        <v/>
      </c>
      <c r="U623" s="4" t="str">
        <f t="shared" si="287"/>
        <v/>
      </c>
      <c r="V623" s="247"/>
      <c r="W623" s="67" t="str">
        <f t="shared" si="275"/>
        <v/>
      </c>
      <c r="X623" s="118"/>
      <c r="Z623" s="67" t="str">
        <f t="shared" si="276"/>
        <v/>
      </c>
      <c r="AA623" s="13">
        <f t="shared" si="277"/>
        <v>0</v>
      </c>
      <c r="AB623" s="17">
        <f t="shared" si="278"/>
        <v>0</v>
      </c>
      <c r="AC623" s="163" t="str">
        <f t="shared" si="279"/>
        <v/>
      </c>
      <c r="AD623" s="119"/>
      <c r="AE623" s="21"/>
      <c r="AF623" s="121"/>
      <c r="AG623" s="122"/>
      <c r="AH623" s="83" t="str">
        <f t="shared" si="288"/>
        <v/>
      </c>
      <c r="AI623" s="115"/>
      <c r="AJ623" s="116"/>
      <c r="AK623" s="83" t="str">
        <f t="shared" si="289"/>
        <v/>
      </c>
      <c r="AL623" s="85" t="str">
        <f t="shared" si="290"/>
        <v/>
      </c>
      <c r="AM623" s="254" t="str">
        <f t="shared" si="291"/>
        <v/>
      </c>
      <c r="AN623" s="254" t="str">
        <f t="shared" ca="1" si="270"/>
        <v/>
      </c>
      <c r="AO623" s="255" t="str">
        <f t="shared" si="292"/>
        <v/>
      </c>
    </row>
    <row r="624" spans="2:41" x14ac:dyDescent="0.25">
      <c r="B624" s="321"/>
      <c r="C624" s="17"/>
      <c r="E624" s="117"/>
      <c r="F624" s="4" t="str">
        <f t="shared" si="271"/>
        <v/>
      </c>
      <c r="G624" s="4" t="str">
        <f t="shared" si="272"/>
        <v/>
      </c>
      <c r="H624" s="4" t="str">
        <f t="shared" si="273"/>
        <v/>
      </c>
      <c r="I624" s="4" t="str">
        <f t="shared" si="274"/>
        <v/>
      </c>
      <c r="J624" s="247"/>
      <c r="K624" s="117"/>
      <c r="L624" s="4" t="str">
        <f t="shared" si="280"/>
        <v/>
      </c>
      <c r="M624" s="4" t="str">
        <f t="shared" si="281"/>
        <v/>
      </c>
      <c r="N624" s="4" t="str">
        <f t="shared" si="282"/>
        <v/>
      </c>
      <c r="O624" s="4" t="str">
        <f t="shared" si="283"/>
        <v/>
      </c>
      <c r="P624" s="247"/>
      <c r="Q624" s="117"/>
      <c r="R624" s="4" t="str">
        <f t="shared" si="284"/>
        <v/>
      </c>
      <c r="S624" s="4" t="str">
        <f t="shared" si="285"/>
        <v/>
      </c>
      <c r="T624" s="4" t="str">
        <f t="shared" si="286"/>
        <v/>
      </c>
      <c r="U624" s="4" t="str">
        <f t="shared" si="287"/>
        <v/>
      </c>
      <c r="V624" s="247"/>
      <c r="W624" s="67" t="str">
        <f t="shared" si="275"/>
        <v/>
      </c>
      <c r="X624" s="118"/>
      <c r="Z624" s="67" t="str">
        <f t="shared" si="276"/>
        <v/>
      </c>
      <c r="AA624" s="13">
        <f t="shared" si="277"/>
        <v>0</v>
      </c>
      <c r="AB624" s="17">
        <f t="shared" si="278"/>
        <v>0</v>
      </c>
      <c r="AC624" s="163" t="str">
        <f t="shared" si="279"/>
        <v/>
      </c>
      <c r="AD624" s="119"/>
      <c r="AE624" s="21"/>
      <c r="AF624" s="121"/>
      <c r="AG624" s="122"/>
      <c r="AH624" s="83" t="str">
        <f t="shared" si="288"/>
        <v/>
      </c>
      <c r="AI624" s="115"/>
      <c r="AJ624" s="116"/>
      <c r="AK624" s="83" t="str">
        <f t="shared" si="289"/>
        <v/>
      </c>
      <c r="AL624" s="85" t="str">
        <f t="shared" si="290"/>
        <v/>
      </c>
      <c r="AM624" s="254" t="str">
        <f t="shared" si="291"/>
        <v/>
      </c>
      <c r="AN624" s="254" t="str">
        <f t="shared" ca="1" si="270"/>
        <v/>
      </c>
      <c r="AO624" s="255" t="str">
        <f t="shared" si="292"/>
        <v/>
      </c>
    </row>
    <row r="625" spans="2:41" x14ac:dyDescent="0.25">
      <c r="B625" s="321"/>
      <c r="C625" s="17"/>
      <c r="E625" s="117"/>
      <c r="F625" s="4" t="str">
        <f t="shared" si="271"/>
        <v/>
      </c>
      <c r="G625" s="4" t="str">
        <f t="shared" si="272"/>
        <v/>
      </c>
      <c r="H625" s="4" t="str">
        <f t="shared" si="273"/>
        <v/>
      </c>
      <c r="I625" s="4" t="str">
        <f t="shared" si="274"/>
        <v/>
      </c>
      <c r="J625" s="247"/>
      <c r="K625" s="117"/>
      <c r="L625" s="4" t="str">
        <f t="shared" si="280"/>
        <v/>
      </c>
      <c r="M625" s="4" t="str">
        <f t="shared" si="281"/>
        <v/>
      </c>
      <c r="N625" s="4" t="str">
        <f t="shared" si="282"/>
        <v/>
      </c>
      <c r="O625" s="4" t="str">
        <f t="shared" si="283"/>
        <v/>
      </c>
      <c r="P625" s="247"/>
      <c r="Q625" s="117"/>
      <c r="R625" s="4" t="str">
        <f t="shared" si="284"/>
        <v/>
      </c>
      <c r="S625" s="4" t="str">
        <f t="shared" si="285"/>
        <v/>
      </c>
      <c r="T625" s="4" t="str">
        <f t="shared" si="286"/>
        <v/>
      </c>
      <c r="U625" s="4" t="str">
        <f t="shared" si="287"/>
        <v/>
      </c>
      <c r="V625" s="247"/>
      <c r="W625" s="67" t="str">
        <f t="shared" si="275"/>
        <v/>
      </c>
      <c r="X625" s="118"/>
      <c r="Z625" s="67" t="str">
        <f t="shared" si="276"/>
        <v/>
      </c>
      <c r="AA625" s="13">
        <f t="shared" si="277"/>
        <v>0</v>
      </c>
      <c r="AB625" s="17">
        <f t="shared" si="278"/>
        <v>0</v>
      </c>
      <c r="AC625" s="163" t="str">
        <f t="shared" si="279"/>
        <v/>
      </c>
      <c r="AD625" s="119"/>
      <c r="AE625" s="21"/>
      <c r="AF625" s="121"/>
      <c r="AG625" s="122"/>
      <c r="AH625" s="83" t="str">
        <f t="shared" si="288"/>
        <v/>
      </c>
      <c r="AI625" s="115"/>
      <c r="AJ625" s="116"/>
      <c r="AK625" s="83" t="str">
        <f t="shared" si="289"/>
        <v/>
      </c>
      <c r="AL625" s="85" t="str">
        <f t="shared" si="290"/>
        <v/>
      </c>
      <c r="AM625" s="254" t="str">
        <f t="shared" si="291"/>
        <v/>
      </c>
      <c r="AN625" s="254" t="str">
        <f t="shared" ca="1" si="270"/>
        <v/>
      </c>
      <c r="AO625" s="255" t="str">
        <f t="shared" si="292"/>
        <v/>
      </c>
    </row>
    <row r="626" spans="2:41" x14ac:dyDescent="0.25">
      <c r="B626" s="321"/>
      <c r="C626" s="17"/>
      <c r="E626" s="117"/>
      <c r="F626" s="4" t="str">
        <f t="shared" si="271"/>
        <v/>
      </c>
      <c r="G626" s="4" t="str">
        <f t="shared" si="272"/>
        <v/>
      </c>
      <c r="H626" s="4" t="str">
        <f t="shared" si="273"/>
        <v/>
      </c>
      <c r="I626" s="4" t="str">
        <f t="shared" si="274"/>
        <v/>
      </c>
      <c r="J626" s="247"/>
      <c r="K626" s="117"/>
      <c r="L626" s="4" t="str">
        <f t="shared" si="280"/>
        <v/>
      </c>
      <c r="M626" s="4" t="str">
        <f t="shared" si="281"/>
        <v/>
      </c>
      <c r="N626" s="4" t="str">
        <f t="shared" si="282"/>
        <v/>
      </c>
      <c r="O626" s="4" t="str">
        <f t="shared" si="283"/>
        <v/>
      </c>
      <c r="P626" s="247"/>
      <c r="Q626" s="117"/>
      <c r="R626" s="4" t="str">
        <f t="shared" si="284"/>
        <v/>
      </c>
      <c r="S626" s="4" t="str">
        <f t="shared" si="285"/>
        <v/>
      </c>
      <c r="T626" s="4" t="str">
        <f t="shared" si="286"/>
        <v/>
      </c>
      <c r="U626" s="4" t="str">
        <f t="shared" si="287"/>
        <v/>
      </c>
      <c r="V626" s="247"/>
      <c r="W626" s="67" t="str">
        <f t="shared" si="275"/>
        <v/>
      </c>
      <c r="X626" s="118"/>
      <c r="Z626" s="67" t="str">
        <f t="shared" si="276"/>
        <v/>
      </c>
      <c r="AA626" s="13">
        <f t="shared" si="277"/>
        <v>0</v>
      </c>
      <c r="AB626" s="17">
        <f t="shared" si="278"/>
        <v>0</v>
      </c>
      <c r="AC626" s="163" t="str">
        <f t="shared" si="279"/>
        <v/>
      </c>
      <c r="AD626" s="119"/>
      <c r="AE626" s="21"/>
      <c r="AF626" s="121"/>
      <c r="AG626" s="122"/>
      <c r="AH626" s="83" t="str">
        <f t="shared" si="288"/>
        <v/>
      </c>
      <c r="AI626" s="115"/>
      <c r="AJ626" s="116"/>
      <c r="AK626" s="83" t="str">
        <f t="shared" si="289"/>
        <v/>
      </c>
      <c r="AL626" s="85" t="str">
        <f t="shared" si="290"/>
        <v/>
      </c>
      <c r="AM626" s="254" t="str">
        <f t="shared" si="291"/>
        <v/>
      </c>
      <c r="AN626" s="254" t="str">
        <f t="shared" ca="1" si="270"/>
        <v/>
      </c>
      <c r="AO626" s="255" t="str">
        <f t="shared" si="292"/>
        <v/>
      </c>
    </row>
    <row r="627" spans="2:41" x14ac:dyDescent="0.25">
      <c r="B627" s="321"/>
      <c r="C627" s="17"/>
      <c r="E627" s="117"/>
      <c r="F627" s="4" t="str">
        <f t="shared" si="271"/>
        <v/>
      </c>
      <c r="G627" s="4" t="str">
        <f t="shared" si="272"/>
        <v/>
      </c>
      <c r="H627" s="4" t="str">
        <f t="shared" si="273"/>
        <v/>
      </c>
      <c r="I627" s="4" t="str">
        <f t="shared" si="274"/>
        <v/>
      </c>
      <c r="J627" s="247"/>
      <c r="K627" s="117"/>
      <c r="L627" s="4" t="str">
        <f t="shared" si="280"/>
        <v/>
      </c>
      <c r="M627" s="4" t="str">
        <f t="shared" si="281"/>
        <v/>
      </c>
      <c r="N627" s="4" t="str">
        <f t="shared" si="282"/>
        <v/>
      </c>
      <c r="O627" s="4" t="str">
        <f t="shared" si="283"/>
        <v/>
      </c>
      <c r="P627" s="247"/>
      <c r="Q627" s="117"/>
      <c r="R627" s="4" t="str">
        <f t="shared" si="284"/>
        <v/>
      </c>
      <c r="S627" s="4" t="str">
        <f t="shared" si="285"/>
        <v/>
      </c>
      <c r="T627" s="4" t="str">
        <f t="shared" si="286"/>
        <v/>
      </c>
      <c r="U627" s="4" t="str">
        <f t="shared" si="287"/>
        <v/>
      </c>
      <c r="V627" s="247"/>
      <c r="W627" s="67" t="str">
        <f t="shared" si="275"/>
        <v/>
      </c>
      <c r="X627" s="118"/>
      <c r="Z627" s="67" t="str">
        <f t="shared" si="276"/>
        <v/>
      </c>
      <c r="AA627" s="13">
        <f t="shared" si="277"/>
        <v>0</v>
      </c>
      <c r="AB627" s="17">
        <f t="shared" si="278"/>
        <v>0</v>
      </c>
      <c r="AC627" s="163" t="str">
        <f t="shared" si="279"/>
        <v/>
      </c>
      <c r="AD627" s="119"/>
      <c r="AE627" s="21"/>
      <c r="AF627" s="121"/>
      <c r="AG627" s="122"/>
      <c r="AH627" s="83" t="str">
        <f t="shared" si="288"/>
        <v/>
      </c>
      <c r="AI627" s="115"/>
      <c r="AJ627" s="116"/>
      <c r="AK627" s="83" t="str">
        <f t="shared" si="289"/>
        <v/>
      </c>
      <c r="AL627" s="85" t="str">
        <f t="shared" si="290"/>
        <v/>
      </c>
      <c r="AM627" s="254" t="str">
        <f t="shared" si="291"/>
        <v/>
      </c>
      <c r="AN627" s="254" t="str">
        <f t="shared" ca="1" si="270"/>
        <v/>
      </c>
      <c r="AO627" s="255" t="str">
        <f t="shared" si="292"/>
        <v/>
      </c>
    </row>
    <row r="628" spans="2:41" x14ac:dyDescent="0.25">
      <c r="B628" s="321"/>
      <c r="C628" s="17"/>
      <c r="E628" s="117"/>
      <c r="F628" s="4" t="str">
        <f t="shared" si="271"/>
        <v/>
      </c>
      <c r="G628" s="4" t="str">
        <f t="shared" si="272"/>
        <v/>
      </c>
      <c r="H628" s="4" t="str">
        <f t="shared" si="273"/>
        <v/>
      </c>
      <c r="I628" s="4" t="str">
        <f t="shared" si="274"/>
        <v/>
      </c>
      <c r="J628" s="247"/>
      <c r="K628" s="117"/>
      <c r="L628" s="4" t="str">
        <f t="shared" si="280"/>
        <v/>
      </c>
      <c r="M628" s="4" t="str">
        <f t="shared" si="281"/>
        <v/>
      </c>
      <c r="N628" s="4" t="str">
        <f t="shared" si="282"/>
        <v/>
      </c>
      <c r="O628" s="4" t="str">
        <f t="shared" si="283"/>
        <v/>
      </c>
      <c r="P628" s="247"/>
      <c r="Q628" s="117"/>
      <c r="R628" s="4" t="str">
        <f t="shared" si="284"/>
        <v/>
      </c>
      <c r="S628" s="4" t="str">
        <f t="shared" si="285"/>
        <v/>
      </c>
      <c r="T628" s="4" t="str">
        <f t="shared" si="286"/>
        <v/>
      </c>
      <c r="U628" s="4" t="str">
        <f t="shared" si="287"/>
        <v/>
      </c>
      <c r="V628" s="247"/>
      <c r="W628" s="67" t="str">
        <f t="shared" si="275"/>
        <v/>
      </c>
      <c r="X628" s="118"/>
      <c r="Z628" s="67" t="str">
        <f t="shared" si="276"/>
        <v/>
      </c>
      <c r="AA628" s="13">
        <f t="shared" si="277"/>
        <v>0</v>
      </c>
      <c r="AB628" s="17">
        <f t="shared" si="278"/>
        <v>0</v>
      </c>
      <c r="AC628" s="163" t="str">
        <f t="shared" si="279"/>
        <v/>
      </c>
      <c r="AD628" s="119"/>
      <c r="AE628" s="21"/>
      <c r="AF628" s="121"/>
      <c r="AG628" s="122"/>
      <c r="AH628" s="83" t="str">
        <f t="shared" si="288"/>
        <v/>
      </c>
      <c r="AI628" s="115"/>
      <c r="AJ628" s="116"/>
      <c r="AK628" s="83" t="str">
        <f t="shared" si="289"/>
        <v/>
      </c>
      <c r="AL628" s="85" t="str">
        <f t="shared" si="290"/>
        <v/>
      </c>
      <c r="AM628" s="254" t="str">
        <f t="shared" si="291"/>
        <v/>
      </c>
      <c r="AN628" s="254" t="str">
        <f t="shared" ref="AN628:AN645" ca="1" si="293">IF(AK628="","",NOW())</f>
        <v/>
      </c>
      <c r="AO628" s="255" t="str">
        <f t="shared" si="292"/>
        <v/>
      </c>
    </row>
    <row r="629" spans="2:41" x14ac:dyDescent="0.25">
      <c r="B629" s="321"/>
      <c r="C629" s="17"/>
      <c r="E629" s="117"/>
      <c r="F629" s="4" t="str">
        <f t="shared" si="271"/>
        <v/>
      </c>
      <c r="G629" s="4" t="str">
        <f t="shared" si="272"/>
        <v/>
      </c>
      <c r="H629" s="4" t="str">
        <f t="shared" si="273"/>
        <v/>
      </c>
      <c r="I629" s="4" t="str">
        <f t="shared" si="274"/>
        <v/>
      </c>
      <c r="J629" s="247"/>
      <c r="K629" s="117"/>
      <c r="L629" s="4" t="str">
        <f t="shared" si="280"/>
        <v/>
      </c>
      <c r="M629" s="4" t="str">
        <f t="shared" si="281"/>
        <v/>
      </c>
      <c r="N629" s="4" t="str">
        <f t="shared" si="282"/>
        <v/>
      </c>
      <c r="O629" s="4" t="str">
        <f t="shared" si="283"/>
        <v/>
      </c>
      <c r="P629" s="247"/>
      <c r="Q629" s="117"/>
      <c r="R629" s="4" t="str">
        <f t="shared" si="284"/>
        <v/>
      </c>
      <c r="S629" s="4" t="str">
        <f t="shared" si="285"/>
        <v/>
      </c>
      <c r="T629" s="4" t="str">
        <f t="shared" si="286"/>
        <v/>
      </c>
      <c r="U629" s="4" t="str">
        <f t="shared" si="287"/>
        <v/>
      </c>
      <c r="V629" s="247"/>
      <c r="W629" s="67" t="str">
        <f t="shared" si="275"/>
        <v/>
      </c>
      <c r="X629" s="118"/>
      <c r="Z629" s="67" t="str">
        <f t="shared" si="276"/>
        <v/>
      </c>
      <c r="AA629" s="13">
        <f t="shared" si="277"/>
        <v>0</v>
      </c>
      <c r="AB629" s="17">
        <f t="shared" si="278"/>
        <v>0</v>
      </c>
      <c r="AC629" s="163" t="str">
        <f t="shared" si="279"/>
        <v/>
      </c>
      <c r="AD629" s="119"/>
      <c r="AE629" s="21"/>
      <c r="AF629" s="121"/>
      <c r="AG629" s="122"/>
      <c r="AH629" s="83" t="str">
        <f t="shared" si="288"/>
        <v/>
      </c>
      <c r="AI629" s="115"/>
      <c r="AJ629" s="116"/>
      <c r="AK629" s="83" t="str">
        <f t="shared" si="289"/>
        <v/>
      </c>
      <c r="AL629" s="85" t="str">
        <f t="shared" si="290"/>
        <v/>
      </c>
      <c r="AM629" s="254" t="str">
        <f t="shared" si="291"/>
        <v/>
      </c>
      <c r="AN629" s="254" t="str">
        <f t="shared" ca="1" si="293"/>
        <v/>
      </c>
      <c r="AO629" s="255" t="str">
        <f t="shared" si="292"/>
        <v/>
      </c>
    </row>
    <row r="630" spans="2:41" x14ac:dyDescent="0.25">
      <c r="B630" s="321"/>
      <c r="C630" s="17"/>
      <c r="E630" s="117"/>
      <c r="F630" s="4" t="str">
        <f t="shared" si="271"/>
        <v/>
      </c>
      <c r="G630" s="4" t="str">
        <f t="shared" si="272"/>
        <v/>
      </c>
      <c r="H630" s="4" t="str">
        <f t="shared" si="273"/>
        <v/>
      </c>
      <c r="I630" s="4" t="str">
        <f t="shared" si="274"/>
        <v/>
      </c>
      <c r="J630" s="247"/>
      <c r="K630" s="117"/>
      <c r="L630" s="4" t="str">
        <f t="shared" si="280"/>
        <v/>
      </c>
      <c r="M630" s="4" t="str">
        <f t="shared" si="281"/>
        <v/>
      </c>
      <c r="N630" s="4" t="str">
        <f t="shared" si="282"/>
        <v/>
      </c>
      <c r="O630" s="4" t="str">
        <f t="shared" si="283"/>
        <v/>
      </c>
      <c r="P630" s="247"/>
      <c r="Q630" s="117"/>
      <c r="R630" s="4" t="str">
        <f t="shared" si="284"/>
        <v/>
      </c>
      <c r="S630" s="4" t="str">
        <f t="shared" si="285"/>
        <v/>
      </c>
      <c r="T630" s="4" t="str">
        <f t="shared" si="286"/>
        <v/>
      </c>
      <c r="U630" s="4" t="str">
        <f t="shared" si="287"/>
        <v/>
      </c>
      <c r="V630" s="247"/>
      <c r="W630" s="67" t="str">
        <f t="shared" si="275"/>
        <v/>
      </c>
      <c r="X630" s="118"/>
      <c r="Z630" s="67" t="str">
        <f t="shared" si="276"/>
        <v/>
      </c>
      <c r="AA630" s="13">
        <f t="shared" si="277"/>
        <v>0</v>
      </c>
      <c r="AB630" s="17">
        <f t="shared" si="278"/>
        <v>0</v>
      </c>
      <c r="AC630" s="163" t="str">
        <f t="shared" si="279"/>
        <v/>
      </c>
      <c r="AD630" s="119"/>
      <c r="AE630" s="21"/>
      <c r="AF630" s="121"/>
      <c r="AG630" s="122"/>
      <c r="AH630" s="83" t="str">
        <f t="shared" si="288"/>
        <v/>
      </c>
      <c r="AI630" s="115"/>
      <c r="AJ630" s="116"/>
      <c r="AK630" s="83" t="str">
        <f t="shared" si="289"/>
        <v/>
      </c>
      <c r="AL630" s="85" t="str">
        <f t="shared" si="290"/>
        <v/>
      </c>
      <c r="AM630" s="254" t="str">
        <f t="shared" si="291"/>
        <v/>
      </c>
      <c r="AN630" s="254" t="str">
        <f t="shared" ca="1" si="293"/>
        <v/>
      </c>
      <c r="AO630" s="255" t="str">
        <f t="shared" si="292"/>
        <v/>
      </c>
    </row>
    <row r="631" spans="2:41" x14ac:dyDescent="0.25">
      <c r="B631" s="321"/>
      <c r="C631" s="17"/>
      <c r="E631" s="117"/>
      <c r="F631" s="4" t="str">
        <f t="shared" si="271"/>
        <v/>
      </c>
      <c r="G631" s="4" t="str">
        <f t="shared" si="272"/>
        <v/>
      </c>
      <c r="H631" s="4" t="str">
        <f t="shared" si="273"/>
        <v/>
      </c>
      <c r="I631" s="4" t="str">
        <f t="shared" si="274"/>
        <v/>
      </c>
      <c r="J631" s="247"/>
      <c r="K631" s="117"/>
      <c r="L631" s="4" t="str">
        <f t="shared" si="280"/>
        <v/>
      </c>
      <c r="M631" s="4" t="str">
        <f t="shared" si="281"/>
        <v/>
      </c>
      <c r="N631" s="4" t="str">
        <f t="shared" si="282"/>
        <v/>
      </c>
      <c r="O631" s="4" t="str">
        <f t="shared" si="283"/>
        <v/>
      </c>
      <c r="P631" s="247"/>
      <c r="Q631" s="117"/>
      <c r="R631" s="4" t="str">
        <f t="shared" si="284"/>
        <v/>
      </c>
      <c r="S631" s="4" t="str">
        <f t="shared" si="285"/>
        <v/>
      </c>
      <c r="T631" s="4" t="str">
        <f t="shared" si="286"/>
        <v/>
      </c>
      <c r="U631" s="4" t="str">
        <f t="shared" si="287"/>
        <v/>
      </c>
      <c r="V631" s="247"/>
      <c r="W631" s="67" t="str">
        <f t="shared" si="275"/>
        <v/>
      </c>
      <c r="X631" s="118"/>
      <c r="Z631" s="67" t="str">
        <f t="shared" si="276"/>
        <v/>
      </c>
      <c r="AA631" s="13">
        <f t="shared" si="277"/>
        <v>0</v>
      </c>
      <c r="AB631" s="17">
        <f t="shared" si="278"/>
        <v>0</v>
      </c>
      <c r="AC631" s="163" t="str">
        <f t="shared" si="279"/>
        <v/>
      </c>
      <c r="AD631" s="119"/>
      <c r="AE631" s="21"/>
      <c r="AF631" s="121"/>
      <c r="AG631" s="122"/>
      <c r="AH631" s="83" t="str">
        <f t="shared" si="288"/>
        <v/>
      </c>
      <c r="AI631" s="115"/>
      <c r="AJ631" s="116"/>
      <c r="AK631" s="83" t="str">
        <f t="shared" si="289"/>
        <v/>
      </c>
      <c r="AL631" s="85" t="str">
        <f t="shared" si="290"/>
        <v/>
      </c>
      <c r="AM631" s="254" t="str">
        <f t="shared" si="291"/>
        <v/>
      </c>
      <c r="AN631" s="254" t="str">
        <f t="shared" ca="1" si="293"/>
        <v/>
      </c>
      <c r="AO631" s="255" t="str">
        <f t="shared" si="292"/>
        <v/>
      </c>
    </row>
    <row r="632" spans="2:41" x14ac:dyDescent="0.25">
      <c r="B632" s="321"/>
      <c r="C632" s="17"/>
      <c r="E632" s="117"/>
      <c r="F632" s="4" t="str">
        <f t="shared" si="271"/>
        <v/>
      </c>
      <c r="G632" s="4" t="str">
        <f t="shared" si="272"/>
        <v/>
      </c>
      <c r="H632" s="4" t="str">
        <f t="shared" si="273"/>
        <v/>
      </c>
      <c r="I632" s="4" t="str">
        <f t="shared" si="274"/>
        <v/>
      </c>
      <c r="J632" s="247"/>
      <c r="K632" s="117"/>
      <c r="L632" s="4" t="str">
        <f t="shared" si="280"/>
        <v/>
      </c>
      <c r="M632" s="4" t="str">
        <f t="shared" si="281"/>
        <v/>
      </c>
      <c r="N632" s="4" t="str">
        <f t="shared" si="282"/>
        <v/>
      </c>
      <c r="O632" s="4" t="str">
        <f t="shared" si="283"/>
        <v/>
      </c>
      <c r="P632" s="247"/>
      <c r="Q632" s="117"/>
      <c r="R632" s="4" t="str">
        <f t="shared" si="284"/>
        <v/>
      </c>
      <c r="S632" s="4" t="str">
        <f t="shared" si="285"/>
        <v/>
      </c>
      <c r="T632" s="4" t="str">
        <f t="shared" si="286"/>
        <v/>
      </c>
      <c r="U632" s="4" t="str">
        <f t="shared" si="287"/>
        <v/>
      </c>
      <c r="V632" s="247"/>
      <c r="W632" s="67" t="str">
        <f t="shared" si="275"/>
        <v/>
      </c>
      <c r="X632" s="118"/>
      <c r="Z632" s="67" t="str">
        <f t="shared" si="276"/>
        <v/>
      </c>
      <c r="AA632" s="13">
        <f t="shared" si="277"/>
        <v>0</v>
      </c>
      <c r="AB632" s="17">
        <f t="shared" si="278"/>
        <v>0</v>
      </c>
      <c r="AC632" s="163" t="str">
        <f t="shared" si="279"/>
        <v/>
      </c>
      <c r="AD632" s="119"/>
      <c r="AE632" s="21"/>
      <c r="AF632" s="121"/>
      <c r="AG632" s="122"/>
      <c r="AH632" s="83" t="str">
        <f t="shared" si="288"/>
        <v/>
      </c>
      <c r="AI632" s="115"/>
      <c r="AJ632" s="116"/>
      <c r="AK632" s="83" t="str">
        <f t="shared" si="289"/>
        <v/>
      </c>
      <c r="AL632" s="85" t="str">
        <f t="shared" si="290"/>
        <v/>
      </c>
      <c r="AM632" s="254" t="str">
        <f t="shared" si="291"/>
        <v/>
      </c>
      <c r="AN632" s="254" t="str">
        <f t="shared" ca="1" si="293"/>
        <v/>
      </c>
      <c r="AO632" s="255" t="str">
        <f t="shared" si="292"/>
        <v/>
      </c>
    </row>
    <row r="633" spans="2:41" x14ac:dyDescent="0.25">
      <c r="B633" s="321"/>
      <c r="C633" s="17"/>
      <c r="E633" s="117"/>
      <c r="F633" s="4" t="str">
        <f t="shared" ref="F633:F645" si="294">IFERROR(IF(VLOOKUP($E633,Inward,2,FALSE)&gt;0,VLOOKUP($E633,Inward,2,FALSE),""),"")</f>
        <v/>
      </c>
      <c r="G633" s="4" t="str">
        <f t="shared" ref="G633:G645" si="295">IFERROR(IF(VLOOKUP($E633,Inward,7,FALSE)&gt;0,VLOOKUP($E633,Inward,7,FALSE),""),"")</f>
        <v/>
      </c>
      <c r="H633" s="4" t="str">
        <f t="shared" ref="H633:H645" si="296">IFERROR(IF(VLOOKUP($E633,Inward,8,FALSE)&gt;0,VLOOKUP($E633,Inward,8,FALSE),""),"")</f>
        <v/>
      </c>
      <c r="I633" s="4" t="str">
        <f t="shared" ref="I633:I645" si="297">IFERROR(IF(VLOOKUP($E633,Inward,11,FALSE)&gt;0,VLOOKUP($E633,Inward,11,FALSE),""),"")</f>
        <v/>
      </c>
      <c r="J633" s="247"/>
      <c r="K633" s="117"/>
      <c r="L633" s="4" t="str">
        <f t="shared" si="280"/>
        <v/>
      </c>
      <c r="M633" s="4" t="str">
        <f t="shared" si="281"/>
        <v/>
      </c>
      <c r="N633" s="4" t="str">
        <f t="shared" si="282"/>
        <v/>
      </c>
      <c r="O633" s="4" t="str">
        <f t="shared" si="283"/>
        <v/>
      </c>
      <c r="P633" s="247"/>
      <c r="Q633" s="117"/>
      <c r="R633" s="4" t="str">
        <f t="shared" si="284"/>
        <v/>
      </c>
      <c r="S633" s="4" t="str">
        <f t="shared" si="285"/>
        <v/>
      </c>
      <c r="T633" s="4" t="str">
        <f t="shared" si="286"/>
        <v/>
      </c>
      <c r="U633" s="4" t="str">
        <f t="shared" si="287"/>
        <v/>
      </c>
      <c r="V633" s="247"/>
      <c r="W633" s="67" t="str">
        <f t="shared" si="275"/>
        <v/>
      </c>
      <c r="X633" s="118"/>
      <c r="Z633" s="67" t="str">
        <f t="shared" si="276"/>
        <v/>
      </c>
      <c r="AA633" s="13">
        <f t="shared" si="277"/>
        <v>0</v>
      </c>
      <c r="AB633" s="17">
        <f t="shared" si="278"/>
        <v>0</v>
      </c>
      <c r="AC633" s="163" t="str">
        <f t="shared" si="279"/>
        <v/>
      </c>
      <c r="AD633" s="119"/>
      <c r="AE633" s="21"/>
      <c r="AF633" s="121"/>
      <c r="AG633" s="122"/>
      <c r="AH633" s="83" t="str">
        <f t="shared" si="288"/>
        <v/>
      </c>
      <c r="AI633" s="115"/>
      <c r="AJ633" s="116"/>
      <c r="AK633" s="83" t="str">
        <f t="shared" si="289"/>
        <v/>
      </c>
      <c r="AL633" s="85" t="str">
        <f t="shared" si="290"/>
        <v/>
      </c>
      <c r="AM633" s="254" t="str">
        <f t="shared" si="291"/>
        <v/>
      </c>
      <c r="AN633" s="254" t="str">
        <f t="shared" ca="1" si="293"/>
        <v/>
      </c>
      <c r="AO633" s="255" t="str">
        <f t="shared" si="292"/>
        <v/>
      </c>
    </row>
    <row r="634" spans="2:41" x14ac:dyDescent="0.25">
      <c r="B634" s="321"/>
      <c r="C634" s="17"/>
      <c r="E634" s="117"/>
      <c r="F634" s="4" t="str">
        <f t="shared" si="294"/>
        <v/>
      </c>
      <c r="G634" s="4" t="str">
        <f t="shared" si="295"/>
        <v/>
      </c>
      <c r="H634" s="4" t="str">
        <f t="shared" si="296"/>
        <v/>
      </c>
      <c r="I634" s="4" t="str">
        <f t="shared" si="297"/>
        <v/>
      </c>
      <c r="J634" s="247"/>
      <c r="K634" s="117"/>
      <c r="L634" s="4" t="str">
        <f t="shared" si="280"/>
        <v/>
      </c>
      <c r="M634" s="4" t="str">
        <f t="shared" si="281"/>
        <v/>
      </c>
      <c r="N634" s="4" t="str">
        <f t="shared" si="282"/>
        <v/>
      </c>
      <c r="O634" s="4" t="str">
        <f t="shared" si="283"/>
        <v/>
      </c>
      <c r="P634" s="247"/>
      <c r="Q634" s="117"/>
      <c r="R634" s="4" t="str">
        <f t="shared" si="284"/>
        <v/>
      </c>
      <c r="S634" s="4" t="str">
        <f t="shared" si="285"/>
        <v/>
      </c>
      <c r="T634" s="4" t="str">
        <f t="shared" si="286"/>
        <v/>
      </c>
      <c r="U634" s="4" t="str">
        <f t="shared" si="287"/>
        <v/>
      </c>
      <c r="V634" s="247"/>
      <c r="W634" s="67" t="str">
        <f t="shared" si="275"/>
        <v/>
      </c>
      <c r="X634" s="118"/>
      <c r="Z634" s="67" t="str">
        <f t="shared" si="276"/>
        <v/>
      </c>
      <c r="AA634" s="13">
        <f t="shared" si="277"/>
        <v>0</v>
      </c>
      <c r="AB634" s="17">
        <f t="shared" si="278"/>
        <v>0</v>
      </c>
      <c r="AC634" s="163" t="str">
        <f t="shared" si="279"/>
        <v/>
      </c>
      <c r="AD634" s="119"/>
      <c r="AE634" s="21"/>
      <c r="AF634" s="121"/>
      <c r="AG634" s="122"/>
      <c r="AH634" s="83" t="str">
        <f t="shared" si="288"/>
        <v/>
      </c>
      <c r="AI634" s="115"/>
      <c r="AJ634" s="116"/>
      <c r="AK634" s="83" t="str">
        <f t="shared" si="289"/>
        <v/>
      </c>
      <c r="AL634" s="85" t="str">
        <f t="shared" si="290"/>
        <v/>
      </c>
      <c r="AM634" s="254" t="str">
        <f t="shared" si="291"/>
        <v/>
      </c>
      <c r="AN634" s="254" t="str">
        <f t="shared" ca="1" si="293"/>
        <v/>
      </c>
      <c r="AO634" s="255" t="str">
        <f t="shared" si="292"/>
        <v/>
      </c>
    </row>
    <row r="635" spans="2:41" x14ac:dyDescent="0.25">
      <c r="B635" s="321"/>
      <c r="C635" s="17"/>
      <c r="E635" s="117"/>
      <c r="F635" s="4" t="str">
        <f t="shared" si="294"/>
        <v/>
      </c>
      <c r="G635" s="4" t="str">
        <f t="shared" si="295"/>
        <v/>
      </c>
      <c r="H635" s="4" t="str">
        <f t="shared" si="296"/>
        <v/>
      </c>
      <c r="I635" s="4" t="str">
        <f t="shared" si="297"/>
        <v/>
      </c>
      <c r="J635" s="247"/>
      <c r="K635" s="117"/>
      <c r="L635" s="4" t="str">
        <f t="shared" si="280"/>
        <v/>
      </c>
      <c r="M635" s="4" t="str">
        <f t="shared" si="281"/>
        <v/>
      </c>
      <c r="N635" s="4" t="str">
        <f t="shared" si="282"/>
        <v/>
      </c>
      <c r="O635" s="4" t="str">
        <f t="shared" si="283"/>
        <v/>
      </c>
      <c r="P635" s="247"/>
      <c r="Q635" s="117"/>
      <c r="R635" s="4" t="str">
        <f t="shared" si="284"/>
        <v/>
      </c>
      <c r="S635" s="4" t="str">
        <f t="shared" si="285"/>
        <v/>
      </c>
      <c r="T635" s="4" t="str">
        <f t="shared" si="286"/>
        <v/>
      </c>
      <c r="U635" s="4" t="str">
        <f t="shared" si="287"/>
        <v/>
      </c>
      <c r="V635" s="247"/>
      <c r="W635" s="67" t="str">
        <f t="shared" si="275"/>
        <v/>
      </c>
      <c r="X635" s="118"/>
      <c r="Z635" s="67" t="str">
        <f t="shared" si="276"/>
        <v/>
      </c>
      <c r="AA635" s="13">
        <f t="shared" si="277"/>
        <v>0</v>
      </c>
      <c r="AB635" s="17">
        <f t="shared" si="278"/>
        <v>0</v>
      </c>
      <c r="AC635" s="163" t="str">
        <f t="shared" si="279"/>
        <v/>
      </c>
      <c r="AD635" s="119"/>
      <c r="AE635" s="21"/>
      <c r="AF635" s="121"/>
      <c r="AG635" s="122"/>
      <c r="AH635" s="83" t="str">
        <f t="shared" si="288"/>
        <v/>
      </c>
      <c r="AI635" s="115"/>
      <c r="AJ635" s="116"/>
      <c r="AK635" s="83" t="str">
        <f t="shared" si="289"/>
        <v/>
      </c>
      <c r="AL635" s="85" t="str">
        <f t="shared" si="290"/>
        <v/>
      </c>
      <c r="AM635" s="254" t="str">
        <f t="shared" si="291"/>
        <v/>
      </c>
      <c r="AN635" s="254" t="str">
        <f t="shared" ca="1" si="293"/>
        <v/>
      </c>
      <c r="AO635" s="255" t="str">
        <f t="shared" si="292"/>
        <v/>
      </c>
    </row>
    <row r="636" spans="2:41" x14ac:dyDescent="0.25">
      <c r="B636" s="321"/>
      <c r="C636" s="17"/>
      <c r="E636" s="117"/>
      <c r="F636" s="4" t="str">
        <f t="shared" si="294"/>
        <v/>
      </c>
      <c r="G636" s="4" t="str">
        <f t="shared" si="295"/>
        <v/>
      </c>
      <c r="H636" s="4" t="str">
        <f t="shared" si="296"/>
        <v/>
      </c>
      <c r="I636" s="4" t="str">
        <f t="shared" si="297"/>
        <v/>
      </c>
      <c r="J636" s="247"/>
      <c r="K636" s="117"/>
      <c r="L636" s="4" t="str">
        <f t="shared" si="280"/>
        <v/>
      </c>
      <c r="M636" s="4" t="str">
        <f t="shared" si="281"/>
        <v/>
      </c>
      <c r="N636" s="4" t="str">
        <f t="shared" si="282"/>
        <v/>
      </c>
      <c r="O636" s="4" t="str">
        <f t="shared" si="283"/>
        <v/>
      </c>
      <c r="P636" s="247"/>
      <c r="Q636" s="117"/>
      <c r="R636" s="4" t="str">
        <f t="shared" si="284"/>
        <v/>
      </c>
      <c r="S636" s="4" t="str">
        <f t="shared" si="285"/>
        <v/>
      </c>
      <c r="T636" s="4" t="str">
        <f t="shared" si="286"/>
        <v/>
      </c>
      <c r="U636" s="4" t="str">
        <f t="shared" si="287"/>
        <v/>
      </c>
      <c r="V636" s="247"/>
      <c r="W636" s="67" t="str">
        <f t="shared" ref="W636:W645" si="298">IF(SUM(I636,O636,U636)&gt;0,(SUM(I636,O636,U636)),"")</f>
        <v/>
      </c>
      <c r="X636" s="118"/>
      <c r="Z636" s="67" t="str">
        <f t="shared" ref="Z636:Z645" si="299">IF(SUM(W636,Y636)&gt;0,(SUM(W636,Y636)),"")</f>
        <v/>
      </c>
      <c r="AA636" s="13">
        <f t="shared" ref="AA636:AA645" si="300">B636</f>
        <v>0</v>
      </c>
      <c r="AB636" s="17">
        <f t="shared" ref="AB636:AB645" si="301">C636</f>
        <v>0</v>
      </c>
      <c r="AC636" s="163" t="str">
        <f t="shared" ref="AC636:AC645" si="302">F636</f>
        <v/>
      </c>
      <c r="AD636" s="119"/>
      <c r="AE636" s="21"/>
      <c r="AF636" s="121"/>
      <c r="AG636" s="122"/>
      <c r="AH636" s="83" t="str">
        <f t="shared" si="288"/>
        <v/>
      </c>
      <c r="AI636" s="115"/>
      <c r="AJ636" s="116"/>
      <c r="AK636" s="83" t="str">
        <f t="shared" si="289"/>
        <v/>
      </c>
      <c r="AL636" s="85" t="str">
        <f t="shared" si="290"/>
        <v/>
      </c>
      <c r="AM636" s="254" t="str">
        <f t="shared" si="291"/>
        <v/>
      </c>
      <c r="AN636" s="254" t="str">
        <f t="shared" ca="1" si="293"/>
        <v/>
      </c>
      <c r="AO636" s="255" t="str">
        <f t="shared" si="292"/>
        <v/>
      </c>
    </row>
    <row r="637" spans="2:41" x14ac:dyDescent="0.25">
      <c r="B637" s="321"/>
      <c r="C637" s="17"/>
      <c r="E637" s="117"/>
      <c r="F637" s="4" t="str">
        <f t="shared" si="294"/>
        <v/>
      </c>
      <c r="G637" s="4" t="str">
        <f t="shared" si="295"/>
        <v/>
      </c>
      <c r="H637" s="4" t="str">
        <f t="shared" si="296"/>
        <v/>
      </c>
      <c r="I637" s="4" t="str">
        <f t="shared" si="297"/>
        <v/>
      </c>
      <c r="J637" s="247"/>
      <c r="K637" s="117"/>
      <c r="L637" s="4" t="str">
        <f t="shared" si="280"/>
        <v/>
      </c>
      <c r="M637" s="4" t="str">
        <f t="shared" si="281"/>
        <v/>
      </c>
      <c r="N637" s="4" t="str">
        <f t="shared" si="282"/>
        <v/>
      </c>
      <c r="O637" s="4" t="str">
        <f t="shared" si="283"/>
        <v/>
      </c>
      <c r="P637" s="247"/>
      <c r="Q637" s="117"/>
      <c r="R637" s="4" t="str">
        <f t="shared" si="284"/>
        <v/>
      </c>
      <c r="S637" s="4" t="str">
        <f t="shared" si="285"/>
        <v/>
      </c>
      <c r="T637" s="4" t="str">
        <f t="shared" si="286"/>
        <v/>
      </c>
      <c r="U637" s="4" t="str">
        <f t="shared" si="287"/>
        <v/>
      </c>
      <c r="V637" s="247"/>
      <c r="W637" s="67" t="str">
        <f t="shared" si="298"/>
        <v/>
      </c>
      <c r="X637" s="118"/>
      <c r="Z637" s="67" t="str">
        <f t="shared" si="299"/>
        <v/>
      </c>
      <c r="AA637" s="13">
        <f t="shared" si="300"/>
        <v>0</v>
      </c>
      <c r="AB637" s="17">
        <f t="shared" si="301"/>
        <v>0</v>
      </c>
      <c r="AC637" s="163" t="str">
        <f t="shared" si="302"/>
        <v/>
      </c>
      <c r="AD637" s="119"/>
      <c r="AE637" s="21"/>
      <c r="AF637" s="121"/>
      <c r="AG637" s="122"/>
      <c r="AH637" s="83" t="str">
        <f t="shared" si="288"/>
        <v/>
      </c>
      <c r="AI637" s="115"/>
      <c r="AJ637" s="116"/>
      <c r="AK637" s="83" t="str">
        <f t="shared" si="289"/>
        <v/>
      </c>
      <c r="AL637" s="85" t="str">
        <f t="shared" si="290"/>
        <v/>
      </c>
      <c r="AM637" s="254" t="str">
        <f t="shared" si="291"/>
        <v/>
      </c>
      <c r="AN637" s="254" t="str">
        <f t="shared" ca="1" si="293"/>
        <v/>
      </c>
      <c r="AO637" s="255" t="str">
        <f t="shared" si="292"/>
        <v/>
      </c>
    </row>
    <row r="638" spans="2:41" x14ac:dyDescent="0.25">
      <c r="B638" s="321"/>
      <c r="C638" s="17"/>
      <c r="E638" s="117"/>
      <c r="F638" s="4" t="str">
        <f t="shared" si="294"/>
        <v/>
      </c>
      <c r="G638" s="4" t="str">
        <f t="shared" si="295"/>
        <v/>
      </c>
      <c r="H638" s="4" t="str">
        <f t="shared" si="296"/>
        <v/>
      </c>
      <c r="I638" s="4" t="str">
        <f t="shared" si="297"/>
        <v/>
      </c>
      <c r="J638" s="247"/>
      <c r="K638" s="117"/>
      <c r="L638" s="4" t="str">
        <f t="shared" si="280"/>
        <v/>
      </c>
      <c r="M638" s="4" t="str">
        <f t="shared" si="281"/>
        <v/>
      </c>
      <c r="N638" s="4" t="str">
        <f t="shared" si="282"/>
        <v/>
      </c>
      <c r="O638" s="4" t="str">
        <f t="shared" si="283"/>
        <v/>
      </c>
      <c r="P638" s="247"/>
      <c r="Q638" s="117"/>
      <c r="R638" s="4" t="str">
        <f t="shared" si="284"/>
        <v/>
      </c>
      <c r="S638" s="4" t="str">
        <f t="shared" si="285"/>
        <v/>
      </c>
      <c r="T638" s="4" t="str">
        <f t="shared" si="286"/>
        <v/>
      </c>
      <c r="U638" s="4" t="str">
        <f t="shared" si="287"/>
        <v/>
      </c>
      <c r="V638" s="247"/>
      <c r="W638" s="67" t="str">
        <f t="shared" si="298"/>
        <v/>
      </c>
      <c r="X638" s="118"/>
      <c r="Z638" s="67" t="str">
        <f t="shared" si="299"/>
        <v/>
      </c>
      <c r="AA638" s="13">
        <f t="shared" si="300"/>
        <v>0</v>
      </c>
      <c r="AB638" s="17">
        <f t="shared" si="301"/>
        <v>0</v>
      </c>
      <c r="AC638" s="163" t="str">
        <f t="shared" si="302"/>
        <v/>
      </c>
      <c r="AD638" s="119"/>
      <c r="AE638" s="21"/>
      <c r="AF638" s="121"/>
      <c r="AG638" s="122"/>
      <c r="AH638" s="83" t="str">
        <f t="shared" si="288"/>
        <v/>
      </c>
      <c r="AI638" s="115"/>
      <c r="AJ638" s="116"/>
      <c r="AK638" s="83" t="str">
        <f t="shared" si="289"/>
        <v/>
      </c>
      <c r="AL638" s="85" t="str">
        <f t="shared" si="290"/>
        <v/>
      </c>
      <c r="AM638" s="254" t="str">
        <f t="shared" si="291"/>
        <v/>
      </c>
      <c r="AN638" s="254" t="str">
        <f t="shared" ca="1" si="293"/>
        <v/>
      </c>
      <c r="AO638" s="255" t="str">
        <f t="shared" si="292"/>
        <v/>
      </c>
    </row>
    <row r="639" spans="2:41" x14ac:dyDescent="0.25">
      <c r="B639" s="321"/>
      <c r="C639" s="17"/>
      <c r="E639" s="117"/>
      <c r="F639" s="4" t="str">
        <f t="shared" si="294"/>
        <v/>
      </c>
      <c r="G639" s="4" t="str">
        <f t="shared" si="295"/>
        <v/>
      </c>
      <c r="H639" s="4" t="str">
        <f t="shared" si="296"/>
        <v/>
      </c>
      <c r="I639" s="4" t="str">
        <f t="shared" si="297"/>
        <v/>
      </c>
      <c r="J639" s="247"/>
      <c r="K639" s="117"/>
      <c r="L639" s="4" t="str">
        <f t="shared" si="280"/>
        <v/>
      </c>
      <c r="M639" s="4" t="str">
        <f t="shared" si="281"/>
        <v/>
      </c>
      <c r="N639" s="4" t="str">
        <f t="shared" si="282"/>
        <v/>
      </c>
      <c r="O639" s="4" t="str">
        <f t="shared" si="283"/>
        <v/>
      </c>
      <c r="P639" s="247"/>
      <c r="Q639" s="117"/>
      <c r="R639" s="4" t="str">
        <f t="shared" si="284"/>
        <v/>
      </c>
      <c r="S639" s="4" t="str">
        <f t="shared" si="285"/>
        <v/>
      </c>
      <c r="T639" s="4" t="str">
        <f t="shared" si="286"/>
        <v/>
      </c>
      <c r="U639" s="4" t="str">
        <f t="shared" si="287"/>
        <v/>
      </c>
      <c r="V639" s="247"/>
      <c r="W639" s="67" t="str">
        <f t="shared" si="298"/>
        <v/>
      </c>
      <c r="X639" s="118"/>
      <c r="Z639" s="67" t="str">
        <f t="shared" si="299"/>
        <v/>
      </c>
      <c r="AA639" s="13">
        <f t="shared" si="300"/>
        <v>0</v>
      </c>
      <c r="AB639" s="17">
        <f t="shared" si="301"/>
        <v>0</v>
      </c>
      <c r="AC639" s="163" t="str">
        <f t="shared" si="302"/>
        <v/>
      </c>
      <c r="AD639" s="119"/>
      <c r="AE639" s="21"/>
      <c r="AF639" s="121"/>
      <c r="AG639" s="122"/>
      <c r="AH639" s="83" t="str">
        <f t="shared" si="288"/>
        <v/>
      </c>
      <c r="AI639" s="115"/>
      <c r="AJ639" s="116"/>
      <c r="AK639" s="83" t="str">
        <f t="shared" si="289"/>
        <v/>
      </c>
      <c r="AL639" s="85" t="str">
        <f t="shared" si="290"/>
        <v/>
      </c>
      <c r="AM639" s="254" t="str">
        <f t="shared" si="291"/>
        <v/>
      </c>
      <c r="AN639" s="254" t="str">
        <f t="shared" ca="1" si="293"/>
        <v/>
      </c>
      <c r="AO639" s="255" t="str">
        <f t="shared" si="292"/>
        <v/>
      </c>
    </row>
    <row r="640" spans="2:41" x14ac:dyDescent="0.25">
      <c r="B640" s="321"/>
      <c r="C640" s="17"/>
      <c r="E640" s="117"/>
      <c r="F640" s="4" t="str">
        <f t="shared" si="294"/>
        <v/>
      </c>
      <c r="G640" s="4" t="str">
        <f t="shared" si="295"/>
        <v/>
      </c>
      <c r="H640" s="4" t="str">
        <f t="shared" si="296"/>
        <v/>
      </c>
      <c r="I640" s="4" t="str">
        <f t="shared" si="297"/>
        <v/>
      </c>
      <c r="J640" s="247"/>
      <c r="K640" s="117"/>
      <c r="L640" s="4" t="str">
        <f t="shared" si="280"/>
        <v/>
      </c>
      <c r="M640" s="4" t="str">
        <f t="shared" si="281"/>
        <v/>
      </c>
      <c r="N640" s="4" t="str">
        <f t="shared" si="282"/>
        <v/>
      </c>
      <c r="O640" s="4" t="str">
        <f t="shared" si="283"/>
        <v/>
      </c>
      <c r="P640" s="247"/>
      <c r="Q640" s="117"/>
      <c r="R640" s="4" t="str">
        <f t="shared" si="284"/>
        <v/>
      </c>
      <c r="S640" s="4" t="str">
        <f t="shared" si="285"/>
        <v/>
      </c>
      <c r="T640" s="4" t="str">
        <f t="shared" si="286"/>
        <v/>
      </c>
      <c r="U640" s="4" t="str">
        <f t="shared" si="287"/>
        <v/>
      </c>
      <c r="V640" s="247"/>
      <c r="W640" s="67" t="str">
        <f t="shared" si="298"/>
        <v/>
      </c>
      <c r="X640" s="118"/>
      <c r="Z640" s="67" t="str">
        <f t="shared" si="299"/>
        <v/>
      </c>
      <c r="AA640" s="13">
        <f t="shared" si="300"/>
        <v>0</v>
      </c>
      <c r="AB640" s="17">
        <f t="shared" si="301"/>
        <v>0</v>
      </c>
      <c r="AC640" s="163" t="str">
        <f t="shared" si="302"/>
        <v/>
      </c>
      <c r="AD640" s="119"/>
      <c r="AE640" s="21"/>
      <c r="AF640" s="121"/>
      <c r="AG640" s="122"/>
      <c r="AH640" s="83" t="str">
        <f t="shared" si="288"/>
        <v/>
      </c>
      <c r="AI640" s="115"/>
      <c r="AJ640" s="116"/>
      <c r="AK640" s="83" t="str">
        <f t="shared" si="289"/>
        <v/>
      </c>
      <c r="AL640" s="85" t="str">
        <f t="shared" si="290"/>
        <v/>
      </c>
      <c r="AM640" s="254" t="str">
        <f t="shared" si="291"/>
        <v/>
      </c>
      <c r="AN640" s="254" t="str">
        <f t="shared" ca="1" si="293"/>
        <v/>
      </c>
      <c r="AO640" s="255" t="str">
        <f t="shared" si="292"/>
        <v/>
      </c>
    </row>
    <row r="641" spans="2:41" x14ac:dyDescent="0.25">
      <c r="B641" s="321"/>
      <c r="C641" s="17"/>
      <c r="E641" s="117"/>
      <c r="F641" s="4" t="str">
        <f t="shared" si="294"/>
        <v/>
      </c>
      <c r="G641" s="4" t="str">
        <f t="shared" si="295"/>
        <v/>
      </c>
      <c r="H641" s="4" t="str">
        <f t="shared" si="296"/>
        <v/>
      </c>
      <c r="I641" s="4" t="str">
        <f t="shared" si="297"/>
        <v/>
      </c>
      <c r="J641" s="247"/>
      <c r="K641" s="117"/>
      <c r="L641" s="4" t="str">
        <f t="shared" ref="L641:L645" si="303">IFERROR(IF(VLOOKUP($K641,Inward,2,FALSE)&gt;0,VLOOKUP($K641,Inward,2,FALSE),""),"")</f>
        <v/>
      </c>
      <c r="M641" s="4" t="str">
        <f t="shared" ref="M641:M645" si="304">IFERROR(IF(VLOOKUP($K641,Inward,7,FALSE)&gt;0,VLOOKUP($K641,Inward,7,FALSE),""),"")</f>
        <v/>
      </c>
      <c r="N641" s="4" t="str">
        <f t="shared" ref="N641:N645" si="305">IFERROR(IF(VLOOKUP($K641,Inward,8,FALSE)&gt;0,VLOOKUP($K641,Inward,8,FALSE),""),"")</f>
        <v/>
      </c>
      <c r="O641" s="4" t="str">
        <f t="shared" ref="O641:O645" si="306">IFERROR(IF(VLOOKUP($K641,Inward,11,FALSE)&gt;0,VLOOKUP($K641,Inward,11,FALSE),""),"")</f>
        <v/>
      </c>
      <c r="P641" s="247"/>
      <c r="Q641" s="117"/>
      <c r="R641" s="4" t="str">
        <f t="shared" ref="R641:R645" si="307">IFERROR(IF(VLOOKUP($Q641,Inward,2,FALSE)&gt;0,VLOOKUP($Q641,Inward,2,FALSE),""),"")</f>
        <v/>
      </c>
      <c r="S641" s="4" t="str">
        <f t="shared" ref="S641:S645" si="308">IFERROR(IF(VLOOKUP($Q641,Inward,7,FALSE)&gt;0,VLOOKUP($Q641,Inward,7,FALSE),""),"")</f>
        <v/>
      </c>
      <c r="T641" s="4" t="str">
        <f t="shared" ref="T641:T645" si="309">IFERROR(IF(VLOOKUP($Q641,Inward,8,FALSE)&gt;0,VLOOKUP($Q641,Inward,8,FALSE),""),"")</f>
        <v/>
      </c>
      <c r="U641" s="4" t="str">
        <f t="shared" ref="U641:U645" si="310">IFERROR(IF(VLOOKUP($Q641,Inward,11,FALSE)&gt;0,VLOOKUP($Q641,Inward,11,FALSE),""),"")</f>
        <v/>
      </c>
      <c r="V641" s="247"/>
      <c r="W641" s="67" t="str">
        <f t="shared" si="298"/>
        <v/>
      </c>
      <c r="X641" s="118"/>
      <c r="Z641" s="67" t="str">
        <f t="shared" si="299"/>
        <v/>
      </c>
      <c r="AA641" s="13">
        <f t="shared" si="300"/>
        <v>0</v>
      </c>
      <c r="AB641" s="17">
        <f t="shared" si="301"/>
        <v>0</v>
      </c>
      <c r="AC641" s="163" t="str">
        <f t="shared" si="302"/>
        <v/>
      </c>
      <c r="AD641" s="119"/>
      <c r="AE641" s="21"/>
      <c r="AF641" s="121"/>
      <c r="AG641" s="122"/>
      <c r="AH641" s="83" t="str">
        <f t="shared" si="288"/>
        <v/>
      </c>
      <c r="AI641" s="115"/>
      <c r="AJ641" s="116"/>
      <c r="AK641" s="83" t="str">
        <f t="shared" si="289"/>
        <v/>
      </c>
      <c r="AL641" s="85" t="str">
        <f t="shared" si="290"/>
        <v/>
      </c>
      <c r="AM641" s="254" t="str">
        <f t="shared" si="291"/>
        <v/>
      </c>
      <c r="AN641" s="254" t="str">
        <f t="shared" ca="1" si="293"/>
        <v/>
      </c>
      <c r="AO641" s="255" t="str">
        <f t="shared" si="292"/>
        <v/>
      </c>
    </row>
    <row r="642" spans="2:41" x14ac:dyDescent="0.25">
      <c r="B642" s="321"/>
      <c r="C642" s="17"/>
      <c r="E642" s="117"/>
      <c r="F642" s="4" t="str">
        <f t="shared" si="294"/>
        <v/>
      </c>
      <c r="G642" s="4" t="str">
        <f t="shared" si="295"/>
        <v/>
      </c>
      <c r="H642" s="4" t="str">
        <f t="shared" si="296"/>
        <v/>
      </c>
      <c r="I642" s="4" t="str">
        <f t="shared" si="297"/>
        <v/>
      </c>
      <c r="J642" s="247"/>
      <c r="K642" s="117"/>
      <c r="L642" s="4" t="str">
        <f t="shared" si="303"/>
        <v/>
      </c>
      <c r="M642" s="4" t="str">
        <f t="shared" si="304"/>
        <v/>
      </c>
      <c r="N642" s="4" t="str">
        <f t="shared" si="305"/>
        <v/>
      </c>
      <c r="O642" s="4" t="str">
        <f t="shared" si="306"/>
        <v/>
      </c>
      <c r="P642" s="247"/>
      <c r="Q642" s="117"/>
      <c r="R642" s="4" t="str">
        <f t="shared" si="307"/>
        <v/>
      </c>
      <c r="S642" s="4" t="str">
        <f t="shared" si="308"/>
        <v/>
      </c>
      <c r="T642" s="4" t="str">
        <f t="shared" si="309"/>
        <v/>
      </c>
      <c r="U642" s="4" t="str">
        <f t="shared" si="310"/>
        <v/>
      </c>
      <c r="V642" s="247"/>
      <c r="W642" s="67" t="str">
        <f t="shared" si="298"/>
        <v/>
      </c>
      <c r="X642" s="118"/>
      <c r="Z642" s="67" t="str">
        <f t="shared" si="299"/>
        <v/>
      </c>
      <c r="AA642" s="13">
        <f t="shared" si="300"/>
        <v>0</v>
      </c>
      <c r="AB642" s="17">
        <f t="shared" si="301"/>
        <v>0</v>
      </c>
      <c r="AC642" s="163" t="str">
        <f t="shared" si="302"/>
        <v/>
      </c>
      <c r="AD642" s="119"/>
      <c r="AE642" s="21"/>
      <c r="AF642" s="121"/>
      <c r="AG642" s="122"/>
      <c r="AH642" s="83" t="str">
        <f t="shared" si="288"/>
        <v/>
      </c>
      <c r="AI642" s="115"/>
      <c r="AJ642" s="116"/>
      <c r="AK642" s="83" t="str">
        <f t="shared" si="289"/>
        <v/>
      </c>
      <c r="AL642" s="85" t="str">
        <f t="shared" si="290"/>
        <v/>
      </c>
      <c r="AM642" s="254" t="str">
        <f t="shared" si="291"/>
        <v/>
      </c>
      <c r="AN642" s="254" t="str">
        <f t="shared" ca="1" si="293"/>
        <v/>
      </c>
      <c r="AO642" s="255" t="str">
        <f t="shared" si="292"/>
        <v/>
      </c>
    </row>
    <row r="643" spans="2:41" x14ac:dyDescent="0.25">
      <c r="B643" s="321"/>
      <c r="C643" s="17"/>
      <c r="E643" s="117"/>
      <c r="F643" s="4" t="str">
        <f t="shared" si="294"/>
        <v/>
      </c>
      <c r="G643" s="4" t="str">
        <f t="shared" si="295"/>
        <v/>
      </c>
      <c r="H643" s="4" t="str">
        <f t="shared" si="296"/>
        <v/>
      </c>
      <c r="I643" s="4" t="str">
        <f t="shared" si="297"/>
        <v/>
      </c>
      <c r="J643" s="247"/>
      <c r="K643" s="117"/>
      <c r="L643" s="4" t="str">
        <f t="shared" si="303"/>
        <v/>
      </c>
      <c r="M643" s="4" t="str">
        <f t="shared" si="304"/>
        <v/>
      </c>
      <c r="N643" s="4" t="str">
        <f t="shared" si="305"/>
        <v/>
      </c>
      <c r="O643" s="4" t="str">
        <f t="shared" si="306"/>
        <v/>
      </c>
      <c r="P643" s="247"/>
      <c r="Q643" s="117"/>
      <c r="R643" s="4" t="str">
        <f t="shared" si="307"/>
        <v/>
      </c>
      <c r="S643" s="4" t="str">
        <f t="shared" si="308"/>
        <v/>
      </c>
      <c r="T643" s="4" t="str">
        <f t="shared" si="309"/>
        <v/>
      </c>
      <c r="U643" s="4" t="str">
        <f t="shared" si="310"/>
        <v/>
      </c>
      <c r="V643" s="247"/>
      <c r="W643" s="67" t="str">
        <f t="shared" si="298"/>
        <v/>
      </c>
      <c r="X643" s="118"/>
      <c r="Z643" s="67" t="str">
        <f t="shared" si="299"/>
        <v/>
      </c>
      <c r="AA643" s="13">
        <f t="shared" si="300"/>
        <v>0</v>
      </c>
      <c r="AB643" s="17">
        <f t="shared" si="301"/>
        <v>0</v>
      </c>
      <c r="AC643" s="163" t="str">
        <f t="shared" si="302"/>
        <v/>
      </c>
      <c r="AD643" s="119"/>
      <c r="AE643" s="21"/>
      <c r="AF643" s="121"/>
      <c r="AG643" s="122"/>
      <c r="AH643" s="83" t="str">
        <f t="shared" si="288"/>
        <v/>
      </c>
      <c r="AI643" s="115"/>
      <c r="AJ643" s="116"/>
      <c r="AK643" s="83" t="str">
        <f t="shared" si="289"/>
        <v/>
      </c>
      <c r="AL643" s="85" t="str">
        <f t="shared" si="290"/>
        <v/>
      </c>
      <c r="AM643" s="254" t="str">
        <f t="shared" si="291"/>
        <v/>
      </c>
      <c r="AN643" s="254" t="str">
        <f t="shared" ca="1" si="293"/>
        <v/>
      </c>
      <c r="AO643" s="255" t="str">
        <f t="shared" si="292"/>
        <v/>
      </c>
    </row>
    <row r="644" spans="2:41" x14ac:dyDescent="0.25">
      <c r="B644" s="321"/>
      <c r="C644" s="17"/>
      <c r="E644" s="117"/>
      <c r="F644" s="4" t="str">
        <f t="shared" si="294"/>
        <v/>
      </c>
      <c r="G644" s="4" t="str">
        <f t="shared" si="295"/>
        <v/>
      </c>
      <c r="H644" s="4" t="str">
        <f t="shared" si="296"/>
        <v/>
      </c>
      <c r="I644" s="4" t="str">
        <f t="shared" si="297"/>
        <v/>
      </c>
      <c r="J644" s="247"/>
      <c r="K644" s="117"/>
      <c r="L644" s="4" t="str">
        <f t="shared" si="303"/>
        <v/>
      </c>
      <c r="M644" s="4" t="str">
        <f t="shared" si="304"/>
        <v/>
      </c>
      <c r="N644" s="4" t="str">
        <f t="shared" si="305"/>
        <v/>
      </c>
      <c r="O644" s="4" t="str">
        <f t="shared" si="306"/>
        <v/>
      </c>
      <c r="P644" s="247"/>
      <c r="Q644" s="117"/>
      <c r="R644" s="4" t="str">
        <f t="shared" si="307"/>
        <v/>
      </c>
      <c r="S644" s="4" t="str">
        <f t="shared" si="308"/>
        <v/>
      </c>
      <c r="T644" s="4" t="str">
        <f t="shared" si="309"/>
        <v/>
      </c>
      <c r="U644" s="4" t="str">
        <f t="shared" si="310"/>
        <v/>
      </c>
      <c r="V644" s="247"/>
      <c r="W644" s="67" t="str">
        <f t="shared" si="298"/>
        <v/>
      </c>
      <c r="X644" s="118"/>
      <c r="Z644" s="67" t="str">
        <f t="shared" si="299"/>
        <v/>
      </c>
      <c r="AA644" s="13">
        <f t="shared" si="300"/>
        <v>0</v>
      </c>
      <c r="AB644" s="17">
        <f t="shared" si="301"/>
        <v>0</v>
      </c>
      <c r="AC644" s="163" t="str">
        <f t="shared" si="302"/>
        <v/>
      </c>
      <c r="AD644" s="119"/>
      <c r="AE644" s="21"/>
      <c r="AF644" s="121"/>
      <c r="AG644" s="122"/>
      <c r="AH644" s="83" t="str">
        <f t="shared" si="288"/>
        <v/>
      </c>
      <c r="AI644" s="115"/>
      <c r="AJ644" s="116"/>
      <c r="AK644" s="83" t="str">
        <f t="shared" si="289"/>
        <v/>
      </c>
      <c r="AL644" s="85" t="str">
        <f t="shared" si="290"/>
        <v/>
      </c>
      <c r="AM644" s="254" t="str">
        <f t="shared" si="291"/>
        <v/>
      </c>
      <c r="AN644" s="254" t="str">
        <f t="shared" ca="1" si="293"/>
        <v/>
      </c>
      <c r="AO644" s="255" t="str">
        <f t="shared" si="292"/>
        <v/>
      </c>
    </row>
    <row r="645" spans="2:41" x14ac:dyDescent="0.25">
      <c r="B645" s="321"/>
      <c r="C645" s="17"/>
      <c r="E645" s="117"/>
      <c r="F645" s="4" t="str">
        <f t="shared" si="294"/>
        <v/>
      </c>
      <c r="G645" s="4" t="str">
        <f t="shared" si="295"/>
        <v/>
      </c>
      <c r="H645" s="4" t="str">
        <f t="shared" si="296"/>
        <v/>
      </c>
      <c r="I645" s="4" t="str">
        <f t="shared" si="297"/>
        <v/>
      </c>
      <c r="J645" s="247"/>
      <c r="K645" s="117"/>
      <c r="L645" s="4" t="str">
        <f t="shared" si="303"/>
        <v/>
      </c>
      <c r="M645" s="4" t="str">
        <f t="shared" si="304"/>
        <v/>
      </c>
      <c r="N645" s="4" t="str">
        <f t="shared" si="305"/>
        <v/>
      </c>
      <c r="O645" s="4" t="str">
        <f t="shared" si="306"/>
        <v/>
      </c>
      <c r="P645" s="247"/>
      <c r="Q645" s="117"/>
      <c r="R645" s="4" t="str">
        <f t="shared" si="307"/>
        <v/>
      </c>
      <c r="S645" s="4" t="str">
        <f t="shared" si="308"/>
        <v/>
      </c>
      <c r="T645" s="4" t="str">
        <f t="shared" si="309"/>
        <v/>
      </c>
      <c r="U645" s="4" t="str">
        <f t="shared" si="310"/>
        <v/>
      </c>
      <c r="V645" s="247"/>
      <c r="W645" s="67" t="str">
        <f t="shared" si="298"/>
        <v/>
      </c>
      <c r="X645" s="118"/>
      <c r="Z645" s="67" t="str">
        <f t="shared" si="299"/>
        <v/>
      </c>
      <c r="AA645" s="13">
        <f t="shared" si="300"/>
        <v>0</v>
      </c>
      <c r="AB645" s="17">
        <f t="shared" si="301"/>
        <v>0</v>
      </c>
      <c r="AC645" s="163" t="str">
        <f t="shared" si="302"/>
        <v/>
      </c>
      <c r="AD645" s="119"/>
      <c r="AE645" s="21"/>
      <c r="AF645" s="121"/>
      <c r="AG645" s="122"/>
      <c r="AH645" s="83" t="str">
        <f t="shared" si="288"/>
        <v/>
      </c>
      <c r="AI645" s="115"/>
      <c r="AJ645" s="116"/>
      <c r="AK645" s="83" t="str">
        <f t="shared" si="289"/>
        <v/>
      </c>
      <c r="AL645" s="85" t="str">
        <f t="shared" si="290"/>
        <v/>
      </c>
      <c r="AM645" s="254" t="str">
        <f t="shared" si="291"/>
        <v/>
      </c>
      <c r="AN645" s="254" t="str">
        <f t="shared" ca="1" si="293"/>
        <v/>
      </c>
      <c r="AO645" s="255" t="str">
        <f t="shared" si="292"/>
        <v/>
      </c>
    </row>
    <row r="646" spans="2:41" x14ac:dyDescent="0.25">
      <c r="I646" s="210"/>
      <c r="J646" s="4"/>
      <c r="K646"/>
    </row>
    <row r="647" spans="2:41" x14ac:dyDescent="0.25">
      <c r="I647" s="210"/>
      <c r="J647" s="4"/>
      <c r="K647"/>
    </row>
    <row r="648" spans="2:41" x14ac:dyDescent="0.25">
      <c r="I648" s="210"/>
      <c r="J648" s="4"/>
      <c r="K648"/>
    </row>
    <row r="649" spans="2:41" x14ac:dyDescent="0.25">
      <c r="I649" s="210"/>
      <c r="J649" s="4"/>
      <c r="K649"/>
    </row>
    <row r="650" spans="2:41" x14ac:dyDescent="0.25">
      <c r="I650" s="210"/>
      <c r="J650" s="4"/>
      <c r="K650"/>
    </row>
    <row r="651" spans="2:41" x14ac:dyDescent="0.25">
      <c r="I651" s="210"/>
      <c r="J651" s="4"/>
      <c r="K651"/>
    </row>
    <row r="652" spans="2:41" x14ac:dyDescent="0.25">
      <c r="I652" s="210"/>
      <c r="J652" s="4"/>
      <c r="K652"/>
    </row>
    <row r="653" spans="2:41" x14ac:dyDescent="0.25">
      <c r="I653" s="210"/>
      <c r="J653" s="4"/>
      <c r="K653"/>
    </row>
    <row r="654" spans="2:41" x14ac:dyDescent="0.25">
      <c r="I654" s="210"/>
      <c r="J654" s="4"/>
      <c r="K654"/>
    </row>
    <row r="655" spans="2:41" x14ac:dyDescent="0.25">
      <c r="I655" s="210"/>
      <c r="J655" s="4"/>
      <c r="K655"/>
    </row>
    <row r="656" spans="2:41" x14ac:dyDescent="0.25">
      <c r="I656" s="210"/>
      <c r="J656" s="4"/>
      <c r="K656"/>
    </row>
    <row r="657" spans="9:25" x14ac:dyDescent="0.25">
      <c r="I657" s="210"/>
      <c r="J657" s="4"/>
      <c r="K657"/>
    </row>
    <row r="658" spans="9:25" x14ac:dyDescent="0.25">
      <c r="I658" s="210"/>
      <c r="J658" s="4"/>
      <c r="K658"/>
    </row>
    <row r="659" spans="9:25" x14ac:dyDescent="0.25">
      <c r="I659" s="210"/>
      <c r="J659" s="4"/>
      <c r="K659"/>
    </row>
    <row r="660" spans="9:25" x14ac:dyDescent="0.25">
      <c r="I660" s="210"/>
      <c r="J660" s="4"/>
      <c r="K660"/>
    </row>
    <row r="661" spans="9:25" x14ac:dyDescent="0.25">
      <c r="I661" s="210"/>
      <c r="J661" s="4"/>
      <c r="K661"/>
    </row>
    <row r="662" spans="9:25" x14ac:dyDescent="0.25">
      <c r="I662" s="210"/>
      <c r="J662" s="4"/>
      <c r="K662"/>
    </row>
    <row r="663" spans="9:25" x14ac:dyDescent="0.25">
      <c r="I663" s="210"/>
      <c r="J663" s="4"/>
      <c r="K663"/>
    </row>
    <row r="664" spans="9:25" x14ac:dyDescent="0.25">
      <c r="I664" s="210"/>
      <c r="J664" s="4"/>
      <c r="K664"/>
    </row>
    <row r="665" spans="9:25" x14ac:dyDescent="0.25">
      <c r="I665" s="210"/>
      <c r="J665" s="4"/>
      <c r="K665"/>
    </row>
    <row r="666" spans="9:25" x14ac:dyDescent="0.25">
      <c r="I666" s="210"/>
      <c r="J666" s="4"/>
      <c r="K666"/>
    </row>
    <row r="667" spans="9:25" x14ac:dyDescent="0.25">
      <c r="I667" s="210"/>
      <c r="J667" s="4"/>
      <c r="K667"/>
    </row>
    <row r="668" spans="9:25" x14ac:dyDescent="0.25">
      <c r="I668" s="210"/>
      <c r="J668" s="4"/>
      <c r="K668"/>
    </row>
    <row r="669" spans="9:25" x14ac:dyDescent="0.25">
      <c r="I669" s="210"/>
      <c r="J669" s="4"/>
      <c r="K669"/>
    </row>
    <row r="670" spans="9:25" x14ac:dyDescent="0.25">
      <c r="I670" s="210"/>
      <c r="J670" s="4"/>
      <c r="K670"/>
    </row>
    <row r="671" spans="9:25" x14ac:dyDescent="0.25">
      <c r="I671" s="210"/>
      <c r="J671" s="4"/>
      <c r="K671"/>
    </row>
    <row r="672" spans="9:25" x14ac:dyDescent="0.25">
      <c r="I672" s="210"/>
      <c r="J672" s="4"/>
      <c r="K672"/>
      <c r="Y672" t="s">
        <v>97</v>
      </c>
    </row>
    <row r="673" spans="1:41" ht="45.75" customHeight="1" thickBot="1" x14ac:dyDescent="0.3">
      <c r="A673" s="212" t="s">
        <v>490</v>
      </c>
      <c r="B673" s="320" t="s">
        <v>491</v>
      </c>
      <c r="C673" s="110" t="s">
        <v>424</v>
      </c>
      <c r="D673" s="110" t="s">
        <v>492</v>
      </c>
      <c r="E673" s="110" t="s">
        <v>493</v>
      </c>
      <c r="F673" s="110" t="s">
        <v>120</v>
      </c>
      <c r="G673" s="110" t="s">
        <v>494</v>
      </c>
      <c r="H673" s="81" t="s">
        <v>495</v>
      </c>
      <c r="I673" s="110" t="s">
        <v>496</v>
      </c>
      <c r="J673" s="110"/>
      <c r="K673" s="110" t="s">
        <v>497</v>
      </c>
      <c r="L673" s="110" t="s">
        <v>498</v>
      </c>
      <c r="M673" s="110" t="s">
        <v>499</v>
      </c>
      <c r="N673" s="110"/>
      <c r="O673" s="110">
        <v>32</v>
      </c>
      <c r="P673" s="110"/>
      <c r="Q673" s="110" t="s">
        <v>501</v>
      </c>
      <c r="R673" s="110" t="s">
        <v>502</v>
      </c>
      <c r="S673" s="110" t="s">
        <v>503</v>
      </c>
      <c r="T673" s="110"/>
      <c r="U673" s="110" t="s">
        <v>504</v>
      </c>
      <c r="V673" s="110"/>
      <c r="W673" s="213" t="s">
        <v>505</v>
      </c>
      <c r="X673" s="110" t="s">
        <v>506</v>
      </c>
      <c r="Y673" s="110" t="s">
        <v>197</v>
      </c>
      <c r="Z673" s="213" t="s">
        <v>507</v>
      </c>
      <c r="AA673" s="110" t="s">
        <v>508</v>
      </c>
      <c r="AB673" s="110" t="s">
        <v>424</v>
      </c>
      <c r="AC673" s="214" t="s">
        <v>120</v>
      </c>
      <c r="AD673" s="215" t="s">
        <v>509</v>
      </c>
      <c r="AE673" s="216" t="s">
        <v>510</v>
      </c>
      <c r="AF673" s="215" t="s">
        <v>511</v>
      </c>
      <c r="AG673" s="216" t="s">
        <v>512</v>
      </c>
      <c r="AH673" s="110" t="s">
        <v>513</v>
      </c>
      <c r="AI673" s="215" t="s">
        <v>514</v>
      </c>
      <c r="AJ673" s="216" t="s">
        <v>515</v>
      </c>
      <c r="AK673" s="110" t="s">
        <v>516</v>
      </c>
      <c r="AL673" s="110" t="s">
        <v>526</v>
      </c>
      <c r="AM673" s="217" t="s">
        <v>517</v>
      </c>
      <c r="AN673" s="114"/>
    </row>
    <row r="674" spans="1:41" ht="18.75" x14ac:dyDescent="0.3">
      <c r="A674" s="149"/>
      <c r="E674" s="97" t="s">
        <v>432</v>
      </c>
      <c r="F674" s="97" t="s">
        <v>120</v>
      </c>
      <c r="G674" s="126" t="s">
        <v>125</v>
      </c>
      <c r="H674" s="218" t="s">
        <v>433</v>
      </c>
      <c r="I674" s="276"/>
      <c r="J674" s="218" t="s">
        <v>97</v>
      </c>
      <c r="Q674" s="574" t="s">
        <v>802</v>
      </c>
      <c r="R674" s="575"/>
      <c r="S674" s="575"/>
      <c r="T674" s="575"/>
      <c r="U674" s="575"/>
      <c r="V674" s="2"/>
      <c r="W674" s="2"/>
      <c r="X674" s="6"/>
      <c r="Y674" s="2"/>
      <c r="Z674" s="2"/>
      <c r="AA674" s="6"/>
      <c r="AB674" s="6"/>
      <c r="AC674" s="487"/>
      <c r="AD674" s="488"/>
    </row>
    <row r="675" spans="1:41" ht="18.75" x14ac:dyDescent="0.3">
      <c r="A675" t="str">
        <f>""</f>
        <v/>
      </c>
      <c r="D675" s="4" t="str">
        <f>""</f>
        <v/>
      </c>
      <c r="E675" s="4" t="e" cm="1">
        <f t="array" ref="E675">_xlfn.CHOOSECOLS(_xlfn._xlws.FILTER('2627PR_Inward'!$A$3:$X$504,('2627PR_Inward'!$J$3:$J$504="")*('2627PR_Inward'!$B$3:$B$504&lt;&gt;""),""),2,3,8,9,12)</f>
        <v>#VALUE!</v>
      </c>
      <c r="J675" s="78"/>
      <c r="Q675" s="491" cm="1">
        <f t="array" ref="Q675:U676">_xlfn.CHOOSECOLS(_xlfn._xlws.FILTER('[1]2627Alloy_Inward'!$A$3:$X$306,('[1]2627Alloy_Inward'!$J$3:$J$306="")*('[1]2627Alloy_Inward'!$B$3:$B$306&lt;&gt;""),""),2,3,8,9,12)</f>
        <v>550705</v>
      </c>
      <c r="R675" s="491" t="str">
        <v>ROLL</v>
      </c>
      <c r="S675" s="496">
        <v>15</v>
      </c>
      <c r="T675" s="491" t="str">
        <v>SAE</v>
      </c>
      <c r="U675" s="492">
        <v>1690</v>
      </c>
      <c r="W675" s="576" t="str">
        <f>'[1]2627Alloy_Loading'!K401</f>
        <v>ALLOY PLANING</v>
      </c>
      <c r="X675" s="576"/>
      <c r="Y675" s="576"/>
      <c r="Z675" s="576"/>
      <c r="AD675" s="489"/>
      <c r="AO675" s="4" t="e" cm="1">
        <f t="array" ref="AO675">_xlfn.CHOOSECOLS(_xlfn._xlws.FILTER('2627PR_Inward'!$A$3:$X$504,('2627PR_Inward'!$J$3:$J$504="")*('2627PR_Inward'!$B$3:$B$504&lt;&gt;""),""),2,3,8,9,12)</f>
        <v>#VALUE!</v>
      </c>
    </row>
    <row r="676" spans="1:41" ht="18.75" x14ac:dyDescent="0.3">
      <c r="I676" s="150"/>
      <c r="K676"/>
      <c r="M676" s="271"/>
      <c r="Q676" s="491">
        <v>940901</v>
      </c>
      <c r="R676" s="491" t="str">
        <v>SCR</v>
      </c>
      <c r="S676" s="496">
        <v>10</v>
      </c>
      <c r="T676" s="491">
        <v>4140</v>
      </c>
      <c r="U676" s="492">
        <v>1975</v>
      </c>
      <c r="W676" s="485" t="str">
        <f>'[1]2627Alloy_Loading'!K402</f>
        <v>BALL</v>
      </c>
      <c r="X676" s="486" t="str">
        <f>IF('[1]2627Alloy_Loading'!L402="","", '[1]2627Alloy_Loading'!L402)</f>
        <v/>
      </c>
      <c r="Y676" s="486" t="str">
        <f>IF('[1]2627Alloy_Loading'!M402="","", '[1]2627Alloy_Loading'!M402)</f>
        <v/>
      </c>
      <c r="Z676" s="486" t="str">
        <f>IF('[1]2627Alloy_Loading'!N402="","", '[1]2627Alloy_Loading'!N402)</f>
        <v>LD DT</v>
      </c>
      <c r="AD676" s="489"/>
    </row>
    <row r="677" spans="1:41" ht="18.75" x14ac:dyDescent="0.3">
      <c r="I677" s="150"/>
      <c r="K677" s="577" t="s">
        <v>801</v>
      </c>
      <c r="L677" s="577"/>
      <c r="M677" s="577"/>
      <c r="N677" s="577"/>
      <c r="O677" s="297"/>
      <c r="P677" s="267"/>
      <c r="Q677" s="491"/>
      <c r="R677" s="491"/>
      <c r="S677" s="496"/>
      <c r="T677" s="491"/>
      <c r="U677" s="492"/>
      <c r="V677" s="297"/>
      <c r="W677" s="486">
        <f>IF('[1]2627Alloy_Loading'!K403="","", '[1]2627Alloy_Loading'!K403)</f>
        <v>46216</v>
      </c>
      <c r="X677" s="486">
        <f>IF('[1]2627Alloy_Loading'!L403="","", '[1]2627Alloy_Loading'!L403)</f>
        <v>15</v>
      </c>
      <c r="Y677" s="486" t="str">
        <f>IF('[1]2627Alloy_Loading'!M403="","", '[1]2627Alloy_Loading'!M403)</f>
        <v/>
      </c>
      <c r="Z677" s="486" t="str">
        <f>IF('[1]2627Alloy_Loading'!N403="","", '[1]2627Alloy_Loading'!N403)</f>
        <v/>
      </c>
      <c r="AD677" s="489"/>
      <c r="AE677" s="83"/>
      <c r="AH677" s="83"/>
      <c r="AJ677" s="83"/>
    </row>
    <row r="678" spans="1:41" ht="18.75" x14ac:dyDescent="0.3">
      <c r="A678" s="4"/>
      <c r="I678" s="150"/>
      <c r="K678" s="479" t="s">
        <v>80</v>
      </c>
      <c r="L678" s="479"/>
      <c r="M678" s="69">
        <v>14</v>
      </c>
      <c r="N678" s="501" t="s">
        <v>815</v>
      </c>
      <c r="O678" s="4"/>
      <c r="P678" s="267"/>
      <c r="Q678" s="491"/>
      <c r="R678" s="491"/>
      <c r="S678" s="496"/>
      <c r="T678" s="491"/>
      <c r="U678" s="492"/>
      <c r="V678" s="4"/>
      <c r="W678" s="486" t="str">
        <f>IF('[1]2627Alloy_Loading'!K404="","", '[1]2627Alloy_Loading'!K404)</f>
        <v/>
      </c>
      <c r="X678" s="486">
        <f>IF('[1]2627Alloy_Loading'!L404="","", '[1]2627Alloy_Loading'!L404)</f>
        <v>15</v>
      </c>
      <c r="Y678" s="486" t="str">
        <f>IF('[1]2627Alloy_Loading'!M404="","", '[1]2627Alloy_Loading'!M404)</f>
        <v/>
      </c>
      <c r="Z678" s="486" t="str">
        <f>IF('[1]2627Alloy_Loading'!N404="","", '[1]2627Alloy_Loading'!N404)</f>
        <v/>
      </c>
      <c r="AD678" s="489"/>
      <c r="AE678" s="83"/>
      <c r="AH678" s="83"/>
      <c r="AJ678" s="83"/>
    </row>
    <row r="679" spans="1:41" ht="18.75" x14ac:dyDescent="0.3">
      <c r="A679" s="4"/>
      <c r="I679" s="150"/>
      <c r="K679" s="479" t="s">
        <v>80</v>
      </c>
      <c r="L679" s="484"/>
      <c r="M679" s="69">
        <v>12</v>
      </c>
      <c r="N679" s="503"/>
      <c r="O679" s="325"/>
      <c r="P679" s="267"/>
      <c r="Q679" s="491"/>
      <c r="R679" s="497"/>
      <c r="S679" s="496"/>
      <c r="T679" s="498"/>
      <c r="U679" s="492"/>
      <c r="W679" s="486" t="str">
        <f>IF('[1]2627Alloy_Loading'!K405="","", '[1]2627Alloy_Loading'!K405)</f>
        <v/>
      </c>
      <c r="X679" s="486" t="str">
        <f>IF('[1]2627Alloy_Loading'!L405="","", '[1]2627Alloy_Loading'!L405)</f>
        <v/>
      </c>
      <c r="Y679" s="486" t="str">
        <f>IF('[1]2627Alloy_Loading'!M405="","", '[1]2627Alloy_Loading'!M405)</f>
        <v/>
      </c>
      <c r="Z679" s="486" t="str">
        <f>IF('[1]2627Alloy_Loading'!N405="","", '[1]2627Alloy_Loading'!N405)</f>
        <v/>
      </c>
      <c r="AD679" s="489"/>
      <c r="AH679" s="83"/>
      <c r="AJ679" s="83"/>
    </row>
    <row r="680" spans="1:41" ht="18.75" x14ac:dyDescent="0.3">
      <c r="A680" s="4"/>
      <c r="I680" s="150"/>
      <c r="K680" s="479" t="s">
        <v>80</v>
      </c>
      <c r="L680" s="69"/>
      <c r="M680" s="69">
        <v>18.5</v>
      </c>
      <c r="N680" s="503"/>
      <c r="O680" s="4"/>
      <c r="P680" s="267"/>
      <c r="Q680" s="491"/>
      <c r="R680" s="497"/>
      <c r="S680" s="496"/>
      <c r="T680" s="491"/>
      <c r="U680" s="492"/>
      <c r="W680" s="486" t="str">
        <f>IF('[1]2627Alloy_Loading'!K406="","", '[1]2627Alloy_Loading'!K406)</f>
        <v/>
      </c>
      <c r="X680" s="486" t="e">
        <f>IF('[1]2627Alloy_Loading'!#REF!="","", '[1]2627Alloy_Loading'!#REF!)</f>
        <v>#REF!</v>
      </c>
      <c r="Y680" s="486" t="s">
        <v>803</v>
      </c>
      <c r="Z680" s="486">
        <v>46202</v>
      </c>
      <c r="AD680" s="489"/>
    </row>
    <row r="681" spans="1:41" ht="18.75" x14ac:dyDescent="0.3">
      <c r="A681" s="4"/>
      <c r="I681" s="150"/>
      <c r="K681" s="479" t="s">
        <v>80</v>
      </c>
      <c r="L681" s="481"/>
      <c r="M681" s="69">
        <v>10</v>
      </c>
      <c r="N681" s="502"/>
      <c r="O681" s="4"/>
      <c r="P681" s="267"/>
      <c r="Q681" s="491"/>
      <c r="R681" s="497"/>
      <c r="S681" s="496"/>
      <c r="T681" s="491"/>
      <c r="U681" s="492"/>
      <c r="W681" s="486" t="str">
        <f>IF('[1]2627Alloy_Loading'!K407="","", '[1]2627Alloy_Loading'!K407)</f>
        <v/>
      </c>
      <c r="X681" s="486" t="e">
        <f>IF('[1]2627Alloy_Loading'!#REF!="","", '[1]2627Alloy_Loading'!#REF!)</f>
        <v>#REF!</v>
      </c>
      <c r="Y681" s="486">
        <f>IF('[1]2627Alloy_Loading'!L407="","", '[1]2627Alloy_Loading'!L407)</f>
        <v>16.5</v>
      </c>
      <c r="Z681" s="486" t="str">
        <f>IF('[1]2627Alloy_Loading'!N407="","", '[1]2627Alloy_Loading'!N407)</f>
        <v/>
      </c>
      <c r="AD681" s="489"/>
    </row>
    <row r="682" spans="1:41" ht="18.75" x14ac:dyDescent="0.3">
      <c r="A682" s="4"/>
      <c r="I682" s="150"/>
      <c r="K682" s="482"/>
      <c r="L682" s="69"/>
      <c r="M682" s="481"/>
      <c r="N682" s="502"/>
      <c r="O682" s="4"/>
      <c r="P682" s="267"/>
      <c r="Q682" s="491"/>
      <c r="R682" s="497"/>
      <c r="S682" s="496"/>
      <c r="T682" s="491"/>
      <c r="U682" s="492"/>
      <c r="W682" s="486" t="str">
        <f>IF('[1]2627Alloy_Loading'!K408="","", '[1]2627Alloy_Loading'!K408)</f>
        <v/>
      </c>
      <c r="X682" s="486" t="e">
        <f>IF('[1]2627Alloy_Loading'!#REF!="","", '[1]2627Alloy_Loading'!#REF!)</f>
        <v>#REF!</v>
      </c>
      <c r="Y682" s="486">
        <f>IF('[1]2627Alloy_Loading'!L408="","", '[1]2627Alloy_Loading'!L408)</f>
        <v>16.5</v>
      </c>
      <c r="Z682" s="486" t="str">
        <f>IF('[1]2627Alloy_Loading'!N408="","", '[1]2627Alloy_Loading'!N408)</f>
        <v/>
      </c>
      <c r="AD682" s="489"/>
    </row>
    <row r="683" spans="1:41" ht="18.75" x14ac:dyDescent="0.3">
      <c r="A683" s="4"/>
      <c r="I683" s="150"/>
      <c r="K683" s="482"/>
      <c r="L683" s="69"/>
      <c r="M683" s="69"/>
      <c r="N683" s="502"/>
      <c r="O683" s="4"/>
      <c r="P683" s="273"/>
      <c r="Q683" s="491"/>
      <c r="R683" s="497"/>
      <c r="S683" s="496"/>
      <c r="T683" s="491"/>
      <c r="U683" s="492"/>
      <c r="W683" s="486" t="str">
        <f>IF('[1]2627Alloy_Loading'!K409="","", '[1]2627Alloy_Loading'!K409)</f>
        <v/>
      </c>
      <c r="X683" s="486" t="e">
        <f>IF('[1]2627Alloy_Loading'!#REF!="","", '[1]2627Alloy_Loading'!#REF!)</f>
        <v>#REF!</v>
      </c>
      <c r="Y683" s="486">
        <f>IF('[1]2627Alloy_Loading'!L409="","", '[1]2627Alloy_Loading'!L409)</f>
        <v>16.5</v>
      </c>
      <c r="Z683" s="486" t="str">
        <f>IF('[1]2627Alloy_Loading'!N409="","", '[1]2627Alloy_Loading'!N409)</f>
        <v/>
      </c>
      <c r="AD683" s="489"/>
    </row>
    <row r="684" spans="1:41" ht="18.75" x14ac:dyDescent="0.3">
      <c r="A684" s="4"/>
      <c r="I684" s="150"/>
      <c r="K684" s="69"/>
      <c r="L684" s="69"/>
      <c r="M684" s="69"/>
      <c r="N684" s="502"/>
      <c r="P684" s="273"/>
      <c r="Q684" s="491"/>
      <c r="R684" s="497"/>
      <c r="S684" s="496"/>
      <c r="T684" s="491"/>
      <c r="U684" s="492"/>
      <c r="W684" s="486" t="str">
        <f>IF('[1]2627Alloy_Loading'!K410="","", '[1]2627Alloy_Loading'!K410)</f>
        <v/>
      </c>
      <c r="X684" s="486" t="e">
        <f>IF('[1]2627Alloy_Loading'!#REF!="","", '[1]2627Alloy_Loading'!#REF!)</f>
        <v>#REF!</v>
      </c>
      <c r="Y684" s="486">
        <f>IF('[1]2627Alloy_Loading'!L410="","", '[1]2627Alloy_Loading'!L410)</f>
        <v>9</v>
      </c>
      <c r="Z684" s="486" t="str">
        <f>IF('[1]2627Alloy_Loading'!N410="","", '[1]2627Alloy_Loading'!N410)</f>
        <v/>
      </c>
      <c r="AD684" s="489"/>
    </row>
    <row r="685" spans="1:41" ht="18.75" x14ac:dyDescent="0.3">
      <c r="I685" s="150"/>
      <c r="K685" s="69"/>
      <c r="L685" s="69"/>
      <c r="M685" s="483"/>
      <c r="N685" s="502"/>
      <c r="O685" s="4"/>
      <c r="P685" s="273"/>
      <c r="Q685" s="491"/>
      <c r="R685" s="497"/>
      <c r="S685" s="496"/>
      <c r="T685" s="499"/>
      <c r="U685" s="492"/>
      <c r="W685" s="486" t="str">
        <f>IF('[1]2627Alloy_Loading'!K411="","", '[1]2627Alloy_Loading'!K411)</f>
        <v/>
      </c>
      <c r="X685" s="486" t="e">
        <f>IF('[1]2627Alloy_Loading'!#REF!="","", '[1]2627Alloy_Loading'!#REF!)</f>
        <v>#REF!</v>
      </c>
      <c r="Y685" s="486">
        <f>IF('[1]2627Alloy_Loading'!L411="","", '[1]2627Alloy_Loading'!L411)</f>
        <v>9</v>
      </c>
      <c r="Z685" s="486" t="str">
        <f>IF('[1]2627Alloy_Loading'!N411="","", '[1]2627Alloy_Loading'!N411)</f>
        <v/>
      </c>
      <c r="AD685" s="489"/>
    </row>
    <row r="686" spans="1:41" ht="18.75" x14ac:dyDescent="0.3">
      <c r="I686" s="150"/>
      <c r="K686" s="69"/>
      <c r="L686" s="69"/>
      <c r="M686" s="69"/>
      <c r="N686" s="502"/>
      <c r="O686" s="4"/>
      <c r="P686" s="4"/>
      <c r="Q686" s="491"/>
      <c r="R686" s="497"/>
      <c r="S686" s="496"/>
      <c r="T686" s="491"/>
      <c r="U686" s="492"/>
      <c r="W686" s="486" t="str">
        <f>IF('[1]2627Alloy_Loading'!K412="","", '[1]2627Alloy_Loading'!K412)</f>
        <v/>
      </c>
      <c r="X686" s="486" t="e">
        <f>IF('[1]2627Alloy_Loading'!#REF!="","", '[1]2627Alloy_Loading'!#REF!)</f>
        <v>#REF!</v>
      </c>
      <c r="Y686" s="486">
        <f>IF('[1]2627Alloy_Loading'!L412="","", '[1]2627Alloy_Loading'!L412)</f>
        <v>10</v>
      </c>
      <c r="Z686" s="486" t="str">
        <f>IF('[1]2627Alloy_Loading'!N412="","", '[1]2627Alloy_Loading'!N412)</f>
        <v/>
      </c>
      <c r="AD686" s="489"/>
    </row>
    <row r="687" spans="1:41" ht="18.75" x14ac:dyDescent="0.3">
      <c r="I687" s="150"/>
      <c r="K687" s="69"/>
      <c r="L687" s="69"/>
      <c r="M687" s="480"/>
      <c r="N687" s="502"/>
      <c r="O687" s="4"/>
      <c r="P687" s="4"/>
      <c r="Q687" s="491"/>
      <c r="R687" s="491"/>
      <c r="S687" s="496"/>
      <c r="T687" s="491"/>
      <c r="U687" s="492"/>
      <c r="W687" s="486" t="str">
        <f>IF('[1]2627Alloy_Loading'!K413="","", '[1]2627Alloy_Loading'!K413)</f>
        <v/>
      </c>
      <c r="X687" s="486" t="e">
        <f>IF('[1]2627Alloy_Loading'!#REF!="","", '[1]2627Alloy_Loading'!#REF!)</f>
        <v>#REF!</v>
      </c>
      <c r="Y687" s="486">
        <f>IF('[1]2627Alloy_Loading'!L413="","", '[1]2627Alloy_Loading'!L413)</f>
        <v>11</v>
      </c>
      <c r="Z687" s="486" t="str">
        <f>IF('[1]2627Alloy_Loading'!N413="","", '[1]2627Alloy_Loading'!N413)</f>
        <v/>
      </c>
      <c r="AD687" s="489"/>
    </row>
    <row r="688" spans="1:41" ht="18.75" x14ac:dyDescent="0.3">
      <c r="I688" s="150"/>
      <c r="K688" s="482"/>
      <c r="L688" s="69"/>
      <c r="M688" s="69"/>
      <c r="N688" s="502"/>
      <c r="O688" s="4"/>
      <c r="P688" s="273"/>
      <c r="Q688" s="491"/>
      <c r="R688" s="497"/>
      <c r="S688" s="496"/>
      <c r="T688" s="491"/>
      <c r="U688" s="492"/>
      <c r="W688" s="486" t="str">
        <f>IF('[1]2627Alloy_Loading'!K414="","", '[1]2627Alloy_Loading'!K414)</f>
        <v/>
      </c>
      <c r="X688" s="486" t="e">
        <f>IF('[1]2627Alloy_Loading'!#REF!="","", '[1]2627Alloy_Loading'!#REF!)</f>
        <v>#REF!</v>
      </c>
      <c r="Y688" s="486">
        <f>IF('[1]2627Alloy_Loading'!L414="","", '[1]2627Alloy_Loading'!L414)</f>
        <v>11</v>
      </c>
      <c r="Z688" s="486" t="str">
        <f>IF('[1]2627Alloy_Loading'!N414="","", '[1]2627Alloy_Loading'!N414)</f>
        <v/>
      </c>
      <c r="AD688" s="489"/>
    </row>
    <row r="689" spans="9:30" ht="18.75" x14ac:dyDescent="0.3">
      <c r="I689" s="150"/>
      <c r="K689" s="482"/>
      <c r="L689" s="69"/>
      <c r="M689" s="69"/>
      <c r="N689" s="502"/>
      <c r="O689" s="4"/>
      <c r="P689" s="273"/>
      <c r="Q689" s="491"/>
      <c r="R689" s="497"/>
      <c r="S689" s="496"/>
      <c r="T689" s="491"/>
      <c r="U689" s="492"/>
      <c r="W689" s="486" t="str">
        <f>IF('[1]2627Alloy_Loading'!K415="","", '[1]2627Alloy_Loading'!K415)</f>
        <v/>
      </c>
      <c r="X689" s="486" t="str">
        <f>IF('[1]2627Alloy_Loading'!L415="","", '[1]2627Alloy_Loading'!L415)</f>
        <v/>
      </c>
      <c r="Y689" s="486" t="str">
        <f>IF('[1]2627Alloy_Loading'!M415="","", '[1]2627Alloy_Loading'!M415)</f>
        <v/>
      </c>
      <c r="Z689" s="486" t="str">
        <f>IF('[1]2627Alloy_Loading'!N415="","", '[1]2627Alloy_Loading'!N415)</f>
        <v/>
      </c>
      <c r="AD689" s="489"/>
    </row>
    <row r="690" spans="9:30" ht="18.75" x14ac:dyDescent="0.3">
      <c r="I690" s="150"/>
      <c r="K690" s="482"/>
      <c r="L690" s="69"/>
      <c r="M690" s="69"/>
      <c r="N690" s="502"/>
      <c r="P690" s="273"/>
      <c r="Q690" s="491"/>
      <c r="R690" s="497"/>
      <c r="S690" s="496"/>
      <c r="T690" s="491"/>
      <c r="U690" s="492"/>
      <c r="W690" s="486" t="str">
        <f>IF('[1]2627Alloy_Loading'!K416="","", '[1]2627Alloy_Loading'!K416)</f>
        <v/>
      </c>
      <c r="X690" s="486" t="str">
        <f>IF('[1]2627Alloy_Loading'!L416="","", '[1]2627Alloy_Loading'!L416)</f>
        <v/>
      </c>
      <c r="Y690" s="486" t="str">
        <f>IF('[1]2627Alloy_Loading'!M416="","", '[1]2627Alloy_Loading'!M416)</f>
        <v/>
      </c>
      <c r="Z690" s="486" t="str">
        <f>IF('[1]2627Alloy_Loading'!N416="","", '[1]2627Alloy_Loading'!N416)</f>
        <v/>
      </c>
      <c r="AD690" s="489"/>
    </row>
    <row r="691" spans="9:30" ht="18.75" x14ac:dyDescent="0.3">
      <c r="I691" s="150"/>
      <c r="K691" s="482"/>
      <c r="L691" s="69"/>
      <c r="M691" s="69"/>
      <c r="N691" s="502"/>
      <c r="O691" s="4"/>
      <c r="P691" s="273"/>
      <c r="Q691" s="491"/>
      <c r="R691" s="497"/>
      <c r="S691" s="496"/>
      <c r="T691" s="491"/>
      <c r="U691" s="492"/>
      <c r="W691" s="486" t="str">
        <f>IF('[1]2627Alloy_Loading'!K417="","", '[1]2627Alloy_Loading'!K417)</f>
        <v/>
      </c>
      <c r="X691" s="486" t="str">
        <f>IF('[1]2627Alloy_Loading'!L417="","", '[1]2627Alloy_Loading'!L417)</f>
        <v/>
      </c>
      <c r="Y691" s="486" t="str">
        <f>IF('[1]2627Alloy_Loading'!M417="","", '[1]2627Alloy_Loading'!M417)</f>
        <v/>
      </c>
      <c r="Z691" s="486" t="str">
        <f>IF('[1]2627Alloy_Loading'!N417="","", '[1]2627Alloy_Loading'!N417)</f>
        <v/>
      </c>
      <c r="AD691" s="489"/>
    </row>
    <row r="692" spans="9:30" ht="18.75" x14ac:dyDescent="0.3">
      <c r="I692" s="150"/>
      <c r="K692" s="482"/>
      <c r="L692" s="69"/>
      <c r="M692" s="69"/>
      <c r="N692" s="502"/>
      <c r="O692" s="4"/>
      <c r="P692" s="273"/>
      <c r="Q692" s="491"/>
      <c r="R692" s="497"/>
      <c r="S692" s="496"/>
      <c r="T692" s="491"/>
      <c r="U692" s="492"/>
      <c r="W692" s="486" t="str">
        <f>IF('[1]2627Alloy_Loading'!K418="","", '[1]2627Alloy_Loading'!K418)</f>
        <v/>
      </c>
      <c r="X692" s="486" t="str">
        <f>IF('[1]2627Alloy_Loading'!L418="","", '[1]2627Alloy_Loading'!L418)</f>
        <v/>
      </c>
      <c r="Y692" s="486" t="str">
        <f>IF('[1]2627Alloy_Loading'!M418="","", '[1]2627Alloy_Loading'!M418)</f>
        <v/>
      </c>
      <c r="Z692" s="486" t="str">
        <f>IF('[1]2627Alloy_Loading'!N418="","", '[1]2627Alloy_Loading'!N418)</f>
        <v/>
      </c>
      <c r="AD692" s="489"/>
    </row>
    <row r="693" spans="9:30" ht="18.75" x14ac:dyDescent="0.3">
      <c r="I693" s="150"/>
      <c r="K693" s="482"/>
      <c r="L693" s="69"/>
      <c r="M693" s="69"/>
      <c r="N693" s="502"/>
      <c r="P693" s="273"/>
      <c r="Q693" s="491"/>
      <c r="R693" s="497"/>
      <c r="S693" s="496"/>
      <c r="T693" s="491"/>
      <c r="U693" s="492"/>
      <c r="W693" s="486" t="str">
        <f>IF('[1]2627Alloy_Loading'!K419="","", '[1]2627Alloy_Loading'!K419)</f>
        <v/>
      </c>
      <c r="X693" s="486" t="str">
        <f>IF('[1]2627Alloy_Loading'!L419="","", '[1]2627Alloy_Loading'!L419)</f>
        <v/>
      </c>
      <c r="Y693" s="486" t="str">
        <f>IF('[1]2627Alloy_Loading'!M419="","", '[1]2627Alloy_Loading'!M419)</f>
        <v/>
      </c>
      <c r="Z693" s="486" t="str">
        <f>IF('[1]2627Alloy_Loading'!N419="","", '[1]2627Alloy_Loading'!N419)</f>
        <v/>
      </c>
      <c r="AD693" s="489"/>
    </row>
    <row r="694" spans="9:30" ht="18.75" x14ac:dyDescent="0.3">
      <c r="K694"/>
      <c r="O694" s="4"/>
      <c r="P694" s="273"/>
      <c r="Q694" s="491"/>
      <c r="R694" s="497"/>
      <c r="S694" s="496"/>
      <c r="T694" s="491"/>
      <c r="U694" s="492"/>
      <c r="W694" s="486" t="str">
        <f>IF('[1]2627Alloy_Loading'!K420="","", '[1]2627Alloy_Loading'!K420)</f>
        <v/>
      </c>
      <c r="X694" s="486" t="str">
        <f>IF('[1]2627Alloy_Loading'!L420="","", '[1]2627Alloy_Loading'!L420)</f>
        <v/>
      </c>
      <c r="Y694" s="486" t="str">
        <f>IF('[1]2627Alloy_Loading'!M420="","", '[1]2627Alloy_Loading'!M420)</f>
        <v/>
      </c>
      <c r="Z694" s="486" t="str">
        <f>IF('[1]2627Alloy_Loading'!N420="","", '[1]2627Alloy_Loading'!N420)</f>
        <v/>
      </c>
      <c r="AD694" s="489"/>
    </row>
    <row r="695" spans="9:30" ht="18.75" x14ac:dyDescent="0.3">
      <c r="I695" s="150"/>
      <c r="K695"/>
      <c r="O695" s="4"/>
      <c r="P695" s="273"/>
      <c r="Q695" s="491"/>
      <c r="R695" s="497"/>
      <c r="S695" s="496"/>
      <c r="T695" s="491"/>
      <c r="U695" s="492"/>
      <c r="W695" s="486" t="str">
        <f>IF('[1]2627Alloy_Loading'!K421="","", '[1]2627Alloy_Loading'!K421)</f>
        <v/>
      </c>
      <c r="X695" s="486" t="str">
        <f>IF('[1]2627Alloy_Loading'!L421="","", '[1]2627Alloy_Loading'!L421)</f>
        <v/>
      </c>
      <c r="Y695" s="486" t="str">
        <f>IF('[1]2627Alloy_Loading'!M421="","", '[1]2627Alloy_Loading'!M421)</f>
        <v/>
      </c>
      <c r="Z695" s="486" t="str">
        <f>IF('[1]2627Alloy_Loading'!N421="","", '[1]2627Alloy_Loading'!N421)</f>
        <v/>
      </c>
      <c r="AD695" s="489"/>
    </row>
    <row r="696" spans="9:30" ht="18.75" x14ac:dyDescent="0.3">
      <c r="K696"/>
      <c r="P696" s="273"/>
      <c r="Q696" s="490"/>
      <c r="R696" s="497"/>
      <c r="S696" s="496"/>
      <c r="T696" s="491"/>
      <c r="U696" s="492"/>
      <c r="W696" s="486" t="str">
        <f>IF('[1]2627Alloy_Loading'!K422="","", '[1]2627Alloy_Loading'!K422)</f>
        <v/>
      </c>
      <c r="X696" s="486" t="str">
        <f>IF('[1]2627Alloy_Loading'!L422="","", '[1]2627Alloy_Loading'!L422)</f>
        <v/>
      </c>
      <c r="Y696" s="486" t="str">
        <f>IF('[1]2627Alloy_Loading'!M422="","", '[1]2627Alloy_Loading'!M422)</f>
        <v/>
      </c>
      <c r="Z696" s="486" t="str">
        <f>IF('[1]2627Alloy_Loading'!N422="","", '[1]2627Alloy_Loading'!N422)</f>
        <v/>
      </c>
      <c r="AD696" s="489"/>
    </row>
    <row r="697" spans="9:30" ht="18.75" x14ac:dyDescent="0.3">
      <c r="K697"/>
      <c r="O697" s="4"/>
      <c r="P697" s="273"/>
      <c r="Q697" s="490"/>
      <c r="R697" s="497"/>
      <c r="S697" s="491"/>
      <c r="T697" s="491"/>
      <c r="U697" s="492"/>
      <c r="AD697" s="489"/>
    </row>
    <row r="698" spans="9:30" ht="18.75" x14ac:dyDescent="0.3">
      <c r="K698"/>
      <c r="O698" s="4"/>
      <c r="P698" s="273"/>
      <c r="Q698" s="490"/>
      <c r="R698" s="497"/>
      <c r="S698" s="491"/>
      <c r="T698" s="491"/>
      <c r="U698" s="492"/>
      <c r="AD698" s="489"/>
    </row>
    <row r="699" spans="9:30" ht="18.75" x14ac:dyDescent="0.3">
      <c r="K699"/>
      <c r="P699" s="273"/>
      <c r="Q699" s="490"/>
      <c r="R699" s="497"/>
      <c r="S699" s="491"/>
      <c r="T699" s="491"/>
      <c r="U699" s="492"/>
      <c r="AD699" s="489"/>
    </row>
    <row r="700" spans="9:30" ht="18.75" x14ac:dyDescent="0.3">
      <c r="O700" s="4"/>
      <c r="P700" s="273"/>
      <c r="Q700" s="490"/>
      <c r="R700" s="497"/>
      <c r="S700" s="491"/>
      <c r="T700" s="491"/>
      <c r="U700" s="492"/>
      <c r="AD700" s="489"/>
    </row>
    <row r="701" spans="9:30" ht="18.75" x14ac:dyDescent="0.3">
      <c r="O701" s="4"/>
      <c r="P701" s="273"/>
      <c r="Q701" s="490"/>
      <c r="R701" s="497"/>
      <c r="S701" s="491"/>
      <c r="T701" s="491"/>
      <c r="U701" s="492"/>
      <c r="AD701" s="489"/>
    </row>
    <row r="702" spans="9:30" ht="18.75" x14ac:dyDescent="0.3">
      <c r="P702" s="273"/>
      <c r="Q702" s="490"/>
      <c r="R702" s="497"/>
      <c r="S702" s="491"/>
      <c r="T702" s="491"/>
      <c r="U702" s="492"/>
      <c r="AD702" s="489"/>
    </row>
    <row r="703" spans="9:30" ht="18.75" x14ac:dyDescent="0.3">
      <c r="P703" s="273"/>
      <c r="Q703" s="490"/>
      <c r="R703" s="497"/>
      <c r="S703" s="491"/>
      <c r="T703" s="491"/>
      <c r="U703" s="492"/>
      <c r="AD703" s="489"/>
    </row>
    <row r="704" spans="9:30" ht="18.75" x14ac:dyDescent="0.3">
      <c r="P704" s="273"/>
      <c r="Q704" s="490"/>
      <c r="R704" s="497"/>
      <c r="S704" s="491"/>
      <c r="T704" s="491"/>
      <c r="U704" s="492"/>
      <c r="AD704" s="489"/>
    </row>
    <row r="705" spans="9:30" ht="18.75" x14ac:dyDescent="0.3">
      <c r="I705" s="279"/>
      <c r="O705" s="4"/>
      <c r="P705" s="109"/>
      <c r="Q705" s="490"/>
      <c r="R705" s="497"/>
      <c r="S705" s="491"/>
      <c r="T705" s="491"/>
      <c r="U705" s="492"/>
      <c r="AD705" s="489"/>
    </row>
    <row r="706" spans="9:30" ht="18.75" x14ac:dyDescent="0.3">
      <c r="I706" s="150"/>
      <c r="M706" s="288"/>
      <c r="Q706" s="490"/>
      <c r="R706" s="497"/>
      <c r="S706" s="491"/>
      <c r="T706" s="491"/>
      <c r="U706" s="492"/>
      <c r="AD706" s="489"/>
    </row>
    <row r="707" spans="9:30" ht="18.75" x14ac:dyDescent="0.3">
      <c r="I707" s="150"/>
      <c r="K707"/>
      <c r="Q707" s="3"/>
      <c r="R707" s="497"/>
      <c r="S707" s="491"/>
      <c r="T707" s="491"/>
      <c r="U707" s="492"/>
      <c r="AD707" s="489"/>
    </row>
    <row r="708" spans="9:30" ht="18.75" x14ac:dyDescent="0.3">
      <c r="I708" s="150"/>
      <c r="K708"/>
      <c r="M708" s="262"/>
      <c r="Q708" s="3"/>
      <c r="R708" s="497"/>
      <c r="S708" s="491"/>
      <c r="T708" s="491"/>
      <c r="U708" s="492"/>
      <c r="AD708" s="489"/>
    </row>
    <row r="709" spans="9:30" ht="18.75" x14ac:dyDescent="0.3">
      <c r="K709"/>
      <c r="Q709" s="3"/>
      <c r="R709" s="497"/>
      <c r="S709" s="491"/>
      <c r="T709" s="491"/>
      <c r="U709" s="492"/>
      <c r="AD709" s="489"/>
    </row>
    <row r="710" spans="9:30" x14ac:dyDescent="0.25">
      <c r="K710"/>
      <c r="Q710" s="3"/>
      <c r="AD710" s="489"/>
    </row>
    <row r="711" spans="9:30" x14ac:dyDescent="0.25">
      <c r="K711"/>
      <c r="M711" s="288"/>
      <c r="Q711" s="3"/>
      <c r="AD711" s="489"/>
    </row>
    <row r="712" spans="9:30" ht="15.75" thickBot="1" x14ac:dyDescent="0.3">
      <c r="K712"/>
      <c r="P712" s="267"/>
      <c r="Q712" s="144"/>
      <c r="R712" s="169"/>
      <c r="S712" s="169"/>
      <c r="T712" s="169"/>
      <c r="U712" s="493"/>
      <c r="V712" s="493"/>
      <c r="W712" s="493"/>
      <c r="X712" s="169"/>
      <c r="Y712" s="493"/>
      <c r="Z712" s="493"/>
      <c r="AA712" s="169"/>
      <c r="AB712" s="169"/>
      <c r="AC712" s="494"/>
      <c r="AD712" s="495"/>
    </row>
    <row r="713" spans="9:30" x14ac:dyDescent="0.25">
      <c r="I713" s="279"/>
      <c r="K713"/>
    </row>
    <row r="714" spans="9:30" x14ac:dyDescent="0.25">
      <c r="I714" s="150"/>
      <c r="K714"/>
      <c r="M714" s="288"/>
      <c r="N714"/>
      <c r="O714" s="4"/>
    </row>
    <row r="715" spans="9:30" x14ac:dyDescent="0.25">
      <c r="K715"/>
      <c r="O715" s="4"/>
    </row>
    <row r="716" spans="9:30" x14ac:dyDescent="0.25">
      <c r="K716"/>
      <c r="O716" s="298"/>
      <c r="P716" s="267"/>
    </row>
    <row r="717" spans="9:30" x14ac:dyDescent="0.25">
      <c r="K717"/>
    </row>
    <row r="718" spans="9:30" x14ac:dyDescent="0.25">
      <c r="K718"/>
    </row>
    <row r="719" spans="9:30" x14ac:dyDescent="0.25">
      <c r="K719"/>
    </row>
    <row r="720" spans="9:30" x14ac:dyDescent="0.25">
      <c r="I720" s="150"/>
      <c r="K720"/>
    </row>
    <row r="721" spans="5:11" x14ac:dyDescent="0.25">
      <c r="I721" s="150"/>
      <c r="K721"/>
    </row>
    <row r="722" spans="5:11" x14ac:dyDescent="0.25">
      <c r="I722" s="150"/>
      <c r="K722"/>
    </row>
    <row r="723" spans="5:11" x14ac:dyDescent="0.25">
      <c r="I723" s="279"/>
      <c r="K723"/>
    </row>
    <row r="724" spans="5:11" x14ac:dyDescent="0.25">
      <c r="I724" s="150"/>
      <c r="K724"/>
    </row>
    <row r="725" spans="5:11" x14ac:dyDescent="0.25">
      <c r="E725" s="10"/>
      <c r="F725" s="10"/>
      <c r="G725" s="10"/>
      <c r="H725" s="10"/>
      <c r="I725" s="318"/>
      <c r="K725"/>
    </row>
    <row r="726" spans="5:11" x14ac:dyDescent="0.25">
      <c r="K726"/>
    </row>
    <row r="727" spans="5:11" x14ac:dyDescent="0.25">
      <c r="K727"/>
    </row>
    <row r="728" spans="5:11" x14ac:dyDescent="0.25">
      <c r="K728"/>
    </row>
    <row r="729" spans="5:11" x14ac:dyDescent="0.25">
      <c r="I729" s="279"/>
      <c r="K729"/>
    </row>
    <row r="730" spans="5:11" x14ac:dyDescent="0.25">
      <c r="I730" s="150"/>
      <c r="K730"/>
    </row>
    <row r="731" spans="5:11" x14ac:dyDescent="0.25">
      <c r="I731" s="150"/>
      <c r="K731"/>
    </row>
    <row r="732" spans="5:11" x14ac:dyDescent="0.25">
      <c r="I732" s="150"/>
      <c r="K732"/>
    </row>
    <row r="733" spans="5:11" x14ac:dyDescent="0.25">
      <c r="I733" s="279"/>
      <c r="K733"/>
    </row>
    <row r="734" spans="5:11" x14ac:dyDescent="0.25">
      <c r="I734" s="150"/>
      <c r="J734" s="4"/>
      <c r="K734"/>
    </row>
    <row r="735" spans="5:11" x14ac:dyDescent="0.25">
      <c r="I735" s="150"/>
      <c r="J735" s="4"/>
      <c r="K735"/>
    </row>
    <row r="736" spans="5:11" x14ac:dyDescent="0.25">
      <c r="I736" s="150"/>
      <c r="K736"/>
    </row>
    <row r="737" spans="9:11" x14ac:dyDescent="0.25">
      <c r="I737" s="150"/>
      <c r="K737"/>
    </row>
    <row r="738" spans="9:11" x14ac:dyDescent="0.25">
      <c r="I738" s="150"/>
      <c r="K738"/>
    </row>
    <row r="739" spans="9:11" x14ac:dyDescent="0.25">
      <c r="I739" s="279"/>
      <c r="K739"/>
    </row>
    <row r="740" spans="9:11" x14ac:dyDescent="0.25">
      <c r="I740" s="150"/>
      <c r="K740"/>
    </row>
    <row r="741" spans="9:11" x14ac:dyDescent="0.25">
      <c r="K741"/>
    </row>
    <row r="742" spans="9:11" x14ac:dyDescent="0.25">
      <c r="K742"/>
    </row>
    <row r="743" spans="9:11" x14ac:dyDescent="0.25">
      <c r="I743" s="279"/>
      <c r="K743"/>
    </row>
    <row r="744" spans="9:11" x14ac:dyDescent="0.25">
      <c r="I744" s="150"/>
      <c r="K744"/>
    </row>
    <row r="745" spans="9:11" x14ac:dyDescent="0.25">
      <c r="I745" s="150"/>
      <c r="K745"/>
    </row>
    <row r="746" spans="9:11" x14ac:dyDescent="0.25">
      <c r="I746" s="150"/>
      <c r="K746"/>
    </row>
    <row r="747" spans="9:11" x14ac:dyDescent="0.25">
      <c r="I747" s="150"/>
      <c r="K747"/>
    </row>
    <row r="748" spans="9:11" x14ac:dyDescent="0.25">
      <c r="I748" s="150"/>
      <c r="K748"/>
    </row>
    <row r="749" spans="9:11" x14ac:dyDescent="0.25">
      <c r="I749" s="279"/>
      <c r="K749"/>
    </row>
    <row r="750" spans="9:11" x14ac:dyDescent="0.25">
      <c r="I750" s="150"/>
      <c r="K750"/>
    </row>
    <row r="751" spans="9:11" x14ac:dyDescent="0.25">
      <c r="I751" s="150"/>
      <c r="K751"/>
    </row>
    <row r="752" spans="9:11" x14ac:dyDescent="0.25">
      <c r="I752" s="150"/>
      <c r="K752"/>
    </row>
    <row r="753" spans="9:11" x14ac:dyDescent="0.25">
      <c r="I753" s="150"/>
      <c r="K753"/>
    </row>
    <row r="754" spans="9:11" x14ac:dyDescent="0.25">
      <c r="I754" s="150"/>
      <c r="K754"/>
    </row>
    <row r="755" spans="9:11" x14ac:dyDescent="0.25">
      <c r="I755" s="279"/>
      <c r="K755"/>
    </row>
    <row r="756" spans="9:11" x14ac:dyDescent="0.25">
      <c r="I756" s="150"/>
      <c r="K756"/>
    </row>
    <row r="757" spans="9:11" x14ac:dyDescent="0.25">
      <c r="I757" s="150"/>
      <c r="K757"/>
    </row>
    <row r="758" spans="9:11" x14ac:dyDescent="0.25">
      <c r="I758" s="150"/>
      <c r="K758"/>
    </row>
    <row r="759" spans="9:11" x14ac:dyDescent="0.25">
      <c r="I759" s="150"/>
      <c r="K759"/>
    </row>
    <row r="760" spans="9:11" x14ac:dyDescent="0.25">
      <c r="I760" s="150"/>
      <c r="K760"/>
    </row>
    <row r="761" spans="9:11" x14ac:dyDescent="0.25">
      <c r="I761" s="150"/>
      <c r="K761"/>
    </row>
    <row r="762" spans="9:11" x14ac:dyDescent="0.25">
      <c r="I762" s="150"/>
      <c r="K762"/>
    </row>
    <row r="763" spans="9:11" x14ac:dyDescent="0.25">
      <c r="I763" s="150"/>
      <c r="K763"/>
    </row>
    <row r="764" spans="9:11" x14ac:dyDescent="0.25">
      <c r="I764" s="150"/>
      <c r="K764"/>
    </row>
    <row r="765" spans="9:11" x14ac:dyDescent="0.25">
      <c r="I765" s="150"/>
      <c r="K765"/>
    </row>
    <row r="766" spans="9:11" x14ac:dyDescent="0.25">
      <c r="I766" s="150"/>
      <c r="K766"/>
    </row>
    <row r="767" spans="9:11" x14ac:dyDescent="0.25">
      <c r="I767" s="150"/>
      <c r="K767"/>
    </row>
    <row r="768" spans="9:11" x14ac:dyDescent="0.25">
      <c r="I768" s="150"/>
      <c r="K768"/>
    </row>
    <row r="769" spans="9:11" x14ac:dyDescent="0.25">
      <c r="I769" s="150"/>
      <c r="K769"/>
    </row>
    <row r="770" spans="9:11" x14ac:dyDescent="0.25">
      <c r="I770" s="150"/>
      <c r="K770"/>
    </row>
    <row r="771" spans="9:11" x14ac:dyDescent="0.25">
      <c r="I771" s="150"/>
      <c r="K771"/>
    </row>
    <row r="772" spans="9:11" x14ac:dyDescent="0.25">
      <c r="I772" s="150"/>
      <c r="K772"/>
    </row>
    <row r="773" spans="9:11" x14ac:dyDescent="0.25">
      <c r="I773" s="150"/>
      <c r="K773"/>
    </row>
    <row r="774" spans="9:11" x14ac:dyDescent="0.25">
      <c r="I774" s="150"/>
      <c r="K774"/>
    </row>
    <row r="775" spans="9:11" x14ac:dyDescent="0.25">
      <c r="I775" s="150"/>
      <c r="K775"/>
    </row>
    <row r="776" spans="9:11" x14ac:dyDescent="0.25">
      <c r="I776" s="150"/>
      <c r="K776"/>
    </row>
    <row r="777" spans="9:11" x14ac:dyDescent="0.25">
      <c r="I777" s="150"/>
      <c r="K777"/>
    </row>
    <row r="778" spans="9:11" x14ac:dyDescent="0.25">
      <c r="I778" s="150"/>
      <c r="K778"/>
    </row>
    <row r="779" spans="9:11" x14ac:dyDescent="0.25">
      <c r="I779" s="150"/>
      <c r="K779"/>
    </row>
    <row r="780" spans="9:11" x14ac:dyDescent="0.25">
      <c r="I780" s="150"/>
      <c r="K780"/>
    </row>
    <row r="781" spans="9:11" x14ac:dyDescent="0.25">
      <c r="I781" s="150"/>
      <c r="K781"/>
    </row>
    <row r="782" spans="9:11" x14ac:dyDescent="0.25">
      <c r="I782" s="150"/>
      <c r="K782"/>
    </row>
    <row r="783" spans="9:11" x14ac:dyDescent="0.25">
      <c r="I783" s="150"/>
      <c r="K783"/>
    </row>
    <row r="784" spans="9:11" x14ac:dyDescent="0.25">
      <c r="I784" s="150"/>
      <c r="K784"/>
    </row>
    <row r="785" spans="9:11" x14ac:dyDescent="0.25">
      <c r="I785" s="150"/>
      <c r="K785"/>
    </row>
    <row r="786" spans="9:11" x14ac:dyDescent="0.25">
      <c r="I786" s="150"/>
      <c r="K786"/>
    </row>
    <row r="787" spans="9:11" x14ac:dyDescent="0.25">
      <c r="I787" s="150"/>
      <c r="K787"/>
    </row>
    <row r="788" spans="9:11" x14ac:dyDescent="0.25">
      <c r="I788" s="150"/>
      <c r="K788"/>
    </row>
    <row r="789" spans="9:11" x14ac:dyDescent="0.25">
      <c r="I789" s="150"/>
      <c r="K789"/>
    </row>
    <row r="790" spans="9:11" x14ac:dyDescent="0.25">
      <c r="I790" s="150"/>
      <c r="K790"/>
    </row>
    <row r="791" spans="9:11" x14ac:dyDescent="0.25">
      <c r="I791" s="150"/>
      <c r="K791"/>
    </row>
    <row r="792" spans="9:11" x14ac:dyDescent="0.25">
      <c r="I792" s="150"/>
      <c r="K792"/>
    </row>
    <row r="793" spans="9:11" x14ac:dyDescent="0.25">
      <c r="I793" s="150"/>
      <c r="K793"/>
    </row>
    <row r="794" spans="9:11" x14ac:dyDescent="0.25">
      <c r="I794" s="150"/>
      <c r="K794"/>
    </row>
    <row r="795" spans="9:11" x14ac:dyDescent="0.25">
      <c r="I795" s="150"/>
      <c r="K795"/>
    </row>
    <row r="796" spans="9:11" x14ac:dyDescent="0.25">
      <c r="I796" s="150"/>
      <c r="K796"/>
    </row>
    <row r="797" spans="9:11" x14ac:dyDescent="0.25">
      <c r="I797" s="150"/>
      <c r="K797"/>
    </row>
    <row r="798" spans="9:11" x14ac:dyDescent="0.25">
      <c r="I798" s="150"/>
      <c r="K798"/>
    </row>
    <row r="799" spans="9:11" x14ac:dyDescent="0.25">
      <c r="I799" s="150"/>
      <c r="K799"/>
    </row>
    <row r="800" spans="9:11" x14ac:dyDescent="0.25">
      <c r="I800" s="150"/>
      <c r="K800"/>
    </row>
    <row r="801" spans="9:11" x14ac:dyDescent="0.25">
      <c r="I801" s="150"/>
      <c r="K801"/>
    </row>
    <row r="802" spans="9:11" x14ac:dyDescent="0.25">
      <c r="I802" s="150"/>
      <c r="K802"/>
    </row>
    <row r="803" spans="9:11" x14ac:dyDescent="0.25">
      <c r="I803" s="150"/>
      <c r="K803"/>
    </row>
    <row r="804" spans="9:11" x14ac:dyDescent="0.25">
      <c r="I804" s="150"/>
      <c r="K804"/>
    </row>
    <row r="805" spans="9:11" x14ac:dyDescent="0.25">
      <c r="I805" s="150"/>
      <c r="K805"/>
    </row>
    <row r="806" spans="9:11" x14ac:dyDescent="0.25">
      <c r="I806" s="150"/>
      <c r="K806"/>
    </row>
    <row r="807" spans="9:11" x14ac:dyDescent="0.25">
      <c r="I807" s="150"/>
      <c r="K807"/>
    </row>
    <row r="808" spans="9:11" x14ac:dyDescent="0.25">
      <c r="I808" s="150"/>
      <c r="J808" s="4"/>
      <c r="K808"/>
    </row>
    <row r="809" spans="9:11" x14ac:dyDescent="0.25">
      <c r="I809" s="150"/>
      <c r="K809"/>
    </row>
    <row r="810" spans="9:11" x14ac:dyDescent="0.25">
      <c r="I810" s="150"/>
      <c r="K810"/>
    </row>
    <row r="811" spans="9:11" x14ac:dyDescent="0.25">
      <c r="I811" s="150"/>
      <c r="K811"/>
    </row>
    <row r="812" spans="9:11" x14ac:dyDescent="0.25">
      <c r="I812" s="150"/>
      <c r="K812"/>
    </row>
    <row r="813" spans="9:11" x14ac:dyDescent="0.25">
      <c r="I813" s="150"/>
      <c r="K813"/>
    </row>
    <row r="814" spans="9:11" x14ac:dyDescent="0.25">
      <c r="I814" s="150"/>
      <c r="K814"/>
    </row>
    <row r="815" spans="9:11" x14ac:dyDescent="0.25">
      <c r="I815" s="150"/>
      <c r="K815"/>
    </row>
    <row r="816" spans="9:11" x14ac:dyDescent="0.25">
      <c r="I816" s="150"/>
      <c r="K816"/>
    </row>
    <row r="817" spans="9:11" x14ac:dyDescent="0.25">
      <c r="I817" s="150"/>
      <c r="K817"/>
    </row>
    <row r="818" spans="9:11" x14ac:dyDescent="0.25">
      <c r="I818" s="150"/>
    </row>
    <row r="819" spans="9:11" x14ac:dyDescent="0.25">
      <c r="I819" s="150"/>
      <c r="K819"/>
    </row>
    <row r="820" spans="9:11" x14ac:dyDescent="0.25">
      <c r="I820" s="150"/>
      <c r="K820"/>
    </row>
    <row r="821" spans="9:11" x14ac:dyDescent="0.25">
      <c r="I821" s="150"/>
      <c r="K821"/>
    </row>
    <row r="822" spans="9:11" x14ac:dyDescent="0.25">
      <c r="I822" s="150"/>
      <c r="K822"/>
    </row>
    <row r="823" spans="9:11" x14ac:dyDescent="0.25">
      <c r="I823" s="150"/>
      <c r="K823"/>
    </row>
    <row r="824" spans="9:11" x14ac:dyDescent="0.25">
      <c r="I824" s="150"/>
      <c r="K824"/>
    </row>
    <row r="825" spans="9:11" x14ac:dyDescent="0.25">
      <c r="I825" s="150"/>
      <c r="K825"/>
    </row>
    <row r="826" spans="9:11" x14ac:dyDescent="0.25">
      <c r="I826" s="150"/>
      <c r="K826"/>
    </row>
    <row r="827" spans="9:11" x14ac:dyDescent="0.25">
      <c r="I827" s="150"/>
      <c r="K827"/>
    </row>
    <row r="828" spans="9:11" x14ac:dyDescent="0.25">
      <c r="I828" s="150"/>
      <c r="K828"/>
    </row>
    <row r="829" spans="9:11" x14ac:dyDescent="0.25">
      <c r="I829" s="150"/>
      <c r="K829"/>
    </row>
    <row r="830" spans="9:11" x14ac:dyDescent="0.25">
      <c r="I830" s="150"/>
      <c r="K830"/>
    </row>
    <row r="831" spans="9:11" x14ac:dyDescent="0.25">
      <c r="I831" s="150"/>
      <c r="K831"/>
    </row>
    <row r="832" spans="9:11" x14ac:dyDescent="0.25">
      <c r="I832" s="150"/>
      <c r="K832"/>
    </row>
    <row r="833" spans="9:11" x14ac:dyDescent="0.25">
      <c r="I833" s="150"/>
      <c r="K833"/>
    </row>
    <row r="834" spans="9:11" x14ac:dyDescent="0.25">
      <c r="I834" s="150"/>
      <c r="K834"/>
    </row>
    <row r="835" spans="9:11" x14ac:dyDescent="0.25">
      <c r="I835" s="150"/>
      <c r="K835"/>
    </row>
    <row r="836" spans="9:11" x14ac:dyDescent="0.25">
      <c r="I836" s="150"/>
      <c r="K836"/>
    </row>
    <row r="837" spans="9:11" x14ac:dyDescent="0.25">
      <c r="I837" s="150"/>
      <c r="K837"/>
    </row>
    <row r="838" spans="9:11" x14ac:dyDescent="0.25">
      <c r="I838" s="150"/>
      <c r="K838"/>
    </row>
    <row r="839" spans="9:11" x14ac:dyDescent="0.25">
      <c r="I839" s="150"/>
      <c r="K839"/>
    </row>
    <row r="840" spans="9:11" x14ac:dyDescent="0.25">
      <c r="I840" s="150"/>
      <c r="K840"/>
    </row>
    <row r="841" spans="9:11" x14ac:dyDescent="0.25">
      <c r="I841" s="150"/>
      <c r="K841"/>
    </row>
    <row r="842" spans="9:11" x14ac:dyDescent="0.25">
      <c r="I842" s="150"/>
      <c r="K842"/>
    </row>
    <row r="843" spans="9:11" x14ac:dyDescent="0.25">
      <c r="I843" s="150"/>
      <c r="K843"/>
    </row>
    <row r="844" spans="9:11" x14ac:dyDescent="0.25">
      <c r="I844" s="150"/>
      <c r="K844"/>
    </row>
    <row r="845" spans="9:11" x14ac:dyDescent="0.25">
      <c r="I845" s="150"/>
      <c r="K845"/>
    </row>
    <row r="846" spans="9:11" x14ac:dyDescent="0.25">
      <c r="I846" s="150"/>
      <c r="K846"/>
    </row>
    <row r="847" spans="9:11" x14ac:dyDescent="0.25">
      <c r="I847" s="150"/>
      <c r="K847"/>
    </row>
    <row r="848" spans="9:11" x14ac:dyDescent="0.25">
      <c r="I848" s="150"/>
      <c r="K848"/>
    </row>
    <row r="849" spans="9:11" x14ac:dyDescent="0.25">
      <c r="I849" s="150"/>
      <c r="K849"/>
    </row>
    <row r="850" spans="9:11" x14ac:dyDescent="0.25">
      <c r="I850" s="150"/>
      <c r="K850"/>
    </row>
    <row r="851" spans="9:11" x14ac:dyDescent="0.25">
      <c r="I851" s="150"/>
      <c r="K851"/>
    </row>
    <row r="852" spans="9:11" x14ac:dyDescent="0.25">
      <c r="I852" s="150"/>
      <c r="K852"/>
    </row>
    <row r="853" spans="9:11" x14ac:dyDescent="0.25">
      <c r="I853" s="150"/>
      <c r="K853"/>
    </row>
    <row r="854" spans="9:11" x14ac:dyDescent="0.25">
      <c r="I854" s="150"/>
      <c r="K854"/>
    </row>
    <row r="855" spans="9:11" x14ac:dyDescent="0.25">
      <c r="I855" s="150"/>
      <c r="K855"/>
    </row>
    <row r="856" spans="9:11" x14ac:dyDescent="0.25">
      <c r="I856" s="150"/>
      <c r="K856"/>
    </row>
    <row r="857" spans="9:11" x14ac:dyDescent="0.25">
      <c r="I857" s="150"/>
      <c r="K857"/>
    </row>
    <row r="858" spans="9:11" x14ac:dyDescent="0.25">
      <c r="I858" s="150"/>
      <c r="K858"/>
    </row>
    <row r="859" spans="9:11" x14ac:dyDescent="0.25">
      <c r="I859" s="150"/>
      <c r="K859"/>
    </row>
    <row r="860" spans="9:11" x14ac:dyDescent="0.25">
      <c r="I860" s="150"/>
      <c r="K860"/>
    </row>
    <row r="861" spans="9:11" x14ac:dyDescent="0.25">
      <c r="I861" s="150"/>
      <c r="K861"/>
    </row>
    <row r="862" spans="9:11" x14ac:dyDescent="0.25">
      <c r="I862" s="150"/>
      <c r="K862"/>
    </row>
    <row r="863" spans="9:11" x14ac:dyDescent="0.25">
      <c r="I863" s="150"/>
      <c r="K863"/>
    </row>
    <row r="864" spans="9:11" x14ac:dyDescent="0.25">
      <c r="I864" s="150"/>
      <c r="K864"/>
    </row>
    <row r="865" spans="9:11" x14ac:dyDescent="0.25">
      <c r="I865" s="150"/>
      <c r="K865"/>
    </row>
    <row r="866" spans="9:11" x14ac:dyDescent="0.25">
      <c r="I866" s="150"/>
      <c r="K866"/>
    </row>
    <row r="867" spans="9:11" x14ac:dyDescent="0.25">
      <c r="I867" s="150"/>
      <c r="K867"/>
    </row>
    <row r="868" spans="9:11" x14ac:dyDescent="0.25">
      <c r="I868" s="150"/>
      <c r="K868"/>
    </row>
    <row r="869" spans="9:11" x14ac:dyDescent="0.25">
      <c r="I869" s="150"/>
      <c r="K869"/>
    </row>
    <row r="870" spans="9:11" x14ac:dyDescent="0.25">
      <c r="I870" s="150"/>
      <c r="K870"/>
    </row>
    <row r="871" spans="9:11" x14ac:dyDescent="0.25">
      <c r="I871" s="150"/>
      <c r="J871" s="4"/>
      <c r="K871"/>
    </row>
    <row r="872" spans="9:11" x14ac:dyDescent="0.25">
      <c r="I872" s="150"/>
      <c r="J872" s="4"/>
      <c r="K872"/>
    </row>
    <row r="873" spans="9:11" x14ac:dyDescent="0.25">
      <c r="I873" s="150"/>
      <c r="J873" s="4"/>
      <c r="K873"/>
    </row>
    <row r="874" spans="9:11" x14ac:dyDescent="0.25">
      <c r="I874" s="150"/>
      <c r="J874" s="4"/>
      <c r="K874"/>
    </row>
    <row r="875" spans="9:11" x14ac:dyDescent="0.25">
      <c r="I875" s="150"/>
      <c r="J875" s="4"/>
      <c r="K875"/>
    </row>
    <row r="876" spans="9:11" x14ac:dyDescent="0.25">
      <c r="I876" s="150"/>
      <c r="J876" s="4"/>
      <c r="K876"/>
    </row>
    <row r="877" spans="9:11" x14ac:dyDescent="0.25">
      <c r="I877" s="150"/>
      <c r="J877" s="4"/>
      <c r="K877"/>
    </row>
    <row r="878" spans="9:11" x14ac:dyDescent="0.25">
      <c r="I878" s="150"/>
      <c r="J878" s="4"/>
      <c r="K878"/>
    </row>
    <row r="879" spans="9:11" x14ac:dyDescent="0.25">
      <c r="I879" s="150"/>
      <c r="J879" s="4"/>
      <c r="K879"/>
    </row>
    <row r="880" spans="9:11" x14ac:dyDescent="0.25">
      <c r="I880" s="150"/>
      <c r="J880" s="4"/>
      <c r="K880"/>
    </row>
    <row r="881" spans="9:11" x14ac:dyDescent="0.25">
      <c r="I881" s="150"/>
      <c r="J881" s="4"/>
      <c r="K881"/>
    </row>
    <row r="882" spans="9:11" x14ac:dyDescent="0.25">
      <c r="I882" s="150"/>
      <c r="J882" s="4"/>
      <c r="K882"/>
    </row>
    <row r="883" spans="9:11" x14ac:dyDescent="0.25">
      <c r="I883" s="150"/>
      <c r="J883" s="4"/>
      <c r="K883"/>
    </row>
    <row r="884" spans="9:11" x14ac:dyDescent="0.25">
      <c r="I884" s="150"/>
      <c r="J884" s="4"/>
      <c r="K884"/>
    </row>
    <row r="885" spans="9:11" x14ac:dyDescent="0.25">
      <c r="I885" s="150"/>
      <c r="J885" s="4"/>
      <c r="K885"/>
    </row>
    <row r="886" spans="9:11" x14ac:dyDescent="0.25">
      <c r="I886" s="150"/>
      <c r="J886" s="4"/>
      <c r="K886"/>
    </row>
    <row r="887" spans="9:11" x14ac:dyDescent="0.25">
      <c r="I887" s="150"/>
      <c r="J887" s="4"/>
      <c r="K887"/>
    </row>
    <row r="888" spans="9:11" x14ac:dyDescent="0.25">
      <c r="I888" s="150"/>
      <c r="J888" s="4"/>
      <c r="K888"/>
    </row>
    <row r="889" spans="9:11" x14ac:dyDescent="0.25">
      <c r="I889" s="150"/>
      <c r="J889" s="4"/>
      <c r="K889"/>
    </row>
    <row r="890" spans="9:11" x14ac:dyDescent="0.25">
      <c r="I890" s="150"/>
      <c r="J890" s="4"/>
      <c r="K890"/>
    </row>
    <row r="891" spans="9:11" x14ac:dyDescent="0.25">
      <c r="I891" s="150"/>
      <c r="J891" s="4"/>
      <c r="K891"/>
    </row>
    <row r="892" spans="9:11" x14ac:dyDescent="0.25">
      <c r="I892" s="150"/>
      <c r="J892" s="4"/>
      <c r="K892"/>
    </row>
    <row r="893" spans="9:11" x14ac:dyDescent="0.25">
      <c r="I893" s="150"/>
      <c r="J893" s="4"/>
      <c r="K893"/>
    </row>
    <row r="894" spans="9:11" x14ac:dyDescent="0.25">
      <c r="I894" s="150"/>
      <c r="J894" s="4"/>
      <c r="K894"/>
    </row>
    <row r="895" spans="9:11" x14ac:dyDescent="0.25">
      <c r="I895" s="150"/>
      <c r="J895" s="4"/>
      <c r="K895"/>
    </row>
    <row r="896" spans="9:11" x14ac:dyDescent="0.25">
      <c r="I896" s="150"/>
      <c r="J896" s="4"/>
      <c r="K896"/>
    </row>
    <row r="897" spans="9:11" x14ac:dyDescent="0.25">
      <c r="I897" s="150"/>
      <c r="J897" s="4"/>
      <c r="K897"/>
    </row>
    <row r="898" spans="9:11" x14ac:dyDescent="0.25">
      <c r="I898" s="150"/>
      <c r="J898" s="4"/>
      <c r="K898"/>
    </row>
    <row r="899" spans="9:11" x14ac:dyDescent="0.25">
      <c r="I899" s="150"/>
      <c r="J899" s="4"/>
      <c r="K899"/>
    </row>
    <row r="900" spans="9:11" x14ac:dyDescent="0.25">
      <c r="I900" s="150"/>
      <c r="J900" s="4"/>
      <c r="K900"/>
    </row>
    <row r="901" spans="9:11" x14ac:dyDescent="0.25">
      <c r="I901" s="150"/>
      <c r="J901" s="4"/>
      <c r="K901"/>
    </row>
    <row r="902" spans="9:11" x14ac:dyDescent="0.25">
      <c r="I902" s="150"/>
      <c r="J902" s="4"/>
      <c r="K902"/>
    </row>
    <row r="903" spans="9:11" x14ac:dyDescent="0.25">
      <c r="I903" s="150"/>
      <c r="J903" s="4"/>
      <c r="K903"/>
    </row>
    <row r="904" spans="9:11" x14ac:dyDescent="0.25">
      <c r="I904" s="150"/>
      <c r="J904" s="4"/>
      <c r="K904"/>
    </row>
    <row r="905" spans="9:11" x14ac:dyDescent="0.25">
      <c r="I905" s="150"/>
      <c r="J905" s="4"/>
      <c r="K905"/>
    </row>
    <row r="906" spans="9:11" x14ac:dyDescent="0.25">
      <c r="I906" s="150"/>
      <c r="J906" s="4"/>
      <c r="K906"/>
    </row>
    <row r="907" spans="9:11" x14ac:dyDescent="0.25">
      <c r="I907" s="150"/>
      <c r="J907" s="4"/>
      <c r="K907"/>
    </row>
    <row r="908" spans="9:11" x14ac:dyDescent="0.25">
      <c r="I908" s="150"/>
      <c r="J908" s="4"/>
      <c r="K908"/>
    </row>
    <row r="909" spans="9:11" x14ac:dyDescent="0.25">
      <c r="I909" s="150"/>
      <c r="J909" s="4"/>
      <c r="K909"/>
    </row>
    <row r="910" spans="9:11" x14ac:dyDescent="0.25">
      <c r="I910" s="150"/>
      <c r="J910" s="4"/>
      <c r="K910"/>
    </row>
    <row r="911" spans="9:11" x14ac:dyDescent="0.25">
      <c r="I911" s="150"/>
      <c r="J911" s="4"/>
      <c r="K911"/>
    </row>
    <row r="912" spans="9:11" x14ac:dyDescent="0.25">
      <c r="I912" s="150"/>
      <c r="J912" s="4"/>
      <c r="K912"/>
    </row>
    <row r="913" spans="9:11" x14ac:dyDescent="0.25">
      <c r="I913" s="150"/>
      <c r="J913" s="4"/>
      <c r="K913"/>
    </row>
    <row r="914" spans="9:11" x14ac:dyDescent="0.25">
      <c r="I914" s="150"/>
      <c r="J914" s="4"/>
      <c r="K914"/>
    </row>
    <row r="915" spans="9:11" x14ac:dyDescent="0.25">
      <c r="I915" s="150"/>
      <c r="J915" s="4"/>
      <c r="K915"/>
    </row>
    <row r="916" spans="9:11" x14ac:dyDescent="0.25">
      <c r="I916" s="150"/>
      <c r="J916" s="4"/>
      <c r="K916"/>
    </row>
    <row r="917" spans="9:11" x14ac:dyDescent="0.25">
      <c r="I917" s="150"/>
      <c r="J917" s="4"/>
      <c r="K917"/>
    </row>
    <row r="918" spans="9:11" x14ac:dyDescent="0.25">
      <c r="I918" s="150"/>
      <c r="J918" s="4"/>
      <c r="K918"/>
    </row>
    <row r="919" spans="9:11" x14ac:dyDescent="0.25">
      <c r="I919" s="150"/>
      <c r="J919" s="4"/>
      <c r="K919"/>
    </row>
    <row r="920" spans="9:11" x14ac:dyDescent="0.25">
      <c r="I920" s="150"/>
      <c r="J920" s="4"/>
      <c r="K920"/>
    </row>
    <row r="921" spans="9:11" x14ac:dyDescent="0.25">
      <c r="I921" s="150"/>
      <c r="J921" s="4"/>
      <c r="K921"/>
    </row>
    <row r="922" spans="9:11" x14ac:dyDescent="0.25">
      <c r="I922" s="150"/>
      <c r="J922" s="4"/>
      <c r="K922"/>
    </row>
    <row r="923" spans="9:11" x14ac:dyDescent="0.25">
      <c r="I923" s="150"/>
      <c r="J923" s="4"/>
      <c r="K923"/>
    </row>
    <row r="924" spans="9:11" x14ac:dyDescent="0.25">
      <c r="I924" s="150"/>
      <c r="J924" s="4"/>
      <c r="K924"/>
    </row>
    <row r="925" spans="9:11" x14ac:dyDescent="0.25">
      <c r="I925" s="150"/>
      <c r="J925" s="4"/>
      <c r="K925"/>
    </row>
    <row r="926" spans="9:11" x14ac:dyDescent="0.25">
      <c r="I926" s="150"/>
      <c r="J926" s="4"/>
      <c r="K926"/>
    </row>
    <row r="927" spans="9:11" x14ac:dyDescent="0.25">
      <c r="I927" s="150"/>
      <c r="J927" s="4"/>
      <c r="K927"/>
    </row>
    <row r="928" spans="9:11" x14ac:dyDescent="0.25">
      <c r="I928" s="150"/>
      <c r="J928" s="4"/>
      <c r="K928"/>
    </row>
    <row r="929" spans="9:11" x14ac:dyDescent="0.25">
      <c r="I929" s="150"/>
      <c r="J929" s="4"/>
      <c r="K929"/>
    </row>
    <row r="930" spans="9:11" x14ac:dyDescent="0.25">
      <c r="I930" s="150"/>
      <c r="J930" s="4"/>
      <c r="K930"/>
    </row>
    <row r="931" spans="9:11" x14ac:dyDescent="0.25">
      <c r="I931" s="150"/>
      <c r="J931" s="4"/>
      <c r="K931"/>
    </row>
    <row r="932" spans="9:11" x14ac:dyDescent="0.25">
      <c r="I932" s="150"/>
      <c r="J932" s="4"/>
      <c r="K932"/>
    </row>
    <row r="933" spans="9:11" x14ac:dyDescent="0.25">
      <c r="I933" s="150"/>
      <c r="J933" s="4"/>
      <c r="K933"/>
    </row>
    <row r="934" spans="9:11" x14ac:dyDescent="0.25">
      <c r="I934" s="150"/>
      <c r="J934" s="4"/>
      <c r="K934"/>
    </row>
    <row r="935" spans="9:11" x14ac:dyDescent="0.25">
      <c r="I935" s="150"/>
      <c r="J935" s="4"/>
      <c r="K935"/>
    </row>
    <row r="936" spans="9:11" x14ac:dyDescent="0.25">
      <c r="I936" s="150"/>
      <c r="J936" s="4"/>
      <c r="K936"/>
    </row>
    <row r="937" spans="9:11" x14ac:dyDescent="0.25">
      <c r="I937" s="150"/>
      <c r="J937" s="4"/>
      <c r="K937"/>
    </row>
    <row r="938" spans="9:11" x14ac:dyDescent="0.25">
      <c r="I938" s="150"/>
      <c r="J938" s="4"/>
      <c r="K938"/>
    </row>
    <row r="939" spans="9:11" x14ac:dyDescent="0.25">
      <c r="I939" s="150"/>
      <c r="J939" s="4"/>
      <c r="K939"/>
    </row>
    <row r="940" spans="9:11" x14ac:dyDescent="0.25">
      <c r="I940" s="150"/>
      <c r="J940" s="4"/>
      <c r="K940"/>
    </row>
    <row r="941" spans="9:11" x14ac:dyDescent="0.25">
      <c r="I941" s="150"/>
      <c r="J941" s="4"/>
      <c r="K941"/>
    </row>
    <row r="942" spans="9:11" x14ac:dyDescent="0.25">
      <c r="I942" s="150"/>
      <c r="J942" s="4"/>
      <c r="K942"/>
    </row>
    <row r="943" spans="9:11" x14ac:dyDescent="0.25">
      <c r="I943" s="150"/>
      <c r="J943" s="4"/>
      <c r="K943"/>
    </row>
    <row r="944" spans="9:11" x14ac:dyDescent="0.25">
      <c r="I944" s="150"/>
      <c r="J944" s="4"/>
      <c r="K944"/>
    </row>
    <row r="945" spans="9:11" x14ac:dyDescent="0.25">
      <c r="I945" s="150"/>
      <c r="J945" s="4"/>
      <c r="K945"/>
    </row>
    <row r="946" spans="9:11" x14ac:dyDescent="0.25">
      <c r="I946" s="150"/>
      <c r="J946" s="4"/>
      <c r="K946"/>
    </row>
    <row r="947" spans="9:11" x14ac:dyDescent="0.25">
      <c r="I947" s="150"/>
      <c r="J947" s="4"/>
      <c r="K947"/>
    </row>
    <row r="948" spans="9:11" x14ac:dyDescent="0.25">
      <c r="I948" s="150"/>
      <c r="J948" s="4"/>
      <c r="K948"/>
    </row>
    <row r="949" spans="9:11" x14ac:dyDescent="0.25">
      <c r="I949" s="150"/>
      <c r="J949" s="4"/>
      <c r="K949"/>
    </row>
    <row r="950" spans="9:11" x14ac:dyDescent="0.25">
      <c r="I950" s="150"/>
      <c r="J950" s="4"/>
      <c r="K950"/>
    </row>
    <row r="951" spans="9:11" x14ac:dyDescent="0.25">
      <c r="I951" s="150"/>
      <c r="J951" s="4"/>
      <c r="K951"/>
    </row>
    <row r="952" spans="9:11" x14ac:dyDescent="0.25">
      <c r="I952" s="150"/>
      <c r="J952" s="4"/>
      <c r="K952"/>
    </row>
    <row r="953" spans="9:11" x14ac:dyDescent="0.25">
      <c r="I953" s="150"/>
      <c r="J953" s="4"/>
      <c r="K953"/>
    </row>
    <row r="954" spans="9:11" x14ac:dyDescent="0.25">
      <c r="I954" s="150"/>
      <c r="J954" s="4"/>
      <c r="K954"/>
    </row>
    <row r="955" spans="9:11" x14ac:dyDescent="0.25">
      <c r="I955" s="150"/>
      <c r="J955" s="4"/>
      <c r="K955"/>
    </row>
    <row r="956" spans="9:11" x14ac:dyDescent="0.25">
      <c r="I956" s="150"/>
      <c r="J956" s="4"/>
      <c r="K956"/>
    </row>
    <row r="957" spans="9:11" x14ac:dyDescent="0.25">
      <c r="I957" s="150"/>
      <c r="J957" s="4"/>
      <c r="K957"/>
    </row>
    <row r="958" spans="9:11" x14ac:dyDescent="0.25">
      <c r="I958" s="150"/>
      <c r="J958" s="4"/>
      <c r="K958"/>
    </row>
    <row r="959" spans="9:11" x14ac:dyDescent="0.25">
      <c r="I959" s="150"/>
      <c r="J959" s="4"/>
      <c r="K959"/>
    </row>
    <row r="960" spans="9:11" x14ac:dyDescent="0.25">
      <c r="I960" s="150"/>
      <c r="J960" s="4"/>
      <c r="K960"/>
    </row>
    <row r="961" spans="9:11" x14ac:dyDescent="0.25">
      <c r="I961" s="150"/>
      <c r="J961" s="4"/>
      <c r="K961"/>
    </row>
    <row r="962" spans="9:11" x14ac:dyDescent="0.25">
      <c r="I962" s="150"/>
      <c r="J962" s="4"/>
      <c r="K962"/>
    </row>
    <row r="963" spans="9:11" x14ac:dyDescent="0.25">
      <c r="I963" s="150"/>
      <c r="J963" s="4"/>
      <c r="K963"/>
    </row>
    <row r="964" spans="9:11" x14ac:dyDescent="0.25">
      <c r="I964" s="150"/>
      <c r="J964" s="4"/>
      <c r="K964"/>
    </row>
    <row r="965" spans="9:11" x14ac:dyDescent="0.25">
      <c r="I965" s="150"/>
      <c r="J965" s="4"/>
      <c r="K965"/>
    </row>
    <row r="966" spans="9:11" x14ac:dyDescent="0.25">
      <c r="I966" s="150"/>
      <c r="J966" s="4"/>
      <c r="K966"/>
    </row>
    <row r="967" spans="9:11" x14ac:dyDescent="0.25">
      <c r="I967" s="150"/>
      <c r="J967" s="4"/>
      <c r="K967"/>
    </row>
    <row r="968" spans="9:11" x14ac:dyDescent="0.25">
      <c r="I968" s="150"/>
      <c r="J968" s="4"/>
      <c r="K968"/>
    </row>
    <row r="969" spans="9:11" x14ac:dyDescent="0.25">
      <c r="I969" s="150"/>
      <c r="J969" s="4"/>
      <c r="K969"/>
    </row>
    <row r="970" spans="9:11" x14ac:dyDescent="0.25">
      <c r="I970" s="150"/>
      <c r="J970" s="4"/>
      <c r="K970"/>
    </row>
    <row r="971" spans="9:11" x14ac:dyDescent="0.25">
      <c r="I971" s="150"/>
      <c r="J971" s="4"/>
      <c r="K971"/>
    </row>
    <row r="972" spans="9:11" x14ac:dyDescent="0.25">
      <c r="I972" s="150"/>
      <c r="J972" s="4"/>
      <c r="K972"/>
    </row>
    <row r="973" spans="9:11" x14ac:dyDescent="0.25">
      <c r="I973" s="150"/>
      <c r="J973" s="4"/>
      <c r="K973"/>
    </row>
    <row r="974" spans="9:11" x14ac:dyDescent="0.25">
      <c r="I974" s="150"/>
      <c r="J974" s="4"/>
      <c r="K974"/>
    </row>
    <row r="975" spans="9:11" x14ac:dyDescent="0.25">
      <c r="I975" s="150"/>
      <c r="J975" s="4"/>
      <c r="K975"/>
    </row>
    <row r="976" spans="9:11" x14ac:dyDescent="0.25">
      <c r="I976" s="150"/>
      <c r="J976" s="4"/>
      <c r="K976"/>
    </row>
    <row r="977" spans="9:11" x14ac:dyDescent="0.25">
      <c r="I977" s="150"/>
      <c r="J977" s="4"/>
      <c r="K977"/>
    </row>
    <row r="978" spans="9:11" x14ac:dyDescent="0.25">
      <c r="I978" s="150"/>
      <c r="J978" s="4"/>
      <c r="K978"/>
    </row>
    <row r="979" spans="9:11" x14ac:dyDescent="0.25">
      <c r="I979" s="150"/>
      <c r="J979" s="4"/>
      <c r="K979"/>
    </row>
    <row r="980" spans="9:11" x14ac:dyDescent="0.25">
      <c r="I980" s="150"/>
      <c r="J980" s="4"/>
      <c r="K980"/>
    </row>
    <row r="981" spans="9:11" x14ac:dyDescent="0.25">
      <c r="I981" s="150"/>
      <c r="J981" s="4"/>
      <c r="K981"/>
    </row>
    <row r="982" spans="9:11" x14ac:dyDescent="0.25">
      <c r="I982" s="150"/>
      <c r="J982" s="4"/>
      <c r="K982"/>
    </row>
    <row r="983" spans="9:11" x14ac:dyDescent="0.25">
      <c r="I983" s="150"/>
      <c r="J983" s="4"/>
      <c r="K983"/>
    </row>
    <row r="984" spans="9:11" x14ac:dyDescent="0.25">
      <c r="I984" s="150"/>
      <c r="J984" s="4"/>
      <c r="K984"/>
    </row>
    <row r="985" spans="9:11" x14ac:dyDescent="0.25">
      <c r="I985" s="150"/>
      <c r="J985" s="4"/>
      <c r="K985"/>
    </row>
    <row r="986" spans="9:11" x14ac:dyDescent="0.25">
      <c r="I986" s="150"/>
      <c r="J986" s="4"/>
      <c r="K986"/>
    </row>
    <row r="987" spans="9:11" x14ac:dyDescent="0.25">
      <c r="I987" s="150"/>
      <c r="J987" s="4"/>
      <c r="K987"/>
    </row>
    <row r="988" spans="9:11" x14ac:dyDescent="0.25">
      <c r="I988" s="150"/>
      <c r="J988" s="4"/>
      <c r="K988"/>
    </row>
    <row r="989" spans="9:11" x14ac:dyDescent="0.25">
      <c r="I989" s="150"/>
      <c r="J989" s="4"/>
      <c r="K989"/>
    </row>
    <row r="990" spans="9:11" x14ac:dyDescent="0.25">
      <c r="I990" s="150"/>
      <c r="J990" s="4"/>
      <c r="K990"/>
    </row>
    <row r="991" spans="9:11" x14ac:dyDescent="0.25">
      <c r="I991" s="150"/>
      <c r="J991" s="4"/>
      <c r="K991"/>
    </row>
    <row r="992" spans="9:11" x14ac:dyDescent="0.25">
      <c r="I992" s="150"/>
      <c r="J992" s="4"/>
      <c r="K992"/>
    </row>
    <row r="993" spans="9:11" x14ac:dyDescent="0.25">
      <c r="I993" s="150"/>
      <c r="J993" s="4"/>
      <c r="K993"/>
    </row>
    <row r="994" spans="9:11" x14ac:dyDescent="0.25">
      <c r="I994" s="150"/>
      <c r="J994" s="4"/>
      <c r="K994"/>
    </row>
    <row r="995" spans="9:11" x14ac:dyDescent="0.25">
      <c r="I995" s="150"/>
      <c r="J995" s="4"/>
      <c r="K995"/>
    </row>
    <row r="996" spans="9:11" x14ac:dyDescent="0.25">
      <c r="I996" s="150"/>
      <c r="J996" s="4"/>
      <c r="K996"/>
    </row>
    <row r="997" spans="9:11" x14ac:dyDescent="0.25">
      <c r="I997" s="150"/>
      <c r="J997" s="4"/>
      <c r="K997"/>
    </row>
    <row r="998" spans="9:11" x14ac:dyDescent="0.25">
      <c r="I998" s="150"/>
      <c r="J998" s="4"/>
      <c r="K998"/>
    </row>
    <row r="999" spans="9:11" x14ac:dyDescent="0.25">
      <c r="I999" s="150"/>
      <c r="J999" s="4"/>
      <c r="K999"/>
    </row>
    <row r="1000" spans="9:11" x14ac:dyDescent="0.25">
      <c r="I1000" s="150"/>
      <c r="J1000" s="4"/>
      <c r="K1000"/>
    </row>
    <row r="1001" spans="9:11" x14ac:dyDescent="0.25">
      <c r="I1001" s="150"/>
      <c r="J1001" s="4"/>
      <c r="K1001"/>
    </row>
    <row r="1002" spans="9:11" x14ac:dyDescent="0.25">
      <c r="I1002" s="150"/>
      <c r="J1002" s="4"/>
      <c r="K1002"/>
    </row>
    <row r="1003" spans="9:11" x14ac:dyDescent="0.25">
      <c r="I1003" s="150"/>
      <c r="J1003" s="4"/>
      <c r="K1003"/>
    </row>
    <row r="1004" spans="9:11" x14ac:dyDescent="0.25">
      <c r="I1004" s="150"/>
      <c r="J1004" s="4"/>
      <c r="K1004"/>
    </row>
    <row r="1005" spans="9:11" x14ac:dyDescent="0.25">
      <c r="I1005" s="150"/>
      <c r="J1005" s="4"/>
      <c r="K1005"/>
    </row>
    <row r="1006" spans="9:11" x14ac:dyDescent="0.25">
      <c r="I1006" s="150"/>
      <c r="J1006" s="4"/>
      <c r="K1006"/>
    </row>
    <row r="1007" spans="9:11" x14ac:dyDescent="0.25">
      <c r="I1007" s="150"/>
      <c r="J1007" s="4"/>
      <c r="K1007"/>
    </row>
    <row r="1008" spans="9:11" x14ac:dyDescent="0.25">
      <c r="I1008" s="150"/>
      <c r="J1008" s="4"/>
      <c r="K1008"/>
    </row>
    <row r="1009" spans="9:11" x14ac:dyDescent="0.25">
      <c r="I1009" s="150"/>
      <c r="J1009" s="4"/>
      <c r="K1009"/>
    </row>
    <row r="1010" spans="9:11" x14ac:dyDescent="0.25">
      <c r="I1010" s="150"/>
      <c r="J1010" s="4"/>
      <c r="K1010"/>
    </row>
    <row r="1011" spans="9:11" x14ac:dyDescent="0.25">
      <c r="I1011" s="150"/>
      <c r="J1011" s="4"/>
      <c r="K1011"/>
    </row>
    <row r="1012" spans="9:11" x14ac:dyDescent="0.25">
      <c r="I1012" s="150"/>
      <c r="J1012" s="4"/>
      <c r="K1012"/>
    </row>
    <row r="1013" spans="9:11" x14ac:dyDescent="0.25">
      <c r="I1013" s="150"/>
      <c r="J1013" s="4"/>
      <c r="K1013"/>
    </row>
    <row r="1014" spans="9:11" x14ac:dyDescent="0.25">
      <c r="I1014" s="150"/>
      <c r="J1014" s="4"/>
      <c r="K1014"/>
    </row>
    <row r="1015" spans="9:11" x14ac:dyDescent="0.25">
      <c r="I1015" s="150"/>
      <c r="J1015" s="4"/>
      <c r="K1015"/>
    </row>
    <row r="1016" spans="9:11" x14ac:dyDescent="0.25">
      <c r="I1016" s="150"/>
      <c r="J1016" s="4"/>
      <c r="K1016"/>
    </row>
    <row r="1017" spans="9:11" x14ac:dyDescent="0.25">
      <c r="I1017" s="150"/>
      <c r="J1017" s="4"/>
      <c r="K1017"/>
    </row>
    <row r="1018" spans="9:11" x14ac:dyDescent="0.25">
      <c r="I1018" s="150"/>
      <c r="J1018" s="4"/>
      <c r="K1018"/>
    </row>
    <row r="1019" spans="9:11" x14ac:dyDescent="0.25">
      <c r="I1019" s="150"/>
      <c r="J1019" s="4"/>
      <c r="K1019"/>
    </row>
    <row r="1020" spans="9:11" x14ac:dyDescent="0.25">
      <c r="I1020" s="150"/>
      <c r="J1020" s="4"/>
      <c r="K1020"/>
    </row>
    <row r="1021" spans="9:11" x14ac:dyDescent="0.25">
      <c r="I1021" s="150"/>
      <c r="J1021" s="4"/>
      <c r="K1021"/>
    </row>
    <row r="1022" spans="9:11" x14ac:dyDescent="0.25">
      <c r="I1022" s="150"/>
      <c r="J1022" s="4"/>
      <c r="K1022"/>
    </row>
    <row r="1023" spans="9:11" x14ac:dyDescent="0.25">
      <c r="I1023" s="150"/>
      <c r="J1023" s="4"/>
      <c r="K1023"/>
    </row>
    <row r="1024" spans="9:11" x14ac:dyDescent="0.25">
      <c r="I1024" s="150"/>
      <c r="J1024" s="4"/>
      <c r="K1024"/>
    </row>
    <row r="1025" spans="9:11" x14ac:dyDescent="0.25">
      <c r="I1025" s="150"/>
      <c r="J1025" s="4"/>
      <c r="K1025"/>
    </row>
    <row r="1026" spans="9:11" x14ac:dyDescent="0.25">
      <c r="I1026" s="150"/>
      <c r="J1026" s="4"/>
      <c r="K1026"/>
    </row>
    <row r="1027" spans="9:11" x14ac:dyDescent="0.25">
      <c r="I1027" s="150"/>
      <c r="J1027" s="4"/>
      <c r="K1027"/>
    </row>
    <row r="1028" spans="9:11" x14ac:dyDescent="0.25">
      <c r="I1028" s="150"/>
      <c r="J1028" s="4"/>
      <c r="K1028"/>
    </row>
    <row r="1029" spans="9:11" x14ac:dyDescent="0.25">
      <c r="I1029" s="150"/>
      <c r="J1029" s="4"/>
      <c r="K1029"/>
    </row>
    <row r="1030" spans="9:11" x14ac:dyDescent="0.25">
      <c r="I1030" s="150"/>
      <c r="J1030" s="4"/>
      <c r="K1030"/>
    </row>
    <row r="1031" spans="9:11" x14ac:dyDescent="0.25">
      <c r="I1031" s="150"/>
      <c r="J1031" s="4"/>
      <c r="K1031"/>
    </row>
    <row r="1032" spans="9:11" x14ac:dyDescent="0.25">
      <c r="I1032" s="150"/>
      <c r="J1032" s="4"/>
      <c r="K1032"/>
    </row>
    <row r="1033" spans="9:11" x14ac:dyDescent="0.25">
      <c r="I1033" s="150"/>
      <c r="J1033" s="4"/>
      <c r="K1033"/>
    </row>
    <row r="1034" spans="9:11" x14ac:dyDescent="0.25">
      <c r="I1034" s="150"/>
      <c r="J1034" s="4"/>
      <c r="K1034"/>
    </row>
    <row r="1035" spans="9:11" x14ac:dyDescent="0.25">
      <c r="I1035" s="150"/>
      <c r="J1035" s="4"/>
      <c r="K1035"/>
    </row>
    <row r="1036" spans="9:11" x14ac:dyDescent="0.25">
      <c r="I1036" s="150"/>
      <c r="J1036" s="4"/>
      <c r="K1036"/>
    </row>
    <row r="1037" spans="9:11" x14ac:dyDescent="0.25">
      <c r="I1037" s="150"/>
      <c r="J1037" s="4"/>
      <c r="K1037"/>
    </row>
    <row r="1038" spans="9:11" x14ac:dyDescent="0.25">
      <c r="I1038" s="150"/>
      <c r="J1038" s="4"/>
      <c r="K1038"/>
    </row>
    <row r="1039" spans="9:11" x14ac:dyDescent="0.25">
      <c r="I1039" s="150"/>
      <c r="J1039" s="4"/>
      <c r="K1039"/>
    </row>
    <row r="1040" spans="9:11" x14ac:dyDescent="0.25">
      <c r="I1040" s="150"/>
      <c r="J1040" s="4"/>
      <c r="K1040"/>
    </row>
    <row r="1041" spans="9:11" x14ac:dyDescent="0.25">
      <c r="I1041" s="150"/>
      <c r="J1041" s="4"/>
      <c r="K1041"/>
    </row>
    <row r="1042" spans="9:11" x14ac:dyDescent="0.25">
      <c r="I1042" s="150"/>
      <c r="J1042" s="4"/>
      <c r="K1042"/>
    </row>
    <row r="1043" spans="9:11" x14ac:dyDescent="0.25">
      <c r="I1043" s="150"/>
      <c r="J1043" s="4"/>
      <c r="K1043"/>
    </row>
    <row r="1044" spans="9:11" x14ac:dyDescent="0.25">
      <c r="I1044" s="150"/>
      <c r="J1044" s="4"/>
      <c r="K1044"/>
    </row>
    <row r="1045" spans="9:11" x14ac:dyDescent="0.25">
      <c r="I1045" s="150"/>
      <c r="J1045" s="4"/>
      <c r="K1045"/>
    </row>
    <row r="1046" spans="9:11" x14ac:dyDescent="0.25">
      <c r="I1046" s="150"/>
      <c r="J1046" s="4"/>
      <c r="K1046"/>
    </row>
    <row r="1047" spans="9:11" x14ac:dyDescent="0.25">
      <c r="I1047" s="150"/>
      <c r="J1047" s="4"/>
      <c r="K1047"/>
    </row>
    <row r="1048" spans="9:11" x14ac:dyDescent="0.25">
      <c r="I1048" s="150"/>
      <c r="J1048" s="4"/>
      <c r="K1048"/>
    </row>
    <row r="1049" spans="9:11" x14ac:dyDescent="0.25">
      <c r="I1049" s="150"/>
      <c r="J1049" s="4"/>
      <c r="K1049"/>
    </row>
    <row r="1050" spans="9:11" x14ac:dyDescent="0.25">
      <c r="I1050" s="150"/>
      <c r="J1050" s="4"/>
      <c r="K1050"/>
    </row>
    <row r="1051" spans="9:11" x14ac:dyDescent="0.25">
      <c r="I1051" s="150"/>
      <c r="J1051" s="4"/>
      <c r="K1051"/>
    </row>
    <row r="1052" spans="9:11" x14ac:dyDescent="0.25">
      <c r="I1052" s="150"/>
      <c r="J1052" s="4"/>
      <c r="K1052"/>
    </row>
    <row r="1053" spans="9:11" x14ac:dyDescent="0.25">
      <c r="I1053" s="150"/>
      <c r="J1053" s="4"/>
      <c r="K1053"/>
    </row>
    <row r="1054" spans="9:11" x14ac:dyDescent="0.25">
      <c r="I1054" s="150"/>
      <c r="J1054" s="4"/>
      <c r="K1054"/>
    </row>
    <row r="1055" spans="9:11" x14ac:dyDescent="0.25">
      <c r="I1055" s="150"/>
      <c r="J1055" s="4"/>
      <c r="K1055"/>
    </row>
    <row r="1056" spans="9:11" x14ac:dyDescent="0.25">
      <c r="I1056" s="150"/>
      <c r="J1056" s="4"/>
      <c r="K1056"/>
    </row>
    <row r="1057" spans="9:11" x14ac:dyDescent="0.25">
      <c r="I1057" s="150"/>
      <c r="J1057" s="4"/>
      <c r="K1057"/>
    </row>
    <row r="1058" spans="9:11" x14ac:dyDescent="0.25">
      <c r="I1058" s="150"/>
      <c r="J1058" s="4"/>
      <c r="K1058"/>
    </row>
    <row r="1059" spans="9:11" x14ac:dyDescent="0.25">
      <c r="I1059" s="150"/>
      <c r="J1059" s="4"/>
      <c r="K1059"/>
    </row>
    <row r="1060" spans="9:11" x14ac:dyDescent="0.25">
      <c r="I1060" s="150"/>
      <c r="J1060" s="4"/>
      <c r="K1060"/>
    </row>
    <row r="1061" spans="9:11" x14ac:dyDescent="0.25">
      <c r="I1061" s="150"/>
      <c r="J1061" s="4"/>
      <c r="K1061"/>
    </row>
    <row r="1062" spans="9:11" x14ac:dyDescent="0.25">
      <c r="I1062" s="150"/>
      <c r="J1062" s="4"/>
      <c r="K1062"/>
    </row>
    <row r="1063" spans="9:11" x14ac:dyDescent="0.25">
      <c r="I1063" s="150"/>
      <c r="J1063" s="4"/>
      <c r="K1063"/>
    </row>
    <row r="1064" spans="9:11" x14ac:dyDescent="0.25">
      <c r="I1064" s="150"/>
      <c r="J1064" s="4"/>
      <c r="K1064"/>
    </row>
    <row r="1065" spans="9:11" x14ac:dyDescent="0.25">
      <c r="I1065" s="150"/>
      <c r="J1065" s="4"/>
      <c r="K1065"/>
    </row>
    <row r="1066" spans="9:11" x14ac:dyDescent="0.25">
      <c r="I1066" s="150"/>
      <c r="J1066" s="4"/>
      <c r="K1066"/>
    </row>
    <row r="1067" spans="9:11" x14ac:dyDescent="0.25">
      <c r="I1067" s="150"/>
      <c r="J1067" s="4"/>
      <c r="K1067"/>
    </row>
    <row r="1068" spans="9:11" x14ac:dyDescent="0.25">
      <c r="I1068" s="150"/>
      <c r="J1068" s="4"/>
      <c r="K1068"/>
    </row>
    <row r="1069" spans="9:11" x14ac:dyDescent="0.25">
      <c r="I1069" s="150"/>
      <c r="J1069" s="4"/>
      <c r="K1069"/>
    </row>
    <row r="1070" spans="9:11" x14ac:dyDescent="0.25">
      <c r="I1070" s="150"/>
      <c r="J1070" s="4"/>
      <c r="K1070"/>
    </row>
    <row r="1071" spans="9:11" x14ac:dyDescent="0.25">
      <c r="I1071" s="150"/>
      <c r="J1071" s="4"/>
      <c r="K1071"/>
    </row>
    <row r="1072" spans="9:11" x14ac:dyDescent="0.25">
      <c r="I1072" s="150"/>
      <c r="J1072" s="4"/>
      <c r="K1072"/>
    </row>
    <row r="1073" spans="9:11" x14ac:dyDescent="0.25">
      <c r="I1073" s="150"/>
      <c r="J1073" s="4"/>
      <c r="K1073"/>
    </row>
    <row r="1074" spans="9:11" x14ac:dyDescent="0.25">
      <c r="I1074" s="150"/>
      <c r="J1074" s="4"/>
      <c r="K1074"/>
    </row>
    <row r="1075" spans="9:11" x14ac:dyDescent="0.25">
      <c r="I1075" s="150"/>
      <c r="J1075" s="4"/>
      <c r="K1075"/>
    </row>
    <row r="1076" spans="9:11" x14ac:dyDescent="0.25">
      <c r="I1076" s="150"/>
      <c r="J1076" s="4"/>
      <c r="K1076"/>
    </row>
    <row r="1077" spans="9:11" x14ac:dyDescent="0.25">
      <c r="I1077" s="150"/>
      <c r="J1077" s="4"/>
      <c r="K1077"/>
    </row>
    <row r="1078" spans="9:11" x14ac:dyDescent="0.25">
      <c r="I1078" s="150"/>
      <c r="J1078" s="4"/>
      <c r="K1078"/>
    </row>
    <row r="1079" spans="9:11" x14ac:dyDescent="0.25">
      <c r="I1079" s="150"/>
      <c r="J1079" s="4"/>
      <c r="K1079"/>
    </row>
    <row r="1080" spans="9:11" x14ac:dyDescent="0.25">
      <c r="I1080" s="150"/>
      <c r="J1080" s="4"/>
      <c r="K1080"/>
    </row>
    <row r="1081" spans="9:11" x14ac:dyDescent="0.25">
      <c r="I1081" s="150"/>
      <c r="J1081" s="4"/>
      <c r="K1081"/>
    </row>
    <row r="1082" spans="9:11" x14ac:dyDescent="0.25">
      <c r="I1082" s="150"/>
      <c r="J1082" s="4"/>
      <c r="K1082"/>
    </row>
    <row r="1083" spans="9:11" x14ac:dyDescent="0.25">
      <c r="I1083" s="150"/>
      <c r="J1083" s="4"/>
      <c r="K1083"/>
    </row>
    <row r="1084" spans="9:11" x14ac:dyDescent="0.25">
      <c r="I1084" s="150"/>
      <c r="J1084" s="4"/>
      <c r="K1084"/>
    </row>
    <row r="1085" spans="9:11" x14ac:dyDescent="0.25">
      <c r="I1085" s="150"/>
      <c r="J1085" s="4"/>
      <c r="K1085"/>
    </row>
    <row r="1086" spans="9:11" x14ac:dyDescent="0.25">
      <c r="I1086" s="150"/>
      <c r="J1086" s="4"/>
      <c r="K1086"/>
    </row>
    <row r="1087" spans="9:11" x14ac:dyDescent="0.25">
      <c r="I1087" s="150"/>
      <c r="J1087" s="4"/>
      <c r="K1087"/>
    </row>
    <row r="1088" spans="9:11" x14ac:dyDescent="0.25">
      <c r="I1088" s="150"/>
      <c r="J1088" s="4"/>
      <c r="K1088"/>
    </row>
    <row r="1089" spans="9:11" x14ac:dyDescent="0.25">
      <c r="I1089" s="150"/>
      <c r="J1089" s="4"/>
      <c r="K1089"/>
    </row>
    <row r="1090" spans="9:11" x14ac:dyDescent="0.25">
      <c r="I1090" s="150"/>
      <c r="J1090" s="4"/>
      <c r="K1090"/>
    </row>
    <row r="1091" spans="9:11" x14ac:dyDescent="0.25">
      <c r="I1091" s="150"/>
      <c r="J1091" s="4"/>
      <c r="K1091"/>
    </row>
    <row r="1092" spans="9:11" x14ac:dyDescent="0.25">
      <c r="I1092" s="150"/>
      <c r="J1092" s="4"/>
      <c r="K1092"/>
    </row>
    <row r="1093" spans="9:11" x14ac:dyDescent="0.25">
      <c r="I1093" s="150"/>
      <c r="J1093" s="4"/>
      <c r="K1093"/>
    </row>
    <row r="1094" spans="9:11" x14ac:dyDescent="0.25">
      <c r="I1094" s="150"/>
      <c r="J1094" s="4"/>
      <c r="K1094"/>
    </row>
    <row r="1095" spans="9:11" x14ac:dyDescent="0.25">
      <c r="I1095" s="150"/>
      <c r="J1095" s="4"/>
      <c r="K1095"/>
    </row>
    <row r="1096" spans="9:11" x14ac:dyDescent="0.25">
      <c r="I1096" s="150"/>
      <c r="J1096" s="4"/>
      <c r="K1096"/>
    </row>
    <row r="1097" spans="9:11" x14ac:dyDescent="0.25">
      <c r="I1097" s="150"/>
      <c r="J1097" s="4"/>
      <c r="K1097"/>
    </row>
    <row r="1098" spans="9:11" x14ac:dyDescent="0.25">
      <c r="I1098" s="150"/>
      <c r="J1098" s="4"/>
      <c r="K1098"/>
    </row>
    <row r="1099" spans="9:11" x14ac:dyDescent="0.25">
      <c r="I1099" s="150"/>
      <c r="J1099" s="4"/>
      <c r="K1099"/>
    </row>
    <row r="1100" spans="9:11" x14ac:dyDescent="0.25">
      <c r="I1100" s="150"/>
      <c r="J1100" s="4"/>
      <c r="K1100"/>
    </row>
    <row r="1101" spans="9:11" x14ac:dyDescent="0.25">
      <c r="I1101" s="150"/>
      <c r="J1101" s="4"/>
      <c r="K1101"/>
    </row>
    <row r="1102" spans="9:11" x14ac:dyDescent="0.25">
      <c r="I1102" s="150"/>
      <c r="J1102" s="4"/>
      <c r="K1102"/>
    </row>
    <row r="1103" spans="9:11" x14ac:dyDescent="0.25">
      <c r="I1103" s="150"/>
      <c r="J1103" s="4"/>
      <c r="K1103"/>
    </row>
    <row r="1104" spans="9:11" x14ac:dyDescent="0.25">
      <c r="I1104" s="150"/>
      <c r="J1104" s="4"/>
      <c r="K1104"/>
    </row>
    <row r="1105" spans="9:11" x14ac:dyDescent="0.25">
      <c r="I1105" s="150"/>
      <c r="J1105" s="4"/>
      <c r="K1105"/>
    </row>
    <row r="1106" spans="9:11" x14ac:dyDescent="0.25">
      <c r="I1106" s="150"/>
      <c r="J1106" s="4"/>
      <c r="K1106"/>
    </row>
    <row r="1107" spans="9:11" x14ac:dyDescent="0.25">
      <c r="I1107" s="150"/>
      <c r="J1107" s="4"/>
      <c r="K1107"/>
    </row>
    <row r="1108" spans="9:11" x14ac:dyDescent="0.25">
      <c r="I1108" s="150"/>
      <c r="J1108" s="4"/>
      <c r="K1108"/>
    </row>
    <row r="1109" spans="9:11" x14ac:dyDescent="0.25">
      <c r="I1109" s="150"/>
      <c r="J1109" s="4"/>
      <c r="K1109"/>
    </row>
    <row r="1110" spans="9:11" x14ac:dyDescent="0.25">
      <c r="I1110" s="150"/>
      <c r="J1110" s="4"/>
      <c r="K1110"/>
    </row>
    <row r="1111" spans="9:11" x14ac:dyDescent="0.25">
      <c r="I1111" s="150"/>
      <c r="J1111" s="4"/>
      <c r="K1111"/>
    </row>
    <row r="1112" spans="9:11" x14ac:dyDescent="0.25">
      <c r="I1112" s="150"/>
      <c r="J1112" s="4"/>
      <c r="K1112"/>
    </row>
    <row r="1113" spans="9:11" x14ac:dyDescent="0.25">
      <c r="I1113" s="150"/>
      <c r="J1113" s="4"/>
      <c r="K1113"/>
    </row>
    <row r="1114" spans="9:11" x14ac:dyDescent="0.25">
      <c r="I1114" s="150"/>
      <c r="J1114" s="4"/>
      <c r="K1114"/>
    </row>
    <row r="1115" spans="9:11" x14ac:dyDescent="0.25">
      <c r="I1115" s="150"/>
      <c r="J1115" s="4"/>
      <c r="K1115"/>
    </row>
    <row r="1116" spans="9:11" x14ac:dyDescent="0.25">
      <c r="I1116" s="150"/>
      <c r="J1116" s="4"/>
      <c r="K1116"/>
    </row>
    <row r="1117" spans="9:11" x14ac:dyDescent="0.25">
      <c r="I1117" s="150"/>
      <c r="J1117" s="4"/>
      <c r="K1117"/>
    </row>
    <row r="1118" spans="9:11" x14ac:dyDescent="0.25">
      <c r="I1118" s="150"/>
      <c r="J1118" s="4"/>
      <c r="K1118"/>
    </row>
    <row r="1119" spans="9:11" x14ac:dyDescent="0.25">
      <c r="I1119" s="150"/>
      <c r="J1119" s="4"/>
      <c r="K1119"/>
    </row>
    <row r="1120" spans="9:11" x14ac:dyDescent="0.25">
      <c r="I1120" s="150"/>
      <c r="J1120" s="4"/>
      <c r="K1120"/>
    </row>
    <row r="1121" spans="9:11" x14ac:dyDescent="0.25">
      <c r="I1121" s="150"/>
      <c r="J1121" s="4"/>
      <c r="K1121"/>
    </row>
    <row r="1122" spans="9:11" x14ac:dyDescent="0.25">
      <c r="I1122" s="150"/>
      <c r="J1122" s="4"/>
      <c r="K1122"/>
    </row>
    <row r="1123" spans="9:11" x14ac:dyDescent="0.25">
      <c r="I1123" s="150"/>
      <c r="J1123" s="4"/>
      <c r="K1123"/>
    </row>
    <row r="1124" spans="9:11" x14ac:dyDescent="0.25">
      <c r="I1124" s="150"/>
      <c r="J1124" s="4"/>
      <c r="K1124"/>
    </row>
    <row r="1125" spans="9:11" x14ac:dyDescent="0.25">
      <c r="I1125" s="150"/>
      <c r="J1125" s="4"/>
      <c r="K1125"/>
    </row>
    <row r="1126" spans="9:11" x14ac:dyDescent="0.25">
      <c r="I1126" s="150"/>
      <c r="J1126" s="4"/>
      <c r="K1126"/>
    </row>
    <row r="1127" spans="9:11" x14ac:dyDescent="0.25">
      <c r="I1127" s="150"/>
      <c r="J1127" s="4"/>
      <c r="K1127"/>
    </row>
    <row r="1128" spans="9:11" x14ac:dyDescent="0.25">
      <c r="I1128" s="150"/>
      <c r="J1128" s="4"/>
      <c r="K1128"/>
    </row>
    <row r="1129" spans="9:11" x14ac:dyDescent="0.25">
      <c r="I1129" s="150"/>
      <c r="J1129" s="4"/>
      <c r="K1129"/>
    </row>
    <row r="1130" spans="9:11" x14ac:dyDescent="0.25">
      <c r="I1130" s="150"/>
      <c r="J1130" s="4"/>
      <c r="K1130"/>
    </row>
    <row r="1131" spans="9:11" x14ac:dyDescent="0.25">
      <c r="I1131" s="150"/>
      <c r="J1131" s="4"/>
      <c r="K1131"/>
    </row>
    <row r="1132" spans="9:11" x14ac:dyDescent="0.25">
      <c r="I1132" s="150"/>
      <c r="J1132" s="4"/>
      <c r="K1132"/>
    </row>
    <row r="1133" spans="9:11" x14ac:dyDescent="0.25">
      <c r="I1133" s="150"/>
      <c r="J1133" s="4"/>
      <c r="K1133"/>
    </row>
    <row r="1134" spans="9:11" x14ac:dyDescent="0.25">
      <c r="I1134" s="150"/>
      <c r="J1134" s="4"/>
      <c r="K1134"/>
    </row>
    <row r="1135" spans="9:11" x14ac:dyDescent="0.25">
      <c r="I1135" s="150"/>
      <c r="J1135" s="4"/>
      <c r="K1135"/>
    </row>
    <row r="1136" spans="9:11" x14ac:dyDescent="0.25">
      <c r="I1136" s="150"/>
      <c r="J1136" s="4"/>
      <c r="K1136"/>
    </row>
    <row r="1137" spans="9:44" x14ac:dyDescent="0.25">
      <c r="I1137" s="150"/>
      <c r="J1137" s="4"/>
      <c r="K1137"/>
    </row>
    <row r="1138" spans="9:44" x14ac:dyDescent="0.25">
      <c r="I1138" s="150"/>
      <c r="J1138" s="4"/>
      <c r="K1138"/>
    </row>
    <row r="1139" spans="9:44" x14ac:dyDescent="0.25">
      <c r="I1139" s="150"/>
      <c r="J1139" s="4"/>
      <c r="K1139"/>
    </row>
    <row r="1140" spans="9:44" x14ac:dyDescent="0.25">
      <c r="I1140" s="150"/>
      <c r="J1140" s="4"/>
      <c r="K1140"/>
    </row>
    <row r="1141" spans="9:44" x14ac:dyDescent="0.25">
      <c r="I1141" s="150"/>
      <c r="J1141" s="4"/>
      <c r="K1141"/>
    </row>
    <row r="1142" spans="9:44" x14ac:dyDescent="0.25">
      <c r="I1142" s="150"/>
      <c r="J1142" s="4"/>
      <c r="K1142"/>
    </row>
    <row r="1143" spans="9:44" x14ac:dyDescent="0.25">
      <c r="I1143" s="150"/>
      <c r="J1143" s="4"/>
      <c r="K1143"/>
    </row>
    <row r="1144" spans="9:44" x14ac:dyDescent="0.25">
      <c r="I1144" s="150"/>
      <c r="J1144" s="4"/>
      <c r="K1144"/>
    </row>
    <row r="1145" spans="9:44" x14ac:dyDescent="0.25">
      <c r="I1145" s="150"/>
      <c r="J1145" s="4"/>
      <c r="K1145"/>
    </row>
    <row r="1146" spans="9:44" x14ac:dyDescent="0.25">
      <c r="I1146" s="150"/>
      <c r="J1146" s="4"/>
      <c r="K1146"/>
    </row>
    <row r="1147" spans="9:44" x14ac:dyDescent="0.25">
      <c r="I1147" s="150"/>
      <c r="J1147" s="4"/>
      <c r="K1147"/>
    </row>
    <row r="1148" spans="9:44" x14ac:dyDescent="0.25">
      <c r="I1148" s="150"/>
      <c r="J1148" s="4"/>
      <c r="K1148"/>
    </row>
    <row r="1149" spans="9:44" x14ac:dyDescent="0.25">
      <c r="I1149" s="150"/>
      <c r="J1149" s="4"/>
      <c r="K1149"/>
    </row>
    <row r="1150" spans="9:44" x14ac:dyDescent="0.25">
      <c r="I1150" s="150"/>
      <c r="J1150" s="4"/>
      <c r="K1150"/>
      <c r="AR1150" s="80">
        <v>0</v>
      </c>
    </row>
    <row r="1151" spans="9:44" x14ac:dyDescent="0.25">
      <c r="I1151" s="150"/>
      <c r="J1151" s="4"/>
      <c r="K1151"/>
    </row>
    <row r="1152" spans="9:44" x14ac:dyDescent="0.25">
      <c r="I1152" s="150"/>
      <c r="J1152" s="4"/>
      <c r="K1152"/>
    </row>
    <row r="1153" spans="9:11" x14ac:dyDescent="0.25">
      <c r="I1153" s="150"/>
      <c r="J1153" s="4"/>
      <c r="K1153"/>
    </row>
    <row r="1154" spans="9:11" x14ac:dyDescent="0.25">
      <c r="I1154" s="150"/>
      <c r="J1154" s="4"/>
      <c r="K1154"/>
    </row>
    <row r="1155" spans="9:11" x14ac:dyDescent="0.25">
      <c r="I1155" s="150"/>
      <c r="J1155" s="4"/>
      <c r="K1155"/>
    </row>
    <row r="1156" spans="9:11" x14ac:dyDescent="0.25">
      <c r="I1156" s="150"/>
      <c r="J1156" s="4"/>
      <c r="K1156"/>
    </row>
    <row r="1157" spans="9:11" x14ac:dyDescent="0.25">
      <c r="I1157" s="150"/>
      <c r="J1157" s="4"/>
      <c r="K1157"/>
    </row>
    <row r="1158" spans="9:11" x14ac:dyDescent="0.25">
      <c r="I1158" s="150"/>
      <c r="J1158" s="4"/>
      <c r="K1158"/>
    </row>
    <row r="1159" spans="9:11" x14ac:dyDescent="0.25">
      <c r="I1159" s="150"/>
      <c r="J1159" s="4"/>
      <c r="K1159"/>
    </row>
    <row r="1160" spans="9:11" x14ac:dyDescent="0.25">
      <c r="I1160" s="150"/>
      <c r="J1160" s="4"/>
      <c r="K1160"/>
    </row>
    <row r="1161" spans="9:11" x14ac:dyDescent="0.25">
      <c r="I1161" s="150"/>
      <c r="J1161" s="4"/>
      <c r="K1161"/>
    </row>
    <row r="1162" spans="9:11" x14ac:dyDescent="0.25">
      <c r="I1162" s="150"/>
      <c r="J1162" s="4"/>
      <c r="K1162"/>
    </row>
    <row r="1163" spans="9:11" x14ac:dyDescent="0.25">
      <c r="I1163" s="150"/>
      <c r="J1163" s="4"/>
      <c r="K1163"/>
    </row>
    <row r="1164" spans="9:11" x14ac:dyDescent="0.25">
      <c r="I1164" s="150"/>
      <c r="J1164" s="4"/>
      <c r="K1164"/>
    </row>
    <row r="1165" spans="9:11" x14ac:dyDescent="0.25">
      <c r="I1165" s="150"/>
      <c r="J1165" s="4"/>
      <c r="K1165"/>
    </row>
    <row r="1166" spans="9:11" x14ac:dyDescent="0.25">
      <c r="I1166" s="150"/>
      <c r="J1166" s="4"/>
      <c r="K1166"/>
    </row>
    <row r="1167" spans="9:11" x14ac:dyDescent="0.25">
      <c r="I1167" s="150"/>
      <c r="J1167" s="4"/>
      <c r="K1167"/>
    </row>
    <row r="1168" spans="9:11" x14ac:dyDescent="0.25">
      <c r="I1168" s="150"/>
      <c r="J1168" s="4"/>
      <c r="K1168"/>
    </row>
    <row r="1169" spans="9:11" x14ac:dyDescent="0.25">
      <c r="I1169" s="150"/>
      <c r="J1169" s="4"/>
      <c r="K1169"/>
    </row>
    <row r="1170" spans="9:11" x14ac:dyDescent="0.25">
      <c r="I1170" s="150"/>
      <c r="J1170" s="4"/>
      <c r="K1170"/>
    </row>
    <row r="1171" spans="9:11" x14ac:dyDescent="0.25">
      <c r="I1171" s="150"/>
      <c r="J1171" s="4"/>
      <c r="K1171"/>
    </row>
    <row r="1172" spans="9:11" x14ac:dyDescent="0.25">
      <c r="I1172" s="150"/>
      <c r="J1172" s="4"/>
      <c r="K1172"/>
    </row>
    <row r="1173" spans="9:11" x14ac:dyDescent="0.25">
      <c r="I1173" s="150"/>
      <c r="J1173" s="4"/>
      <c r="K1173"/>
    </row>
    <row r="1174" spans="9:11" x14ac:dyDescent="0.25">
      <c r="I1174" s="150"/>
      <c r="J1174" s="4"/>
      <c r="K1174"/>
    </row>
    <row r="1175" spans="9:11" x14ac:dyDescent="0.25">
      <c r="I1175" s="150"/>
      <c r="J1175" s="4"/>
      <c r="K1175"/>
    </row>
    <row r="1176" spans="9:11" x14ac:dyDescent="0.25">
      <c r="I1176" s="150"/>
      <c r="J1176" s="4"/>
      <c r="K1176"/>
    </row>
    <row r="1177" spans="9:11" x14ac:dyDescent="0.25">
      <c r="I1177" s="150"/>
      <c r="J1177" s="4"/>
      <c r="K1177"/>
    </row>
    <row r="1178" spans="9:11" x14ac:dyDescent="0.25">
      <c r="I1178" s="150"/>
      <c r="J1178" s="4"/>
      <c r="K1178"/>
    </row>
    <row r="1179" spans="9:11" x14ac:dyDescent="0.25">
      <c r="I1179" s="150"/>
      <c r="J1179" s="4"/>
      <c r="K1179"/>
    </row>
    <row r="1180" spans="9:11" x14ac:dyDescent="0.25">
      <c r="I1180" s="150"/>
      <c r="J1180" s="4"/>
      <c r="K1180"/>
    </row>
    <row r="1181" spans="9:11" x14ac:dyDescent="0.25">
      <c r="I1181" s="150"/>
      <c r="J1181" s="4"/>
      <c r="K1181"/>
    </row>
    <row r="1182" spans="9:11" x14ac:dyDescent="0.25">
      <c r="I1182" s="150"/>
      <c r="J1182" s="4"/>
      <c r="K1182"/>
    </row>
    <row r="1183" spans="9:11" x14ac:dyDescent="0.25">
      <c r="I1183" s="150"/>
      <c r="J1183" s="4"/>
      <c r="K1183"/>
    </row>
    <row r="1184" spans="9:11" x14ac:dyDescent="0.25">
      <c r="I1184" s="150"/>
      <c r="J1184" s="4"/>
      <c r="K1184"/>
    </row>
    <row r="1185" spans="9:11" x14ac:dyDescent="0.25">
      <c r="I1185" s="150"/>
      <c r="J1185" s="4"/>
      <c r="K1185"/>
    </row>
    <row r="1186" spans="9:11" x14ac:dyDescent="0.25">
      <c r="I1186" s="150"/>
      <c r="J1186" s="4"/>
      <c r="K1186"/>
    </row>
    <row r="1187" spans="9:11" x14ac:dyDescent="0.25">
      <c r="I1187" s="150"/>
      <c r="J1187" s="4"/>
      <c r="K1187"/>
    </row>
    <row r="1188" spans="9:11" x14ac:dyDescent="0.25">
      <c r="I1188" s="150"/>
      <c r="J1188" s="4"/>
      <c r="K1188"/>
    </row>
    <row r="1189" spans="9:11" x14ac:dyDescent="0.25">
      <c r="I1189" s="150"/>
      <c r="J1189" s="4"/>
      <c r="K1189"/>
    </row>
    <row r="1190" spans="9:11" x14ac:dyDescent="0.25">
      <c r="I1190" s="150"/>
      <c r="J1190" s="4"/>
      <c r="K1190"/>
    </row>
    <row r="1191" spans="9:11" x14ac:dyDescent="0.25">
      <c r="I1191" s="150"/>
      <c r="J1191" s="4"/>
      <c r="K1191"/>
    </row>
    <row r="1192" spans="9:11" x14ac:dyDescent="0.25">
      <c r="I1192" s="150"/>
      <c r="J1192" s="4"/>
      <c r="K1192"/>
    </row>
    <row r="1193" spans="9:11" x14ac:dyDescent="0.25">
      <c r="I1193" s="150"/>
      <c r="J1193" s="4"/>
      <c r="K1193"/>
    </row>
    <row r="1194" spans="9:11" x14ac:dyDescent="0.25">
      <c r="I1194" s="150"/>
      <c r="J1194" s="4"/>
      <c r="K1194"/>
    </row>
    <row r="1195" spans="9:11" x14ac:dyDescent="0.25">
      <c r="I1195" s="150"/>
      <c r="J1195" s="4"/>
      <c r="K1195"/>
    </row>
    <row r="1196" spans="9:11" x14ac:dyDescent="0.25">
      <c r="I1196" s="150"/>
      <c r="J1196" s="4"/>
      <c r="K1196"/>
    </row>
    <row r="1197" spans="9:11" x14ac:dyDescent="0.25">
      <c r="I1197" s="150"/>
      <c r="J1197" s="4"/>
      <c r="K1197"/>
    </row>
    <row r="1198" spans="9:11" x14ac:dyDescent="0.25">
      <c r="I1198" s="150"/>
      <c r="J1198" s="4"/>
      <c r="K1198"/>
    </row>
    <row r="1199" spans="9:11" x14ac:dyDescent="0.25">
      <c r="I1199" s="150"/>
      <c r="J1199" s="4"/>
      <c r="K1199"/>
    </row>
    <row r="1200" spans="9:11" x14ac:dyDescent="0.25">
      <c r="I1200" s="150"/>
      <c r="J1200" s="4"/>
      <c r="K1200"/>
    </row>
    <row r="1201" spans="9:11" x14ac:dyDescent="0.25">
      <c r="I1201" s="150"/>
      <c r="J1201" s="4"/>
      <c r="K1201"/>
    </row>
    <row r="1202" spans="9:11" x14ac:dyDescent="0.25">
      <c r="I1202" s="150"/>
      <c r="J1202" s="4"/>
      <c r="K1202"/>
    </row>
    <row r="1203" spans="9:11" x14ac:dyDescent="0.25">
      <c r="I1203" s="150"/>
      <c r="J1203" s="4"/>
      <c r="K1203"/>
    </row>
    <row r="1204" spans="9:11" x14ac:dyDescent="0.25">
      <c r="I1204" s="150"/>
      <c r="J1204" s="4"/>
      <c r="K1204"/>
    </row>
    <row r="1205" spans="9:11" x14ac:dyDescent="0.25">
      <c r="I1205" s="150"/>
      <c r="J1205" s="4"/>
      <c r="K1205"/>
    </row>
    <row r="1206" spans="9:11" x14ac:dyDescent="0.25">
      <c r="I1206" s="150"/>
      <c r="J1206" s="4"/>
      <c r="K1206"/>
    </row>
    <row r="1207" spans="9:11" x14ac:dyDescent="0.25">
      <c r="I1207" s="150"/>
      <c r="J1207" s="4"/>
      <c r="K1207"/>
    </row>
    <row r="1208" spans="9:11" x14ac:dyDescent="0.25">
      <c r="I1208" s="150"/>
      <c r="J1208" s="4"/>
      <c r="K1208"/>
    </row>
    <row r="1209" spans="9:11" x14ac:dyDescent="0.25">
      <c r="I1209" s="150"/>
      <c r="J1209" s="4"/>
      <c r="K1209"/>
    </row>
    <row r="1210" spans="9:11" x14ac:dyDescent="0.25">
      <c r="I1210" s="150"/>
      <c r="J1210" s="4"/>
      <c r="K1210"/>
    </row>
    <row r="1211" spans="9:11" x14ac:dyDescent="0.25">
      <c r="I1211" s="150"/>
      <c r="J1211" s="4"/>
      <c r="K1211"/>
    </row>
    <row r="1212" spans="9:11" x14ac:dyDescent="0.25">
      <c r="I1212" s="150"/>
      <c r="J1212" s="4"/>
      <c r="K1212"/>
    </row>
    <row r="1213" spans="9:11" x14ac:dyDescent="0.25">
      <c r="I1213" s="150"/>
      <c r="J1213" s="4"/>
      <c r="K1213"/>
    </row>
    <row r="1214" spans="9:11" x14ac:dyDescent="0.25">
      <c r="I1214" s="150"/>
      <c r="J1214" s="4"/>
      <c r="K1214"/>
    </row>
    <row r="1215" spans="9:11" x14ac:dyDescent="0.25">
      <c r="I1215" s="150"/>
      <c r="J1215" s="4"/>
      <c r="K1215"/>
    </row>
    <row r="1216" spans="9:11" x14ac:dyDescent="0.25">
      <c r="I1216" s="150"/>
      <c r="J1216" s="4"/>
      <c r="K1216"/>
    </row>
    <row r="1217" spans="9:11" x14ac:dyDescent="0.25">
      <c r="I1217" s="150"/>
      <c r="J1217" s="4"/>
      <c r="K1217"/>
    </row>
    <row r="1218" spans="9:11" x14ac:dyDescent="0.25">
      <c r="I1218" s="150"/>
      <c r="J1218" s="4"/>
      <c r="K1218"/>
    </row>
    <row r="1219" spans="9:11" x14ac:dyDescent="0.25">
      <c r="I1219" s="150"/>
      <c r="J1219" s="4"/>
      <c r="K1219"/>
    </row>
    <row r="1220" spans="9:11" x14ac:dyDescent="0.25">
      <c r="I1220" s="150"/>
      <c r="J1220" s="4"/>
      <c r="K1220"/>
    </row>
    <row r="1221" spans="9:11" x14ac:dyDescent="0.25">
      <c r="I1221" s="150"/>
      <c r="J1221" s="4"/>
      <c r="K1221"/>
    </row>
    <row r="1222" spans="9:11" x14ac:dyDescent="0.25">
      <c r="I1222" s="150"/>
      <c r="J1222" s="4"/>
      <c r="K1222"/>
    </row>
    <row r="1223" spans="9:11" x14ac:dyDescent="0.25">
      <c r="I1223" s="150"/>
      <c r="J1223" s="4"/>
      <c r="K1223"/>
    </row>
    <row r="1224" spans="9:11" x14ac:dyDescent="0.25">
      <c r="I1224" s="150"/>
      <c r="J1224" s="4"/>
      <c r="K1224"/>
    </row>
    <row r="1225" spans="9:11" x14ac:dyDescent="0.25">
      <c r="I1225" s="150"/>
      <c r="J1225" s="4"/>
      <c r="K1225"/>
    </row>
    <row r="1226" spans="9:11" x14ac:dyDescent="0.25">
      <c r="I1226" s="150"/>
      <c r="J1226" s="4"/>
      <c r="K1226"/>
    </row>
    <row r="1227" spans="9:11" x14ac:dyDescent="0.25">
      <c r="I1227" s="150"/>
      <c r="J1227" s="4"/>
      <c r="K1227"/>
    </row>
    <row r="1228" spans="9:11" x14ac:dyDescent="0.25">
      <c r="I1228" s="150"/>
      <c r="J1228" s="4"/>
      <c r="K1228"/>
    </row>
    <row r="1229" spans="9:11" x14ac:dyDescent="0.25">
      <c r="I1229" s="150"/>
      <c r="J1229" s="4"/>
      <c r="K1229"/>
    </row>
    <row r="1230" spans="9:11" x14ac:dyDescent="0.25">
      <c r="I1230" s="150"/>
      <c r="J1230" s="4"/>
      <c r="K1230"/>
    </row>
    <row r="1231" spans="9:11" x14ac:dyDescent="0.25">
      <c r="I1231" s="150"/>
      <c r="J1231" s="4"/>
      <c r="K1231"/>
    </row>
    <row r="1232" spans="9:11" x14ac:dyDescent="0.25">
      <c r="I1232" s="150"/>
      <c r="J1232" s="4"/>
      <c r="K1232"/>
    </row>
    <row r="1233" spans="9:11" x14ac:dyDescent="0.25">
      <c r="I1233" s="150"/>
      <c r="J1233" s="4"/>
      <c r="K1233"/>
    </row>
    <row r="1234" spans="9:11" x14ac:dyDescent="0.25">
      <c r="I1234" s="150"/>
      <c r="J1234" s="4"/>
      <c r="K1234"/>
    </row>
    <row r="1235" spans="9:11" x14ac:dyDescent="0.25">
      <c r="I1235" s="150"/>
      <c r="J1235" s="4"/>
      <c r="K1235"/>
    </row>
    <row r="1236" spans="9:11" x14ac:dyDescent="0.25">
      <c r="I1236" s="150"/>
      <c r="J1236" s="4"/>
      <c r="K1236"/>
    </row>
    <row r="1237" spans="9:11" x14ac:dyDescent="0.25">
      <c r="I1237" s="150"/>
      <c r="J1237" s="4"/>
      <c r="K1237"/>
    </row>
    <row r="1238" spans="9:11" x14ac:dyDescent="0.25">
      <c r="I1238" s="150"/>
      <c r="J1238" s="4"/>
      <c r="K1238"/>
    </row>
    <row r="1239" spans="9:11" x14ac:dyDescent="0.25">
      <c r="I1239" s="150"/>
      <c r="J1239" s="4"/>
      <c r="K1239"/>
    </row>
    <row r="1240" spans="9:11" x14ac:dyDescent="0.25">
      <c r="I1240" s="150"/>
      <c r="J1240" s="4"/>
      <c r="K1240"/>
    </row>
    <row r="1241" spans="9:11" x14ac:dyDescent="0.25">
      <c r="I1241" s="150"/>
      <c r="J1241" s="4"/>
      <c r="K1241"/>
    </row>
    <row r="1242" spans="9:11" x14ac:dyDescent="0.25">
      <c r="I1242" s="150"/>
      <c r="J1242" s="4"/>
      <c r="K1242"/>
    </row>
    <row r="1243" spans="9:11" x14ac:dyDescent="0.25">
      <c r="I1243" s="150"/>
      <c r="J1243" s="4"/>
      <c r="K1243"/>
    </row>
    <row r="1244" spans="9:11" x14ac:dyDescent="0.25">
      <c r="I1244" s="150"/>
      <c r="J1244" s="4"/>
      <c r="K1244"/>
    </row>
    <row r="1245" spans="9:11" x14ac:dyDescent="0.25">
      <c r="I1245" s="150"/>
      <c r="J1245" s="4"/>
      <c r="K1245"/>
    </row>
    <row r="1246" spans="9:11" x14ac:dyDescent="0.25">
      <c r="I1246" s="150"/>
      <c r="J1246" s="4"/>
      <c r="K1246"/>
    </row>
    <row r="1247" spans="9:11" x14ac:dyDescent="0.25">
      <c r="I1247" s="150"/>
      <c r="J1247" s="4"/>
      <c r="K1247"/>
    </row>
    <row r="1248" spans="9:11" x14ac:dyDescent="0.25">
      <c r="I1248" s="150"/>
      <c r="J1248" s="4"/>
      <c r="K1248"/>
    </row>
    <row r="1249" spans="9:11" x14ac:dyDescent="0.25">
      <c r="I1249" s="150"/>
      <c r="J1249" s="4"/>
      <c r="K1249"/>
    </row>
    <row r="1250" spans="9:11" x14ac:dyDescent="0.25">
      <c r="I1250" s="150"/>
      <c r="J1250" s="4"/>
      <c r="K1250"/>
    </row>
    <row r="1251" spans="9:11" x14ac:dyDescent="0.25">
      <c r="I1251" s="150"/>
      <c r="J1251" s="4"/>
      <c r="K1251"/>
    </row>
    <row r="1252" spans="9:11" x14ac:dyDescent="0.25">
      <c r="I1252" s="150"/>
      <c r="J1252" s="4"/>
      <c r="K1252"/>
    </row>
    <row r="1253" spans="9:11" x14ac:dyDescent="0.25">
      <c r="I1253" s="150"/>
      <c r="J1253" s="4"/>
      <c r="K1253"/>
    </row>
    <row r="1254" spans="9:11" x14ac:dyDescent="0.25">
      <c r="I1254" s="150"/>
      <c r="J1254" s="4"/>
      <c r="K1254"/>
    </row>
    <row r="1255" spans="9:11" x14ac:dyDescent="0.25">
      <c r="I1255" s="150"/>
      <c r="J1255" s="4"/>
      <c r="K1255"/>
    </row>
    <row r="1256" spans="9:11" x14ac:dyDescent="0.25">
      <c r="I1256" s="150"/>
      <c r="J1256" s="4"/>
      <c r="K1256"/>
    </row>
    <row r="1257" spans="9:11" x14ac:dyDescent="0.25">
      <c r="I1257" s="150"/>
      <c r="J1257" s="4"/>
      <c r="K1257"/>
    </row>
    <row r="1258" spans="9:11" x14ac:dyDescent="0.25">
      <c r="I1258" s="150"/>
      <c r="J1258" s="4"/>
      <c r="K1258"/>
    </row>
    <row r="1259" spans="9:11" x14ac:dyDescent="0.25">
      <c r="I1259" s="150"/>
      <c r="J1259" s="4"/>
      <c r="K1259"/>
    </row>
    <row r="1260" spans="9:11" x14ac:dyDescent="0.25">
      <c r="I1260" s="150"/>
      <c r="J1260" s="4"/>
      <c r="K1260"/>
    </row>
    <row r="1261" spans="9:11" x14ac:dyDescent="0.25">
      <c r="I1261" s="150"/>
      <c r="J1261" s="4"/>
      <c r="K1261"/>
    </row>
    <row r="1262" spans="9:11" x14ac:dyDescent="0.25">
      <c r="I1262" s="150"/>
      <c r="J1262" s="4"/>
      <c r="K1262"/>
    </row>
    <row r="1263" spans="9:11" x14ac:dyDescent="0.25">
      <c r="I1263" s="150"/>
      <c r="J1263" s="4"/>
      <c r="K1263"/>
    </row>
    <row r="1264" spans="9:11" x14ac:dyDescent="0.25">
      <c r="I1264" s="150"/>
      <c r="J1264" s="4"/>
      <c r="K1264"/>
    </row>
    <row r="1265" spans="9:11" x14ac:dyDescent="0.25">
      <c r="I1265" s="150"/>
      <c r="J1265" s="4"/>
      <c r="K1265"/>
    </row>
    <row r="1266" spans="9:11" x14ac:dyDescent="0.25">
      <c r="I1266" s="150"/>
      <c r="J1266" s="4"/>
      <c r="K1266"/>
    </row>
    <row r="1267" spans="9:11" x14ac:dyDescent="0.25">
      <c r="I1267" s="150"/>
      <c r="J1267" s="4"/>
      <c r="K1267"/>
    </row>
    <row r="1268" spans="9:11" x14ac:dyDescent="0.25">
      <c r="I1268" s="150"/>
      <c r="J1268" s="4"/>
      <c r="K1268"/>
    </row>
    <row r="1269" spans="9:11" x14ac:dyDescent="0.25">
      <c r="I1269" s="150"/>
      <c r="J1269" s="4"/>
      <c r="K1269"/>
    </row>
    <row r="1270" spans="9:11" x14ac:dyDescent="0.25">
      <c r="I1270" s="150"/>
      <c r="J1270" s="4"/>
      <c r="K1270"/>
    </row>
    <row r="1271" spans="9:11" x14ac:dyDescent="0.25">
      <c r="I1271" s="150"/>
      <c r="J1271" s="4"/>
      <c r="K1271"/>
    </row>
    <row r="1272" spans="9:11" x14ac:dyDescent="0.25">
      <c r="I1272" s="150"/>
      <c r="J1272" s="4"/>
      <c r="K1272"/>
    </row>
    <row r="1273" spans="9:11" x14ac:dyDescent="0.25">
      <c r="I1273" s="150"/>
      <c r="J1273" s="4"/>
      <c r="K1273"/>
    </row>
    <row r="1274" spans="9:11" x14ac:dyDescent="0.25">
      <c r="I1274" s="150"/>
      <c r="J1274" s="4"/>
      <c r="K1274"/>
    </row>
    <row r="1275" spans="9:11" x14ac:dyDescent="0.25">
      <c r="I1275" s="150"/>
      <c r="J1275" s="4"/>
      <c r="K1275"/>
    </row>
    <row r="1276" spans="9:11" x14ac:dyDescent="0.25">
      <c r="I1276" s="150"/>
      <c r="J1276" s="4"/>
      <c r="K1276"/>
    </row>
    <row r="1277" spans="9:11" x14ac:dyDescent="0.25">
      <c r="I1277" s="150"/>
      <c r="J1277" s="4"/>
      <c r="K1277"/>
    </row>
    <row r="1278" spans="9:11" x14ac:dyDescent="0.25">
      <c r="I1278" s="150"/>
      <c r="J1278" s="4"/>
      <c r="K1278"/>
    </row>
    <row r="1279" spans="9:11" x14ac:dyDescent="0.25">
      <c r="I1279" s="150"/>
      <c r="J1279" s="4"/>
      <c r="K1279"/>
    </row>
    <row r="1280" spans="9:11" x14ac:dyDescent="0.25">
      <c r="I1280" s="150"/>
      <c r="J1280" s="4"/>
      <c r="K1280"/>
    </row>
    <row r="1281" spans="9:11" x14ac:dyDescent="0.25">
      <c r="I1281" s="150"/>
      <c r="J1281" s="4"/>
      <c r="K1281"/>
    </row>
    <row r="1282" spans="9:11" x14ac:dyDescent="0.25">
      <c r="I1282" s="150"/>
      <c r="J1282" s="4"/>
      <c r="K1282"/>
    </row>
    <row r="1283" spans="9:11" x14ac:dyDescent="0.25">
      <c r="I1283" s="150"/>
      <c r="J1283" s="4"/>
      <c r="K1283"/>
    </row>
    <row r="1284" spans="9:11" x14ac:dyDescent="0.25">
      <c r="I1284" s="150"/>
      <c r="J1284" s="4"/>
      <c r="K1284"/>
    </row>
    <row r="1285" spans="9:11" x14ac:dyDescent="0.25">
      <c r="I1285" s="150"/>
      <c r="J1285" s="4"/>
      <c r="K1285"/>
    </row>
    <row r="1286" spans="9:11" x14ac:dyDescent="0.25">
      <c r="I1286" s="150"/>
      <c r="J1286" s="4"/>
      <c r="K1286"/>
    </row>
    <row r="1287" spans="9:11" x14ac:dyDescent="0.25">
      <c r="I1287" s="150"/>
      <c r="J1287" s="4"/>
      <c r="K1287"/>
    </row>
    <row r="1288" spans="9:11" x14ac:dyDescent="0.25">
      <c r="I1288" s="150"/>
      <c r="J1288" s="4"/>
      <c r="K1288"/>
    </row>
    <row r="1289" spans="9:11" x14ac:dyDescent="0.25">
      <c r="I1289" s="150"/>
      <c r="J1289" s="4"/>
      <c r="K1289"/>
    </row>
    <row r="1290" spans="9:11" x14ac:dyDescent="0.25">
      <c r="I1290" s="150"/>
      <c r="J1290" s="4"/>
      <c r="K1290"/>
    </row>
    <row r="1291" spans="9:11" x14ac:dyDescent="0.25">
      <c r="I1291" s="150"/>
      <c r="J1291" s="4"/>
      <c r="K1291"/>
    </row>
    <row r="1292" spans="9:11" x14ac:dyDescent="0.25">
      <c r="I1292" s="150"/>
      <c r="J1292" s="4"/>
      <c r="K1292"/>
    </row>
    <row r="1293" spans="9:11" x14ac:dyDescent="0.25">
      <c r="I1293" s="150"/>
      <c r="J1293" s="4"/>
      <c r="K1293"/>
    </row>
    <row r="1294" spans="9:11" x14ac:dyDescent="0.25">
      <c r="I1294" s="150"/>
      <c r="J1294" s="4"/>
      <c r="K1294"/>
    </row>
    <row r="1295" spans="9:11" x14ac:dyDescent="0.25">
      <c r="I1295" s="150"/>
      <c r="J1295" s="4"/>
      <c r="K1295"/>
    </row>
    <row r="1296" spans="9:11" x14ac:dyDescent="0.25">
      <c r="I1296" s="150"/>
      <c r="J1296" s="4"/>
      <c r="K1296"/>
    </row>
    <row r="1297" spans="9:11" x14ac:dyDescent="0.25">
      <c r="I1297" s="150"/>
      <c r="J1297" s="4"/>
      <c r="K1297"/>
    </row>
    <row r="1298" spans="9:11" x14ac:dyDescent="0.25">
      <c r="I1298" s="150"/>
      <c r="J1298" s="4"/>
      <c r="K1298"/>
    </row>
    <row r="1299" spans="9:11" x14ac:dyDescent="0.25">
      <c r="I1299" s="150"/>
      <c r="J1299" s="4"/>
      <c r="K1299"/>
    </row>
    <row r="1300" spans="9:11" x14ac:dyDescent="0.25">
      <c r="I1300" s="150"/>
      <c r="J1300" s="4"/>
      <c r="K1300"/>
    </row>
    <row r="1301" spans="9:11" x14ac:dyDescent="0.25">
      <c r="I1301" s="150"/>
      <c r="J1301" s="4"/>
      <c r="K1301"/>
    </row>
    <row r="1302" spans="9:11" x14ac:dyDescent="0.25">
      <c r="I1302" s="150"/>
      <c r="J1302" s="4"/>
      <c r="K1302"/>
    </row>
    <row r="1303" spans="9:11" x14ac:dyDescent="0.25">
      <c r="I1303" s="150"/>
      <c r="J1303" s="4"/>
      <c r="K1303"/>
    </row>
    <row r="1304" spans="9:11" x14ac:dyDescent="0.25">
      <c r="I1304" s="150"/>
      <c r="J1304" s="4"/>
      <c r="K1304"/>
    </row>
    <row r="1305" spans="9:11" x14ac:dyDescent="0.25">
      <c r="I1305" s="150"/>
      <c r="J1305" s="4"/>
      <c r="K1305"/>
    </row>
    <row r="1306" spans="9:11" x14ac:dyDescent="0.25">
      <c r="I1306" s="150"/>
      <c r="J1306" s="4"/>
      <c r="K1306"/>
    </row>
    <row r="1307" spans="9:11" x14ac:dyDescent="0.25">
      <c r="I1307" s="150"/>
      <c r="J1307" s="4"/>
      <c r="K1307"/>
    </row>
    <row r="1308" spans="9:11" x14ac:dyDescent="0.25">
      <c r="I1308" s="150"/>
      <c r="J1308" s="4"/>
      <c r="K1308"/>
    </row>
    <row r="1309" spans="9:11" x14ac:dyDescent="0.25">
      <c r="I1309" s="150"/>
      <c r="J1309" s="4"/>
      <c r="K1309"/>
    </row>
    <row r="1310" spans="9:11" x14ac:dyDescent="0.25">
      <c r="I1310" s="150"/>
      <c r="J1310" s="4"/>
      <c r="K1310"/>
    </row>
    <row r="1311" spans="9:11" x14ac:dyDescent="0.25">
      <c r="I1311" s="150"/>
      <c r="J1311" s="4"/>
      <c r="K1311"/>
    </row>
    <row r="1312" spans="9:11" x14ac:dyDescent="0.25">
      <c r="I1312" s="150"/>
      <c r="J1312" s="4"/>
      <c r="K1312"/>
    </row>
    <row r="1313" spans="9:11" x14ac:dyDescent="0.25">
      <c r="I1313" s="150"/>
      <c r="J1313" s="4"/>
      <c r="K1313"/>
    </row>
    <row r="1314" spans="9:11" x14ac:dyDescent="0.25">
      <c r="I1314" s="150"/>
      <c r="J1314" s="4"/>
      <c r="K1314"/>
    </row>
    <row r="1315" spans="9:11" x14ac:dyDescent="0.25">
      <c r="I1315" s="150"/>
      <c r="J1315" s="4"/>
      <c r="K1315"/>
    </row>
    <row r="1316" spans="9:11" x14ac:dyDescent="0.25">
      <c r="I1316" s="150"/>
      <c r="J1316" s="4"/>
      <c r="K1316"/>
    </row>
    <row r="1317" spans="9:11" x14ac:dyDescent="0.25">
      <c r="I1317" s="150"/>
      <c r="J1317" s="4"/>
      <c r="K1317"/>
    </row>
    <row r="1318" spans="9:11" x14ac:dyDescent="0.25">
      <c r="I1318" s="150"/>
      <c r="J1318" s="4"/>
      <c r="K1318"/>
    </row>
    <row r="1319" spans="9:11" x14ac:dyDescent="0.25">
      <c r="I1319" s="150"/>
      <c r="J1319" s="4"/>
      <c r="K1319"/>
    </row>
    <row r="1320" spans="9:11" x14ac:dyDescent="0.25">
      <c r="I1320" s="150"/>
      <c r="J1320" s="4"/>
      <c r="K1320"/>
    </row>
    <row r="1321" spans="9:11" x14ac:dyDescent="0.25">
      <c r="I1321" s="150"/>
      <c r="J1321" s="4"/>
      <c r="K1321"/>
    </row>
    <row r="1322" spans="9:11" x14ac:dyDescent="0.25">
      <c r="I1322" s="150"/>
      <c r="J1322" s="4"/>
      <c r="K1322"/>
    </row>
    <row r="1323" spans="9:11" x14ac:dyDescent="0.25">
      <c r="I1323" s="150"/>
      <c r="J1323" s="4"/>
      <c r="K1323"/>
    </row>
    <row r="1324" spans="9:11" x14ac:dyDescent="0.25">
      <c r="I1324" s="150"/>
      <c r="J1324" s="4"/>
      <c r="K1324"/>
    </row>
    <row r="1325" spans="9:11" x14ac:dyDescent="0.25">
      <c r="I1325" s="150"/>
      <c r="J1325" s="4"/>
      <c r="K1325"/>
    </row>
    <row r="1326" spans="9:11" x14ac:dyDescent="0.25">
      <c r="I1326" s="150"/>
      <c r="J1326" s="4"/>
      <c r="K1326"/>
    </row>
    <row r="1327" spans="9:11" x14ac:dyDescent="0.25">
      <c r="I1327" s="150"/>
      <c r="J1327" s="4"/>
      <c r="K1327"/>
    </row>
    <row r="1328" spans="9:11" x14ac:dyDescent="0.25">
      <c r="I1328" s="150"/>
      <c r="J1328" s="4"/>
      <c r="K1328"/>
    </row>
    <row r="1329" spans="9:11" x14ac:dyDescent="0.25">
      <c r="I1329" s="150"/>
      <c r="J1329" s="4"/>
      <c r="K1329"/>
    </row>
    <row r="1330" spans="9:11" x14ac:dyDescent="0.25">
      <c r="I1330" s="150"/>
      <c r="J1330" s="4"/>
      <c r="K1330"/>
    </row>
    <row r="1331" spans="9:11" x14ac:dyDescent="0.25">
      <c r="I1331" s="150"/>
      <c r="J1331" s="4"/>
      <c r="K1331"/>
    </row>
    <row r="1332" spans="9:11" x14ac:dyDescent="0.25">
      <c r="I1332" s="150"/>
      <c r="J1332" s="4"/>
      <c r="K1332"/>
    </row>
    <row r="1333" spans="9:11" x14ac:dyDescent="0.25">
      <c r="I1333" s="150"/>
      <c r="J1333" s="4"/>
      <c r="K1333"/>
    </row>
    <row r="1334" spans="9:11" x14ac:dyDescent="0.25">
      <c r="I1334" s="150"/>
      <c r="J1334" s="4"/>
      <c r="K1334"/>
    </row>
    <row r="1335" spans="9:11" x14ac:dyDescent="0.25">
      <c r="I1335" s="150"/>
      <c r="J1335" s="4"/>
      <c r="K1335"/>
    </row>
    <row r="1336" spans="9:11" x14ac:dyDescent="0.25">
      <c r="I1336" s="150"/>
      <c r="J1336" s="4"/>
      <c r="K1336"/>
    </row>
    <row r="1337" spans="9:11" x14ac:dyDescent="0.25">
      <c r="I1337" s="150"/>
      <c r="J1337" s="4"/>
      <c r="K1337"/>
    </row>
    <row r="1338" spans="9:11" x14ac:dyDescent="0.25">
      <c r="I1338" s="150"/>
      <c r="J1338" s="4"/>
      <c r="K1338"/>
    </row>
    <row r="1339" spans="9:11" x14ac:dyDescent="0.25">
      <c r="I1339" s="150"/>
      <c r="J1339" s="4"/>
      <c r="K1339"/>
    </row>
    <row r="1340" spans="9:11" x14ac:dyDescent="0.25">
      <c r="I1340" s="150"/>
      <c r="J1340" s="4"/>
      <c r="K1340"/>
    </row>
    <row r="1341" spans="9:11" x14ac:dyDescent="0.25">
      <c r="I1341" s="150"/>
      <c r="J1341" s="4"/>
      <c r="K1341"/>
    </row>
    <row r="1342" spans="9:11" x14ac:dyDescent="0.25">
      <c r="I1342" s="150"/>
      <c r="J1342" s="4"/>
      <c r="K1342"/>
    </row>
    <row r="1343" spans="9:11" x14ac:dyDescent="0.25">
      <c r="I1343" s="150"/>
      <c r="J1343" s="4"/>
      <c r="K1343"/>
    </row>
    <row r="1344" spans="9:11" x14ac:dyDescent="0.25">
      <c r="I1344" s="150"/>
      <c r="J1344" s="4"/>
      <c r="K1344"/>
    </row>
    <row r="1345" spans="9:11" x14ac:dyDescent="0.25">
      <c r="I1345" s="150"/>
      <c r="J1345" s="4"/>
      <c r="K1345"/>
    </row>
    <row r="1346" spans="9:11" x14ac:dyDescent="0.25">
      <c r="I1346" s="150"/>
      <c r="J1346" s="4"/>
      <c r="K1346"/>
    </row>
    <row r="1347" spans="9:11" x14ac:dyDescent="0.25">
      <c r="I1347" s="150"/>
      <c r="J1347" s="4"/>
      <c r="K1347"/>
    </row>
    <row r="1348" spans="9:11" x14ac:dyDescent="0.25">
      <c r="I1348" s="150"/>
      <c r="J1348" s="4"/>
      <c r="K1348"/>
    </row>
    <row r="1349" spans="9:11" x14ac:dyDescent="0.25">
      <c r="I1349" s="150"/>
      <c r="J1349" s="4"/>
      <c r="K1349"/>
    </row>
    <row r="1350" spans="9:11" x14ac:dyDescent="0.25">
      <c r="I1350" s="150"/>
      <c r="J1350" s="4"/>
      <c r="K1350"/>
    </row>
    <row r="1351" spans="9:11" x14ac:dyDescent="0.25">
      <c r="I1351" s="150"/>
      <c r="J1351" s="4"/>
      <c r="K1351"/>
    </row>
    <row r="1352" spans="9:11" x14ac:dyDescent="0.25">
      <c r="I1352" s="150"/>
      <c r="J1352" s="4"/>
      <c r="K1352"/>
    </row>
    <row r="1353" spans="9:11" x14ac:dyDescent="0.25">
      <c r="I1353" s="150"/>
      <c r="J1353" s="4"/>
      <c r="K1353"/>
    </row>
    <row r="1354" spans="9:11" x14ac:dyDescent="0.25">
      <c r="I1354" s="150"/>
      <c r="J1354" s="4"/>
      <c r="K1354"/>
    </row>
    <row r="1355" spans="9:11" x14ac:dyDescent="0.25">
      <c r="I1355" s="150"/>
      <c r="J1355" s="4"/>
      <c r="K1355"/>
    </row>
    <row r="1356" spans="9:11" x14ac:dyDescent="0.25">
      <c r="I1356" s="150"/>
      <c r="J1356" s="4"/>
      <c r="K1356"/>
    </row>
    <row r="1357" spans="9:11" x14ac:dyDescent="0.25">
      <c r="I1357" s="150"/>
      <c r="J1357" s="4"/>
      <c r="K1357"/>
    </row>
    <row r="1358" spans="9:11" x14ac:dyDescent="0.25">
      <c r="I1358" s="150"/>
      <c r="J1358" s="4"/>
      <c r="K1358"/>
    </row>
    <row r="1359" spans="9:11" x14ac:dyDescent="0.25">
      <c r="I1359" s="150"/>
      <c r="J1359" s="4"/>
      <c r="K1359"/>
    </row>
    <row r="1360" spans="9:11" x14ac:dyDescent="0.25">
      <c r="I1360" s="150"/>
      <c r="J1360" s="4"/>
      <c r="K1360"/>
    </row>
    <row r="1361" spans="9:11" x14ac:dyDescent="0.25">
      <c r="I1361" s="150"/>
      <c r="J1361" s="4"/>
      <c r="K1361"/>
    </row>
    <row r="1362" spans="9:11" x14ac:dyDescent="0.25">
      <c r="I1362" s="150"/>
      <c r="J1362" s="4"/>
      <c r="K1362"/>
    </row>
    <row r="1363" spans="9:11" x14ac:dyDescent="0.25">
      <c r="I1363" s="150"/>
      <c r="J1363" s="4"/>
      <c r="K1363"/>
    </row>
    <row r="1364" spans="9:11" x14ac:dyDescent="0.25">
      <c r="I1364" s="150"/>
      <c r="J1364" s="4"/>
      <c r="K1364"/>
    </row>
    <row r="1365" spans="9:11" x14ac:dyDescent="0.25">
      <c r="I1365" s="150"/>
      <c r="J1365" s="4"/>
      <c r="K1365"/>
    </row>
    <row r="1366" spans="9:11" x14ac:dyDescent="0.25">
      <c r="I1366" s="150"/>
      <c r="J1366" s="4"/>
      <c r="K1366"/>
    </row>
    <row r="1367" spans="9:11" x14ac:dyDescent="0.25">
      <c r="I1367" s="150"/>
      <c r="J1367" s="4"/>
      <c r="K1367"/>
    </row>
    <row r="1368" spans="9:11" x14ac:dyDescent="0.25">
      <c r="I1368" s="150"/>
      <c r="J1368" s="4"/>
      <c r="K1368"/>
    </row>
    <row r="1369" spans="9:11" x14ac:dyDescent="0.25">
      <c r="I1369" s="150"/>
      <c r="J1369" s="4"/>
      <c r="K1369"/>
    </row>
    <row r="1370" spans="9:11" x14ac:dyDescent="0.25">
      <c r="I1370" s="150"/>
      <c r="J1370" s="4"/>
      <c r="K1370"/>
    </row>
    <row r="1371" spans="9:11" x14ac:dyDescent="0.25">
      <c r="I1371" s="150"/>
      <c r="J1371" s="4"/>
      <c r="K1371"/>
    </row>
    <row r="1372" spans="9:11" x14ac:dyDescent="0.25">
      <c r="I1372" s="150"/>
      <c r="J1372" s="4"/>
      <c r="K1372"/>
    </row>
    <row r="1373" spans="9:11" x14ac:dyDescent="0.25">
      <c r="I1373" s="150"/>
      <c r="J1373" s="4"/>
      <c r="K1373"/>
    </row>
    <row r="1374" spans="9:11" x14ac:dyDescent="0.25">
      <c r="I1374" s="150"/>
      <c r="J1374" s="4"/>
      <c r="K1374"/>
    </row>
    <row r="1375" spans="9:11" x14ac:dyDescent="0.25">
      <c r="I1375" s="150"/>
      <c r="J1375" s="4"/>
      <c r="K1375"/>
    </row>
    <row r="1376" spans="9:11" x14ac:dyDescent="0.25">
      <c r="I1376" s="150"/>
      <c r="J1376" s="4"/>
      <c r="K1376"/>
    </row>
    <row r="1377" spans="9:11" x14ac:dyDescent="0.25">
      <c r="I1377" s="150"/>
      <c r="J1377" s="4"/>
      <c r="K1377"/>
    </row>
    <row r="1378" spans="9:11" x14ac:dyDescent="0.25">
      <c r="I1378" s="150"/>
      <c r="J1378" s="4"/>
      <c r="K1378"/>
    </row>
    <row r="1379" spans="9:11" x14ac:dyDescent="0.25">
      <c r="I1379" s="150"/>
      <c r="J1379" s="4"/>
      <c r="K1379"/>
    </row>
    <row r="1380" spans="9:11" x14ac:dyDescent="0.25">
      <c r="I1380" s="150"/>
      <c r="J1380" s="4"/>
      <c r="K1380"/>
    </row>
    <row r="1381" spans="9:11" x14ac:dyDescent="0.25">
      <c r="I1381" s="150"/>
      <c r="J1381" s="4"/>
      <c r="K1381"/>
    </row>
    <row r="1382" spans="9:11" x14ac:dyDescent="0.25">
      <c r="I1382" s="150"/>
      <c r="J1382" s="4"/>
      <c r="K1382"/>
    </row>
    <row r="1383" spans="9:11" x14ac:dyDescent="0.25">
      <c r="I1383" s="150"/>
      <c r="J1383" s="4"/>
      <c r="K1383"/>
    </row>
    <row r="1384" spans="9:11" x14ac:dyDescent="0.25">
      <c r="I1384" s="150"/>
      <c r="J1384" s="4"/>
      <c r="K1384"/>
    </row>
    <row r="1385" spans="9:11" x14ac:dyDescent="0.25">
      <c r="I1385" s="150"/>
      <c r="J1385" s="4"/>
      <c r="K1385"/>
    </row>
    <row r="1386" spans="9:11" x14ac:dyDescent="0.25">
      <c r="I1386" s="150"/>
      <c r="J1386" s="4"/>
      <c r="K1386"/>
    </row>
    <row r="1387" spans="9:11" x14ac:dyDescent="0.25">
      <c r="I1387" s="150"/>
      <c r="J1387" s="4"/>
      <c r="K1387"/>
    </row>
    <row r="1388" spans="9:11" x14ac:dyDescent="0.25">
      <c r="I1388" s="150"/>
      <c r="J1388" s="4"/>
      <c r="K1388"/>
    </row>
    <row r="1389" spans="9:11" x14ac:dyDescent="0.25">
      <c r="I1389" s="150"/>
      <c r="J1389" s="4"/>
      <c r="K1389"/>
    </row>
    <row r="1390" spans="9:11" x14ac:dyDescent="0.25">
      <c r="I1390" s="150"/>
      <c r="J1390" s="4"/>
      <c r="K1390"/>
    </row>
    <row r="1391" spans="9:11" x14ac:dyDescent="0.25">
      <c r="I1391" s="150"/>
      <c r="J1391" s="4"/>
      <c r="K1391"/>
    </row>
    <row r="1392" spans="9:11" x14ac:dyDescent="0.25">
      <c r="I1392" s="150"/>
      <c r="J1392" s="4"/>
      <c r="K1392"/>
    </row>
    <row r="1393" spans="9:11" x14ac:dyDescent="0.25">
      <c r="I1393" s="150"/>
      <c r="J1393" s="4"/>
      <c r="K1393"/>
    </row>
    <row r="1394" spans="9:11" x14ac:dyDescent="0.25">
      <c r="I1394" s="150"/>
      <c r="J1394" s="4"/>
      <c r="K1394"/>
    </row>
    <row r="1395" spans="9:11" x14ac:dyDescent="0.25">
      <c r="I1395" s="150"/>
      <c r="J1395" s="4"/>
      <c r="K1395"/>
    </row>
    <row r="1396" spans="9:11" x14ac:dyDescent="0.25">
      <c r="I1396" s="150"/>
      <c r="J1396" s="4"/>
      <c r="K1396"/>
    </row>
    <row r="1397" spans="9:11" x14ac:dyDescent="0.25">
      <c r="I1397" s="150"/>
      <c r="J1397" s="4"/>
      <c r="K1397"/>
    </row>
    <row r="1398" spans="9:11" x14ac:dyDescent="0.25">
      <c r="I1398" s="150"/>
      <c r="J1398" s="4"/>
      <c r="K1398"/>
    </row>
    <row r="1399" spans="9:11" x14ac:dyDescent="0.25">
      <c r="I1399" s="150"/>
      <c r="J1399" s="4"/>
      <c r="K1399"/>
    </row>
    <row r="1400" spans="9:11" x14ac:dyDescent="0.25">
      <c r="I1400" s="150"/>
      <c r="J1400" s="4"/>
      <c r="K1400"/>
    </row>
    <row r="1401" spans="9:11" x14ac:dyDescent="0.25">
      <c r="I1401" s="150"/>
      <c r="J1401" s="4"/>
      <c r="K1401"/>
    </row>
    <row r="1402" spans="9:11" x14ac:dyDescent="0.25">
      <c r="I1402" s="150"/>
      <c r="J1402" s="4"/>
      <c r="K1402"/>
    </row>
    <row r="1403" spans="9:11" x14ac:dyDescent="0.25">
      <c r="I1403" s="150"/>
      <c r="J1403" s="4"/>
      <c r="K1403"/>
    </row>
    <row r="1404" spans="9:11" x14ac:dyDescent="0.25">
      <c r="I1404" s="150"/>
      <c r="J1404" s="4"/>
      <c r="K1404"/>
    </row>
    <row r="1405" spans="9:11" x14ac:dyDescent="0.25">
      <c r="I1405" s="150"/>
      <c r="J1405" s="4"/>
      <c r="K1405"/>
    </row>
    <row r="1406" spans="9:11" x14ac:dyDescent="0.25">
      <c r="I1406" s="150"/>
      <c r="J1406" s="4"/>
      <c r="K1406"/>
    </row>
    <row r="1407" spans="9:11" x14ac:dyDescent="0.25">
      <c r="I1407" s="150"/>
      <c r="J1407" s="4"/>
      <c r="K1407"/>
    </row>
    <row r="1408" spans="9:11" x14ac:dyDescent="0.25">
      <c r="I1408" s="150"/>
      <c r="J1408" s="4"/>
      <c r="K1408"/>
    </row>
    <row r="1409" spans="9:11" x14ac:dyDescent="0.25">
      <c r="I1409" s="150"/>
      <c r="J1409" s="4"/>
      <c r="K1409"/>
    </row>
    <row r="1410" spans="9:11" x14ac:dyDescent="0.25">
      <c r="I1410" s="150"/>
      <c r="J1410" s="4"/>
      <c r="K1410"/>
    </row>
    <row r="1411" spans="9:11" x14ac:dyDescent="0.25">
      <c r="I1411" s="150"/>
      <c r="J1411" s="4"/>
      <c r="K1411"/>
    </row>
    <row r="1412" spans="9:11" x14ac:dyDescent="0.25">
      <c r="I1412" s="150"/>
      <c r="J1412" s="4"/>
      <c r="K1412"/>
    </row>
    <row r="1413" spans="9:11" x14ac:dyDescent="0.25">
      <c r="I1413" s="150"/>
      <c r="J1413" s="4"/>
      <c r="K1413"/>
    </row>
    <row r="1414" spans="9:11" x14ac:dyDescent="0.25">
      <c r="I1414" s="150"/>
      <c r="J1414" s="4"/>
      <c r="K1414"/>
    </row>
    <row r="1415" spans="9:11" x14ac:dyDescent="0.25">
      <c r="I1415" s="150"/>
      <c r="J1415" s="4"/>
      <c r="K1415"/>
    </row>
    <row r="1416" spans="9:11" x14ac:dyDescent="0.25">
      <c r="I1416" s="150"/>
      <c r="J1416" s="4"/>
      <c r="K1416"/>
    </row>
    <row r="1417" spans="9:11" x14ac:dyDescent="0.25">
      <c r="I1417" s="150"/>
      <c r="J1417" s="4"/>
      <c r="K1417"/>
    </row>
    <row r="1418" spans="9:11" x14ac:dyDescent="0.25">
      <c r="I1418" s="150"/>
      <c r="J1418" s="4"/>
      <c r="K1418"/>
    </row>
    <row r="1419" spans="9:11" x14ac:dyDescent="0.25">
      <c r="I1419" s="150"/>
      <c r="J1419" s="4"/>
      <c r="K1419"/>
    </row>
    <row r="1420" spans="9:11" x14ac:dyDescent="0.25">
      <c r="I1420" s="150"/>
      <c r="J1420" s="4"/>
      <c r="K1420"/>
    </row>
    <row r="1421" spans="9:11" x14ac:dyDescent="0.25">
      <c r="I1421" s="150"/>
      <c r="J1421" s="4"/>
      <c r="K1421"/>
    </row>
    <row r="1422" spans="9:11" x14ac:dyDescent="0.25">
      <c r="I1422" s="150"/>
      <c r="J1422" s="4"/>
      <c r="K1422"/>
    </row>
    <row r="1423" spans="9:11" x14ac:dyDescent="0.25">
      <c r="I1423" s="150"/>
      <c r="J1423" s="4"/>
      <c r="K1423"/>
    </row>
    <row r="1424" spans="9:11" x14ac:dyDescent="0.25">
      <c r="I1424" s="150"/>
      <c r="J1424" s="4"/>
      <c r="K1424"/>
    </row>
    <row r="1425" spans="9:11" x14ac:dyDescent="0.25">
      <c r="I1425" s="150"/>
      <c r="J1425" s="4"/>
      <c r="K1425"/>
    </row>
    <row r="1426" spans="9:11" x14ac:dyDescent="0.25">
      <c r="I1426" s="150"/>
      <c r="J1426" s="4"/>
      <c r="K1426"/>
    </row>
    <row r="1427" spans="9:11" x14ac:dyDescent="0.25">
      <c r="I1427" s="150"/>
      <c r="J1427" s="4"/>
      <c r="K1427"/>
    </row>
    <row r="1428" spans="9:11" x14ac:dyDescent="0.25">
      <c r="I1428" s="150"/>
      <c r="J1428" s="4"/>
      <c r="K1428"/>
    </row>
    <row r="1429" spans="9:11" x14ac:dyDescent="0.25">
      <c r="I1429" s="150"/>
      <c r="J1429" s="4"/>
      <c r="K1429"/>
    </row>
    <row r="1430" spans="9:11" x14ac:dyDescent="0.25">
      <c r="I1430" s="150"/>
      <c r="J1430" s="4"/>
      <c r="K1430"/>
    </row>
    <row r="1431" spans="9:11" x14ac:dyDescent="0.25">
      <c r="I1431" s="150"/>
      <c r="J1431" s="4"/>
      <c r="K1431"/>
    </row>
    <row r="1432" spans="9:11" x14ac:dyDescent="0.25">
      <c r="I1432" s="150"/>
      <c r="J1432" s="4"/>
      <c r="K1432"/>
    </row>
    <row r="1433" spans="9:11" x14ac:dyDescent="0.25">
      <c r="I1433" s="150"/>
      <c r="J1433" s="4"/>
      <c r="K1433"/>
    </row>
    <row r="1434" spans="9:11" x14ac:dyDescent="0.25">
      <c r="I1434" s="150"/>
      <c r="J1434" s="4"/>
      <c r="K1434"/>
    </row>
    <row r="1435" spans="9:11" x14ac:dyDescent="0.25">
      <c r="I1435" s="150"/>
      <c r="J1435" s="4"/>
      <c r="K1435"/>
    </row>
    <row r="1436" spans="9:11" x14ac:dyDescent="0.25">
      <c r="I1436" s="150"/>
      <c r="J1436" s="4"/>
      <c r="K1436"/>
    </row>
    <row r="1437" spans="9:11" x14ac:dyDescent="0.25">
      <c r="I1437" s="150"/>
      <c r="J1437" s="4"/>
      <c r="K1437"/>
    </row>
    <row r="1438" spans="9:11" x14ac:dyDescent="0.25">
      <c r="I1438" s="150"/>
      <c r="J1438" s="4"/>
      <c r="K1438"/>
    </row>
    <row r="1439" spans="9:11" x14ac:dyDescent="0.25">
      <c r="I1439" s="150"/>
      <c r="J1439" s="4"/>
      <c r="K1439"/>
    </row>
    <row r="1440" spans="9:11" x14ac:dyDescent="0.25">
      <c r="I1440" s="150"/>
      <c r="J1440" s="4"/>
      <c r="K1440"/>
    </row>
    <row r="1441" spans="9:11" x14ac:dyDescent="0.25">
      <c r="I1441" s="150"/>
      <c r="J1441" s="4"/>
      <c r="K1441"/>
    </row>
    <row r="1442" spans="9:11" x14ac:dyDescent="0.25">
      <c r="I1442" s="150"/>
      <c r="J1442" s="4"/>
      <c r="K1442"/>
    </row>
    <row r="1443" spans="9:11" x14ac:dyDescent="0.25">
      <c r="I1443" s="150"/>
      <c r="J1443" s="4"/>
      <c r="K1443"/>
    </row>
    <row r="1444" spans="9:11" x14ac:dyDescent="0.25">
      <c r="I1444" s="150"/>
      <c r="J1444" s="4"/>
      <c r="K1444"/>
    </row>
    <row r="1445" spans="9:11" x14ac:dyDescent="0.25">
      <c r="I1445" s="150"/>
      <c r="J1445" s="4"/>
      <c r="K1445"/>
    </row>
    <row r="1446" spans="9:11" x14ac:dyDescent="0.25">
      <c r="I1446" s="150"/>
      <c r="J1446" s="4"/>
      <c r="K1446"/>
    </row>
    <row r="1447" spans="9:11" x14ac:dyDescent="0.25">
      <c r="I1447" s="150"/>
      <c r="J1447" s="4"/>
      <c r="K1447"/>
    </row>
    <row r="1448" spans="9:11" x14ac:dyDescent="0.25">
      <c r="I1448" s="150"/>
      <c r="J1448" s="4"/>
      <c r="K1448"/>
    </row>
    <row r="1449" spans="9:11" x14ac:dyDescent="0.25">
      <c r="I1449" s="150"/>
      <c r="J1449" s="4"/>
      <c r="K1449"/>
    </row>
    <row r="1450" spans="9:11" x14ac:dyDescent="0.25">
      <c r="I1450" s="150"/>
      <c r="J1450" s="4"/>
      <c r="K1450"/>
    </row>
    <row r="1451" spans="9:11" x14ac:dyDescent="0.25">
      <c r="I1451" s="150"/>
      <c r="J1451" s="4"/>
      <c r="K1451"/>
    </row>
    <row r="1452" spans="9:11" x14ac:dyDescent="0.25">
      <c r="I1452" s="150"/>
      <c r="J1452" s="4"/>
      <c r="K1452"/>
    </row>
    <row r="1453" spans="9:11" x14ac:dyDescent="0.25">
      <c r="I1453" s="150"/>
      <c r="J1453" s="4"/>
      <c r="K1453"/>
    </row>
    <row r="1454" spans="9:11" x14ac:dyDescent="0.25">
      <c r="I1454" s="150"/>
      <c r="J1454" s="4"/>
      <c r="K1454"/>
    </row>
    <row r="1455" spans="9:11" x14ac:dyDescent="0.25">
      <c r="I1455" s="150"/>
      <c r="J1455" s="4"/>
      <c r="K1455"/>
    </row>
    <row r="1456" spans="9:11" x14ac:dyDescent="0.25">
      <c r="I1456" s="150"/>
      <c r="J1456" s="4"/>
      <c r="K1456"/>
    </row>
    <row r="1457" spans="9:11" x14ac:dyDescent="0.25">
      <c r="I1457" s="150"/>
      <c r="J1457" s="4"/>
      <c r="K1457"/>
    </row>
    <row r="1458" spans="9:11" x14ac:dyDescent="0.25">
      <c r="I1458" s="150"/>
      <c r="J1458" s="4"/>
      <c r="K1458"/>
    </row>
    <row r="1459" spans="9:11" x14ac:dyDescent="0.25">
      <c r="I1459" s="150"/>
      <c r="J1459" s="4"/>
      <c r="K1459"/>
    </row>
    <row r="1460" spans="9:11" x14ac:dyDescent="0.25">
      <c r="I1460" s="150"/>
      <c r="J1460" s="4"/>
      <c r="K1460"/>
    </row>
    <row r="1461" spans="9:11" x14ac:dyDescent="0.25">
      <c r="I1461" s="150"/>
      <c r="J1461" s="4"/>
      <c r="K1461"/>
    </row>
    <row r="1462" spans="9:11" x14ac:dyDescent="0.25">
      <c r="I1462" s="150"/>
      <c r="J1462" s="4"/>
      <c r="K1462"/>
    </row>
    <row r="1463" spans="9:11" x14ac:dyDescent="0.25">
      <c r="I1463" s="150"/>
      <c r="J1463" s="4"/>
      <c r="K1463"/>
    </row>
    <row r="1464" spans="9:11" x14ac:dyDescent="0.25">
      <c r="I1464" s="150"/>
      <c r="J1464" s="4"/>
      <c r="K1464"/>
    </row>
    <row r="1465" spans="9:11" x14ac:dyDescent="0.25">
      <c r="I1465" s="150"/>
      <c r="J1465" s="4"/>
      <c r="K1465"/>
    </row>
    <row r="1466" spans="9:11" x14ac:dyDescent="0.25">
      <c r="I1466" s="150"/>
      <c r="J1466" s="4"/>
      <c r="K1466"/>
    </row>
    <row r="1467" spans="9:11" x14ac:dyDescent="0.25">
      <c r="I1467" s="150"/>
      <c r="J1467" s="4"/>
      <c r="K1467"/>
    </row>
    <row r="1468" spans="9:11" x14ac:dyDescent="0.25">
      <c r="I1468" s="150"/>
      <c r="J1468" s="4"/>
      <c r="K1468"/>
    </row>
    <row r="1469" spans="9:11" x14ac:dyDescent="0.25">
      <c r="I1469" s="150"/>
      <c r="J1469" s="4"/>
      <c r="K1469"/>
    </row>
    <row r="1470" spans="9:11" x14ac:dyDescent="0.25">
      <c r="I1470" s="150"/>
      <c r="J1470" s="4"/>
      <c r="K1470"/>
    </row>
    <row r="1471" spans="9:11" x14ac:dyDescent="0.25">
      <c r="I1471" s="266"/>
      <c r="J1471" s="4"/>
      <c r="K1471"/>
    </row>
    <row r="1472" spans="9:11" x14ac:dyDescent="0.25">
      <c r="J1472" s="4"/>
      <c r="K1472"/>
    </row>
    <row r="1473" spans="9:11" x14ac:dyDescent="0.25">
      <c r="J1473" s="4"/>
      <c r="K1473"/>
    </row>
    <row r="1474" spans="9:11" x14ac:dyDescent="0.25">
      <c r="J1474" s="4"/>
      <c r="K1474"/>
    </row>
    <row r="1475" spans="9:11" x14ac:dyDescent="0.25">
      <c r="J1475" s="4"/>
      <c r="K1475"/>
    </row>
    <row r="1476" spans="9:11" x14ac:dyDescent="0.25">
      <c r="J1476" s="4"/>
      <c r="K1476"/>
    </row>
    <row r="1477" spans="9:11" x14ac:dyDescent="0.25">
      <c r="I1477" s="266"/>
      <c r="J1477" s="4"/>
      <c r="K1477"/>
    </row>
    <row r="1478" spans="9:11" x14ac:dyDescent="0.25">
      <c r="J1478" s="4"/>
      <c r="K1478"/>
    </row>
    <row r="1479" spans="9:11" x14ac:dyDescent="0.25">
      <c r="J1479" s="4"/>
      <c r="K1479"/>
    </row>
    <row r="1480" spans="9:11" x14ac:dyDescent="0.25">
      <c r="I1480" s="266"/>
      <c r="J1480" s="4"/>
      <c r="K1480"/>
    </row>
    <row r="1481" spans="9:11" x14ac:dyDescent="0.25">
      <c r="J1481" s="4"/>
      <c r="K1481"/>
    </row>
    <row r="1482" spans="9:11" x14ac:dyDescent="0.25">
      <c r="J1482" s="4"/>
      <c r="K1482"/>
    </row>
    <row r="1483" spans="9:11" x14ac:dyDescent="0.25">
      <c r="J1483" s="4"/>
      <c r="K1483"/>
    </row>
    <row r="1484" spans="9:11" x14ac:dyDescent="0.25">
      <c r="J1484" s="4"/>
      <c r="K1484"/>
    </row>
    <row r="1485" spans="9:11" x14ac:dyDescent="0.25">
      <c r="J1485" s="4"/>
      <c r="K1485"/>
    </row>
    <row r="1486" spans="9:11" x14ac:dyDescent="0.25">
      <c r="J1486" s="4"/>
      <c r="K1486"/>
    </row>
    <row r="1487" spans="9:11" x14ac:dyDescent="0.25">
      <c r="J1487" s="4"/>
      <c r="K1487"/>
    </row>
    <row r="1488" spans="9:11" x14ac:dyDescent="0.25">
      <c r="J1488" s="4"/>
      <c r="K1488"/>
    </row>
    <row r="1489" spans="5:11" x14ac:dyDescent="0.25">
      <c r="J1489" s="4"/>
      <c r="K1489"/>
    </row>
    <row r="1490" spans="5:11" x14ac:dyDescent="0.25">
      <c r="J1490" s="4"/>
      <c r="K1490"/>
    </row>
    <row r="1491" spans="5:11" x14ac:dyDescent="0.25">
      <c r="J1491" s="4"/>
      <c r="K1491"/>
    </row>
    <row r="1492" spans="5:11" x14ac:dyDescent="0.25">
      <c r="I1492" s="266"/>
      <c r="J1492" s="4"/>
      <c r="K1492"/>
    </row>
    <row r="1493" spans="5:11" x14ac:dyDescent="0.25">
      <c r="J1493" s="4"/>
      <c r="K1493"/>
    </row>
    <row r="1494" spans="5:11" x14ac:dyDescent="0.25">
      <c r="E1494" s="229"/>
      <c r="J1494" s="4"/>
      <c r="K1494"/>
    </row>
    <row r="1495" spans="5:11" x14ac:dyDescent="0.25">
      <c r="E1495" s="229"/>
      <c r="J1495" s="4"/>
      <c r="K1495"/>
    </row>
    <row r="1496" spans="5:11" x14ac:dyDescent="0.25">
      <c r="E1496" s="229"/>
      <c r="J1496" s="4"/>
      <c r="K1496"/>
    </row>
    <row r="1497" spans="5:11" x14ac:dyDescent="0.25">
      <c r="E1497" s="229"/>
      <c r="J1497" s="4"/>
      <c r="K1497"/>
    </row>
    <row r="1498" spans="5:11" x14ac:dyDescent="0.25">
      <c r="E1498" s="229"/>
      <c r="J1498" s="4"/>
      <c r="K1498"/>
    </row>
    <row r="1499" spans="5:11" x14ac:dyDescent="0.25">
      <c r="E1499" s="229"/>
      <c r="J1499" s="4"/>
      <c r="K1499"/>
    </row>
    <row r="1500" spans="5:11" x14ac:dyDescent="0.25">
      <c r="E1500" s="229"/>
      <c r="J1500" s="4"/>
      <c r="K1500"/>
    </row>
    <row r="1501" spans="5:11" x14ac:dyDescent="0.25">
      <c r="E1501" s="229"/>
      <c r="J1501" s="4"/>
      <c r="K1501"/>
    </row>
    <row r="1502" spans="5:11" x14ac:dyDescent="0.25">
      <c r="I1502" s="266"/>
      <c r="J1502" s="4"/>
      <c r="K1502"/>
    </row>
    <row r="1503" spans="5:11" x14ac:dyDescent="0.25">
      <c r="J1503" s="4"/>
      <c r="K1503"/>
    </row>
    <row r="1504" spans="5:11" x14ac:dyDescent="0.25">
      <c r="J1504" s="4"/>
      <c r="K1504"/>
    </row>
    <row r="1505" spans="10:11" x14ac:dyDescent="0.25">
      <c r="J1505" s="4"/>
      <c r="K1505"/>
    </row>
    <row r="1506" spans="10:11" x14ac:dyDescent="0.25">
      <c r="J1506" s="4"/>
      <c r="K1506"/>
    </row>
    <row r="1507" spans="10:11" x14ac:dyDescent="0.25">
      <c r="J1507" s="4"/>
      <c r="K1507"/>
    </row>
    <row r="1508" spans="10:11" x14ac:dyDescent="0.25">
      <c r="J1508" s="4"/>
      <c r="K1508"/>
    </row>
    <row r="1509" spans="10:11" x14ac:dyDescent="0.25">
      <c r="J1509" s="4"/>
      <c r="K1509"/>
    </row>
    <row r="1510" spans="10:11" x14ac:dyDescent="0.25">
      <c r="J1510" s="4"/>
      <c r="K1510"/>
    </row>
    <row r="1511" spans="10:11" x14ac:dyDescent="0.25">
      <c r="J1511" s="4"/>
      <c r="K1511"/>
    </row>
    <row r="1512" spans="10:11" x14ac:dyDescent="0.25">
      <c r="J1512" s="4"/>
      <c r="K1512"/>
    </row>
    <row r="1513" spans="10:11" x14ac:dyDescent="0.25">
      <c r="J1513" s="4"/>
      <c r="K1513"/>
    </row>
    <row r="1514" spans="10:11" x14ac:dyDescent="0.25">
      <c r="J1514" s="4"/>
      <c r="K1514"/>
    </row>
    <row r="1515" spans="10:11" x14ac:dyDescent="0.25">
      <c r="J1515" s="4"/>
      <c r="K1515"/>
    </row>
    <row r="1516" spans="10:11" x14ac:dyDescent="0.25">
      <c r="J1516" s="4"/>
      <c r="K1516"/>
    </row>
    <row r="1517" spans="10:11" x14ac:dyDescent="0.25">
      <c r="J1517" s="4"/>
      <c r="K1517"/>
    </row>
    <row r="1518" spans="10:11" x14ac:dyDescent="0.25">
      <c r="J1518" s="4"/>
      <c r="K1518"/>
    </row>
    <row r="1519" spans="10:11" x14ac:dyDescent="0.25">
      <c r="J1519" s="4"/>
      <c r="K1519"/>
    </row>
    <row r="1520" spans="10:11" x14ac:dyDescent="0.25">
      <c r="J1520" s="4"/>
      <c r="K1520"/>
    </row>
    <row r="1521" spans="10:11" x14ac:dyDescent="0.25">
      <c r="J1521" s="4"/>
      <c r="K1521"/>
    </row>
    <row r="1522" spans="10:11" x14ac:dyDescent="0.25">
      <c r="J1522" s="4"/>
      <c r="K1522"/>
    </row>
    <row r="1523" spans="10:11" x14ac:dyDescent="0.25">
      <c r="J1523" s="4"/>
      <c r="K1523"/>
    </row>
    <row r="1524" spans="10:11" x14ac:dyDescent="0.25">
      <c r="J1524" s="4"/>
      <c r="K1524"/>
    </row>
    <row r="1525" spans="10:11" x14ac:dyDescent="0.25">
      <c r="J1525" s="4"/>
      <c r="K1525"/>
    </row>
    <row r="1526" spans="10:11" x14ac:dyDescent="0.25">
      <c r="J1526" s="4"/>
      <c r="K1526"/>
    </row>
    <row r="1527" spans="10:11" x14ac:dyDescent="0.25">
      <c r="J1527" s="4"/>
      <c r="K1527"/>
    </row>
    <row r="1528" spans="10:11" x14ac:dyDescent="0.25">
      <c r="J1528" s="4"/>
      <c r="K1528"/>
    </row>
    <row r="1529" spans="10:11" x14ac:dyDescent="0.25">
      <c r="J1529" s="4"/>
      <c r="K1529"/>
    </row>
    <row r="1530" spans="10:11" x14ac:dyDescent="0.25">
      <c r="J1530" s="4"/>
      <c r="K1530"/>
    </row>
    <row r="1531" spans="10:11" x14ac:dyDescent="0.25">
      <c r="J1531" s="4"/>
      <c r="K1531"/>
    </row>
    <row r="1532" spans="10:11" x14ac:dyDescent="0.25">
      <c r="J1532" s="4"/>
      <c r="K1532"/>
    </row>
    <row r="1533" spans="10:11" x14ac:dyDescent="0.25">
      <c r="J1533" s="4"/>
      <c r="K1533"/>
    </row>
    <row r="1534" spans="10:11" x14ac:dyDescent="0.25">
      <c r="J1534" s="4"/>
      <c r="K1534"/>
    </row>
    <row r="1535" spans="10:11" x14ac:dyDescent="0.25">
      <c r="J1535" s="4"/>
      <c r="K1535"/>
    </row>
    <row r="1536" spans="10:11" x14ac:dyDescent="0.25">
      <c r="J1536" s="4"/>
      <c r="K1536"/>
    </row>
    <row r="1537" spans="10:11" x14ac:dyDescent="0.25">
      <c r="J1537" s="4"/>
      <c r="K1537"/>
    </row>
    <row r="1538" spans="10:11" x14ac:dyDescent="0.25">
      <c r="J1538" s="4"/>
      <c r="K1538"/>
    </row>
    <row r="1539" spans="10:11" x14ac:dyDescent="0.25">
      <c r="J1539" s="4"/>
      <c r="K1539"/>
    </row>
    <row r="1540" spans="10:11" x14ac:dyDescent="0.25">
      <c r="J1540" s="4"/>
      <c r="K1540"/>
    </row>
    <row r="1541" spans="10:11" x14ac:dyDescent="0.25">
      <c r="J1541" s="4"/>
      <c r="K1541"/>
    </row>
    <row r="1542" spans="10:11" x14ac:dyDescent="0.25">
      <c r="J1542" s="4"/>
      <c r="K1542"/>
    </row>
    <row r="1543" spans="10:11" x14ac:dyDescent="0.25">
      <c r="J1543" s="4"/>
      <c r="K1543"/>
    </row>
    <row r="1544" spans="10:11" x14ac:dyDescent="0.25">
      <c r="J1544" s="4"/>
      <c r="K1544"/>
    </row>
    <row r="1545" spans="10:11" x14ac:dyDescent="0.25">
      <c r="J1545" s="4"/>
      <c r="K1545"/>
    </row>
    <row r="1546" spans="10:11" x14ac:dyDescent="0.25">
      <c r="J1546" s="4"/>
      <c r="K1546"/>
    </row>
    <row r="1547" spans="10:11" x14ac:dyDescent="0.25">
      <c r="J1547" s="4"/>
      <c r="K1547"/>
    </row>
    <row r="1548" spans="10:11" x14ac:dyDescent="0.25">
      <c r="J1548" s="4"/>
      <c r="K1548"/>
    </row>
    <row r="1549" spans="10:11" x14ac:dyDescent="0.25">
      <c r="J1549" s="4"/>
      <c r="K1549"/>
    </row>
    <row r="1550" spans="10:11" x14ac:dyDescent="0.25">
      <c r="J1550" s="4"/>
      <c r="K1550"/>
    </row>
    <row r="1551" spans="10:11" x14ac:dyDescent="0.25">
      <c r="J1551" s="4"/>
      <c r="K1551"/>
    </row>
    <row r="1552" spans="10:11" x14ac:dyDescent="0.25">
      <c r="J1552" s="4"/>
      <c r="K1552"/>
    </row>
    <row r="1553" spans="10:11" x14ac:dyDescent="0.25">
      <c r="J1553" s="4"/>
      <c r="K1553"/>
    </row>
    <row r="1554" spans="10:11" x14ac:dyDescent="0.25">
      <c r="J1554" s="4"/>
      <c r="K1554"/>
    </row>
    <row r="1555" spans="10:11" x14ac:dyDescent="0.25">
      <c r="J1555" s="4"/>
      <c r="K1555"/>
    </row>
    <row r="1556" spans="10:11" x14ac:dyDescent="0.25">
      <c r="J1556" s="4"/>
      <c r="K1556"/>
    </row>
    <row r="1557" spans="10:11" x14ac:dyDescent="0.25">
      <c r="J1557" s="4"/>
      <c r="K1557"/>
    </row>
    <row r="1558" spans="10:11" x14ac:dyDescent="0.25">
      <c r="J1558" s="4"/>
      <c r="K1558"/>
    </row>
    <row r="1559" spans="10:11" x14ac:dyDescent="0.25">
      <c r="J1559" s="4"/>
      <c r="K1559"/>
    </row>
    <row r="1560" spans="10:11" x14ac:dyDescent="0.25">
      <c r="J1560" s="4"/>
      <c r="K1560"/>
    </row>
    <row r="1561" spans="10:11" x14ac:dyDescent="0.25">
      <c r="J1561" s="4"/>
      <c r="K1561"/>
    </row>
    <row r="1562" spans="10:11" x14ac:dyDescent="0.25">
      <c r="J1562" s="4"/>
      <c r="K1562"/>
    </row>
    <row r="1563" spans="10:11" x14ac:dyDescent="0.25">
      <c r="J1563" s="4"/>
      <c r="K1563"/>
    </row>
    <row r="1564" spans="10:11" x14ac:dyDescent="0.25">
      <c r="J1564" s="4"/>
      <c r="K1564"/>
    </row>
    <row r="1565" spans="10:11" x14ac:dyDescent="0.25">
      <c r="J1565" s="4"/>
      <c r="K1565"/>
    </row>
    <row r="1566" spans="10:11" x14ac:dyDescent="0.25">
      <c r="J1566" s="4"/>
      <c r="K1566"/>
    </row>
    <row r="1567" spans="10:11" x14ac:dyDescent="0.25">
      <c r="J1567" s="4"/>
      <c r="K1567"/>
    </row>
    <row r="1568" spans="10:11" x14ac:dyDescent="0.25">
      <c r="J1568" s="4"/>
      <c r="K1568"/>
    </row>
    <row r="1569" spans="10:11" x14ac:dyDescent="0.25">
      <c r="J1569" s="4"/>
      <c r="K1569"/>
    </row>
    <row r="1570" spans="10:11" x14ac:dyDescent="0.25">
      <c r="J1570" s="4"/>
      <c r="K1570"/>
    </row>
    <row r="1571" spans="10:11" x14ac:dyDescent="0.25">
      <c r="J1571" s="4"/>
      <c r="K1571"/>
    </row>
    <row r="1572" spans="10:11" x14ac:dyDescent="0.25">
      <c r="J1572" s="4"/>
      <c r="K1572"/>
    </row>
    <row r="1573" spans="10:11" x14ac:dyDescent="0.25">
      <c r="J1573" s="4"/>
      <c r="K1573"/>
    </row>
    <row r="1574" spans="10:11" x14ac:dyDescent="0.25">
      <c r="J1574" s="4"/>
      <c r="K1574"/>
    </row>
    <row r="1575" spans="10:11" x14ac:dyDescent="0.25">
      <c r="J1575" s="4"/>
      <c r="K1575"/>
    </row>
    <row r="1576" spans="10:11" x14ac:dyDescent="0.25">
      <c r="J1576" s="4"/>
      <c r="K1576"/>
    </row>
    <row r="1577" spans="10:11" x14ac:dyDescent="0.25">
      <c r="J1577" s="4"/>
      <c r="K1577"/>
    </row>
    <row r="1578" spans="10:11" x14ac:dyDescent="0.25">
      <c r="J1578" s="4"/>
      <c r="K1578"/>
    </row>
    <row r="1579" spans="10:11" x14ac:dyDescent="0.25">
      <c r="J1579" s="4"/>
      <c r="K1579"/>
    </row>
    <row r="1580" spans="10:11" x14ac:dyDescent="0.25">
      <c r="J1580" s="4"/>
      <c r="K1580"/>
    </row>
    <row r="1581" spans="10:11" x14ac:dyDescent="0.25">
      <c r="J1581" s="4"/>
      <c r="K1581"/>
    </row>
    <row r="1582" spans="10:11" x14ac:dyDescent="0.25">
      <c r="J1582" s="4"/>
      <c r="K1582"/>
    </row>
    <row r="1583" spans="10:11" x14ac:dyDescent="0.25">
      <c r="J1583" s="4"/>
      <c r="K1583"/>
    </row>
    <row r="1584" spans="10:11" x14ac:dyDescent="0.25">
      <c r="J1584" s="4"/>
      <c r="K1584"/>
    </row>
    <row r="1585" spans="10:11" x14ac:dyDescent="0.25">
      <c r="J1585" s="4"/>
      <c r="K1585"/>
    </row>
    <row r="1586" spans="10:11" x14ac:dyDescent="0.25">
      <c r="J1586" s="4"/>
      <c r="K1586"/>
    </row>
    <row r="1587" spans="10:11" x14ac:dyDescent="0.25">
      <c r="J1587" s="4"/>
      <c r="K1587"/>
    </row>
    <row r="1588" spans="10:11" x14ac:dyDescent="0.25">
      <c r="J1588" s="4"/>
      <c r="K1588"/>
    </row>
    <row r="1589" spans="10:11" x14ac:dyDescent="0.25">
      <c r="J1589" s="4"/>
      <c r="K1589"/>
    </row>
    <row r="1590" spans="10:11" x14ac:dyDescent="0.25">
      <c r="J1590" s="4"/>
      <c r="K1590"/>
    </row>
    <row r="1591" spans="10:11" x14ac:dyDescent="0.25">
      <c r="J1591" s="4"/>
      <c r="K1591"/>
    </row>
    <row r="1592" spans="10:11" x14ac:dyDescent="0.25">
      <c r="J1592" s="4"/>
      <c r="K1592"/>
    </row>
    <row r="1593" spans="10:11" x14ac:dyDescent="0.25">
      <c r="J1593" s="4"/>
      <c r="K1593"/>
    </row>
    <row r="1594" spans="10:11" x14ac:dyDescent="0.25">
      <c r="J1594" s="4"/>
      <c r="K1594"/>
    </row>
    <row r="1595" spans="10:11" x14ac:dyDescent="0.25">
      <c r="J1595" s="4"/>
      <c r="K1595"/>
    </row>
    <row r="1596" spans="10:11" x14ac:dyDescent="0.25">
      <c r="J1596" s="4"/>
      <c r="K1596"/>
    </row>
    <row r="1597" spans="10:11" x14ac:dyDescent="0.25">
      <c r="J1597" s="4"/>
      <c r="K1597"/>
    </row>
    <row r="1598" spans="10:11" x14ac:dyDescent="0.25">
      <c r="J1598" s="4"/>
      <c r="K1598"/>
    </row>
    <row r="1599" spans="10:11" x14ac:dyDescent="0.25">
      <c r="J1599" s="4"/>
      <c r="K1599"/>
    </row>
    <row r="1600" spans="10:11" x14ac:dyDescent="0.25">
      <c r="J1600" s="4"/>
      <c r="K1600"/>
    </row>
    <row r="1601" spans="10:11" x14ac:dyDescent="0.25">
      <c r="J1601" s="4"/>
      <c r="K1601"/>
    </row>
    <row r="1602" spans="10:11" x14ac:dyDescent="0.25">
      <c r="J1602" s="4"/>
      <c r="K1602"/>
    </row>
    <row r="1603" spans="10:11" x14ac:dyDescent="0.25">
      <c r="J1603" s="4"/>
      <c r="K1603"/>
    </row>
    <row r="1604" spans="10:11" x14ac:dyDescent="0.25">
      <c r="J1604" s="4"/>
      <c r="K1604"/>
    </row>
    <row r="1605" spans="10:11" x14ac:dyDescent="0.25">
      <c r="J1605" s="4"/>
      <c r="K1605"/>
    </row>
    <row r="1606" spans="10:11" x14ac:dyDescent="0.25">
      <c r="J1606" s="4"/>
      <c r="K1606"/>
    </row>
    <row r="1607" spans="10:11" x14ac:dyDescent="0.25">
      <c r="J1607" s="4"/>
      <c r="K1607"/>
    </row>
    <row r="1608" spans="10:11" x14ac:dyDescent="0.25">
      <c r="J1608" s="4"/>
      <c r="K1608"/>
    </row>
    <row r="1609" spans="10:11" x14ac:dyDescent="0.25">
      <c r="J1609" s="4"/>
      <c r="K1609"/>
    </row>
    <row r="1610" spans="10:11" x14ac:dyDescent="0.25">
      <c r="J1610" s="4"/>
      <c r="K1610"/>
    </row>
    <row r="1611" spans="10:11" x14ac:dyDescent="0.25">
      <c r="J1611" s="4"/>
      <c r="K1611"/>
    </row>
    <row r="1612" spans="10:11" x14ac:dyDescent="0.25">
      <c r="J1612" s="4"/>
      <c r="K1612"/>
    </row>
    <row r="1613" spans="10:11" x14ac:dyDescent="0.25">
      <c r="J1613" s="4"/>
      <c r="K1613"/>
    </row>
    <row r="1614" spans="10:11" x14ac:dyDescent="0.25">
      <c r="J1614" s="4"/>
      <c r="K1614"/>
    </row>
    <row r="1615" spans="10:11" x14ac:dyDescent="0.25">
      <c r="J1615" s="4"/>
      <c r="K1615"/>
    </row>
    <row r="1616" spans="10:11" x14ac:dyDescent="0.25">
      <c r="J1616" s="4"/>
      <c r="K1616"/>
    </row>
    <row r="1617" spans="10:11" x14ac:dyDescent="0.25">
      <c r="J1617" s="4"/>
      <c r="K1617"/>
    </row>
    <row r="1618" spans="10:11" x14ac:dyDescent="0.25">
      <c r="J1618" s="4"/>
      <c r="K1618"/>
    </row>
    <row r="1619" spans="10:11" x14ac:dyDescent="0.25">
      <c r="J1619" s="4"/>
      <c r="K1619"/>
    </row>
    <row r="1620" spans="10:11" x14ac:dyDescent="0.25">
      <c r="J1620" s="4"/>
      <c r="K1620"/>
    </row>
    <row r="1621" spans="10:11" x14ac:dyDescent="0.25">
      <c r="J1621" s="4"/>
      <c r="K1621"/>
    </row>
    <row r="1622" spans="10:11" x14ac:dyDescent="0.25">
      <c r="J1622" s="4"/>
      <c r="K1622"/>
    </row>
    <row r="1623" spans="10:11" x14ac:dyDescent="0.25">
      <c r="J1623" s="4"/>
      <c r="K1623"/>
    </row>
    <row r="1624" spans="10:11" x14ac:dyDescent="0.25">
      <c r="J1624" s="4"/>
      <c r="K1624"/>
    </row>
    <row r="1625" spans="10:11" x14ac:dyDescent="0.25">
      <c r="J1625" s="4"/>
      <c r="K1625"/>
    </row>
    <row r="1626" spans="10:11" x14ac:dyDescent="0.25">
      <c r="J1626" s="4"/>
      <c r="K1626"/>
    </row>
    <row r="1627" spans="10:11" x14ac:dyDescent="0.25">
      <c r="J1627" s="4"/>
      <c r="K1627"/>
    </row>
    <row r="1628" spans="10:11" x14ac:dyDescent="0.25">
      <c r="J1628" s="4"/>
      <c r="K1628"/>
    </row>
    <row r="1629" spans="10:11" x14ac:dyDescent="0.25">
      <c r="J1629" s="4"/>
      <c r="K1629"/>
    </row>
    <row r="1630" spans="10:11" x14ac:dyDescent="0.25">
      <c r="J1630" s="4"/>
      <c r="K1630"/>
    </row>
    <row r="1631" spans="10:11" x14ac:dyDescent="0.25">
      <c r="J1631" s="4"/>
      <c r="K1631"/>
    </row>
    <row r="1632" spans="10:11" x14ac:dyDescent="0.25">
      <c r="J1632" s="4"/>
      <c r="K1632"/>
    </row>
    <row r="1633" spans="10:11" x14ac:dyDescent="0.25">
      <c r="J1633" s="4"/>
      <c r="K1633"/>
    </row>
    <row r="1634" spans="10:11" x14ac:dyDescent="0.25">
      <c r="J1634" s="4"/>
      <c r="K1634"/>
    </row>
    <row r="1635" spans="10:11" x14ac:dyDescent="0.25">
      <c r="J1635" s="4"/>
      <c r="K1635"/>
    </row>
    <row r="1636" spans="10:11" x14ac:dyDescent="0.25">
      <c r="J1636" s="4"/>
      <c r="K1636"/>
    </row>
    <row r="1637" spans="10:11" x14ac:dyDescent="0.25">
      <c r="J1637" s="4"/>
      <c r="K1637"/>
    </row>
    <row r="1638" spans="10:11" x14ac:dyDescent="0.25">
      <c r="J1638" s="4"/>
      <c r="K1638"/>
    </row>
    <row r="1639" spans="10:11" x14ac:dyDescent="0.25">
      <c r="J1639" s="4"/>
      <c r="K1639"/>
    </row>
    <row r="1640" spans="10:11" x14ac:dyDescent="0.25">
      <c r="J1640" s="4"/>
      <c r="K1640"/>
    </row>
    <row r="1641" spans="10:11" x14ac:dyDescent="0.25">
      <c r="J1641" s="4"/>
      <c r="K1641"/>
    </row>
    <row r="1642" spans="10:11" x14ac:dyDescent="0.25">
      <c r="J1642" s="4"/>
      <c r="K1642"/>
    </row>
    <row r="1643" spans="10:11" x14ac:dyDescent="0.25">
      <c r="J1643" s="4"/>
      <c r="K1643"/>
    </row>
    <row r="1644" spans="10:11" x14ac:dyDescent="0.25">
      <c r="J1644" s="4"/>
      <c r="K1644"/>
    </row>
    <row r="1645" spans="10:11" x14ac:dyDescent="0.25">
      <c r="J1645" s="4"/>
      <c r="K1645"/>
    </row>
    <row r="1646" spans="10:11" x14ac:dyDescent="0.25">
      <c r="J1646" s="4"/>
      <c r="K1646"/>
    </row>
    <row r="1647" spans="10:11" x14ac:dyDescent="0.25">
      <c r="J1647" s="4"/>
      <c r="K1647"/>
    </row>
    <row r="1648" spans="10:11" x14ac:dyDescent="0.25">
      <c r="J1648" s="4"/>
      <c r="K1648"/>
    </row>
    <row r="1649" spans="10:11" x14ac:dyDescent="0.25">
      <c r="J1649" s="4"/>
      <c r="K1649"/>
    </row>
    <row r="1650" spans="10:11" x14ac:dyDescent="0.25">
      <c r="J1650" s="4"/>
      <c r="K1650"/>
    </row>
    <row r="1651" spans="10:11" x14ac:dyDescent="0.25">
      <c r="J1651" s="4"/>
      <c r="K1651"/>
    </row>
    <row r="1652" spans="10:11" x14ac:dyDescent="0.25">
      <c r="J1652" s="4"/>
      <c r="K1652"/>
    </row>
    <row r="1653" spans="10:11" x14ac:dyDescent="0.25">
      <c r="J1653" s="4"/>
      <c r="K1653"/>
    </row>
    <row r="1654" spans="10:11" x14ac:dyDescent="0.25">
      <c r="J1654" s="4"/>
      <c r="K1654"/>
    </row>
    <row r="1655" spans="10:11" x14ac:dyDescent="0.25">
      <c r="J1655" s="4"/>
      <c r="K1655"/>
    </row>
    <row r="1656" spans="10:11" x14ac:dyDescent="0.25">
      <c r="J1656" s="4"/>
      <c r="K1656"/>
    </row>
    <row r="1657" spans="10:11" x14ac:dyDescent="0.25">
      <c r="J1657" s="4"/>
      <c r="K1657"/>
    </row>
    <row r="1658" spans="10:11" x14ac:dyDescent="0.25">
      <c r="J1658" s="4"/>
      <c r="K1658"/>
    </row>
    <row r="1659" spans="10:11" x14ac:dyDescent="0.25">
      <c r="J1659" s="4"/>
      <c r="K1659"/>
    </row>
    <row r="1660" spans="10:11" x14ac:dyDescent="0.25">
      <c r="J1660" s="4"/>
      <c r="K1660"/>
    </row>
    <row r="1661" spans="10:11" x14ac:dyDescent="0.25">
      <c r="J1661" s="4"/>
      <c r="K1661"/>
    </row>
    <row r="1662" spans="10:11" x14ac:dyDescent="0.25">
      <c r="J1662" s="4"/>
      <c r="K1662"/>
    </row>
    <row r="1663" spans="10:11" x14ac:dyDescent="0.25">
      <c r="J1663" s="4"/>
      <c r="K1663"/>
    </row>
    <row r="1664" spans="10:11" x14ac:dyDescent="0.25">
      <c r="J1664" s="4"/>
      <c r="K1664"/>
    </row>
    <row r="1665" spans="10:11" x14ac:dyDescent="0.25">
      <c r="J1665" s="4"/>
      <c r="K1665"/>
    </row>
    <row r="1666" spans="10:11" x14ac:dyDescent="0.25">
      <c r="J1666" s="4"/>
      <c r="K1666"/>
    </row>
    <row r="1667" spans="10:11" x14ac:dyDescent="0.25">
      <c r="J1667" s="4"/>
      <c r="K1667"/>
    </row>
    <row r="1668" spans="10:11" x14ac:dyDescent="0.25">
      <c r="J1668" s="4"/>
      <c r="K1668"/>
    </row>
    <row r="1669" spans="10:11" x14ac:dyDescent="0.25">
      <c r="J1669" s="4"/>
      <c r="K1669"/>
    </row>
    <row r="1670" spans="10:11" x14ac:dyDescent="0.25">
      <c r="J1670" s="4"/>
      <c r="K1670"/>
    </row>
    <row r="1671" spans="10:11" x14ac:dyDescent="0.25">
      <c r="J1671" s="4"/>
      <c r="K1671"/>
    </row>
    <row r="1672" spans="10:11" x14ac:dyDescent="0.25">
      <c r="J1672" s="4"/>
      <c r="K1672"/>
    </row>
    <row r="1673" spans="10:11" x14ac:dyDescent="0.25">
      <c r="J1673" s="4"/>
      <c r="K1673"/>
    </row>
    <row r="1674" spans="10:11" x14ac:dyDescent="0.25">
      <c r="J1674" s="4"/>
      <c r="K1674"/>
    </row>
    <row r="1675" spans="10:11" x14ac:dyDescent="0.25">
      <c r="J1675" s="4"/>
      <c r="K1675"/>
    </row>
    <row r="1676" spans="10:11" x14ac:dyDescent="0.25">
      <c r="J1676" s="4"/>
      <c r="K1676"/>
    </row>
    <row r="1677" spans="10:11" x14ac:dyDescent="0.25">
      <c r="J1677" s="4"/>
      <c r="K1677"/>
    </row>
    <row r="1678" spans="10:11" x14ac:dyDescent="0.25">
      <c r="J1678" s="4"/>
      <c r="K1678"/>
    </row>
    <row r="1679" spans="10:11" x14ac:dyDescent="0.25">
      <c r="J1679" s="4"/>
      <c r="K1679"/>
    </row>
    <row r="1680" spans="10:11" x14ac:dyDescent="0.25">
      <c r="J1680" s="4"/>
      <c r="K1680"/>
    </row>
  </sheetData>
  <sheetProtection formatCells="0" selectLockedCells="1"/>
  <customSheetViews>
    <customSheetView guid="{A079800B-DC1B-408F-91C7-3CFEB27825BC}" scale="80" topLeftCell="J1">
      <pane ySplit="1" topLeftCell="A95" activePane="bottomLeft" state="frozen"/>
      <selection pane="bottomLeft" activeCell="AC110" sqref="AC110"/>
      <pageMargins left="0" right="0" top="0" bottom="0" header="0" footer="0"/>
      <printOptions gridLines="1"/>
      <pageSetup paperSize="9" orientation="portrait" verticalDpi="0" r:id="rId1"/>
    </customSheetView>
    <customSheetView guid="{6EFE602B-DDBA-4BA7-94F6-DB3212BD68C7}" scale="80">
      <pane ySplit="1" topLeftCell="A95" activePane="bottomLeft" state="frozen"/>
      <selection pane="bottomLeft" activeCell="R115" sqref="R115"/>
      <pageMargins left="0" right="0" top="0" bottom="0" header="0" footer="0"/>
      <printOptions gridLines="1"/>
      <pageSetup paperSize="9" orientation="portrait" verticalDpi="0" r:id="rId2"/>
    </customSheetView>
  </customSheetViews>
  <mergeCells count="3">
    <mergeCell ref="Q674:U674"/>
    <mergeCell ref="W675:Z675"/>
    <mergeCell ref="K677:N677"/>
  </mergeCells>
  <conditionalFormatting sqref="AI677:AJ679 AI67:AJ645 AI5:AJ65">
    <cfRule type="expression" dxfId="221" priority="113">
      <formula>ISODD($AB5)</formula>
    </cfRule>
  </conditionalFormatting>
  <conditionalFormatting sqref="AD707:AE1181 AD5:AE13 AD68:AE699 AD15:AE59 AD61:AE66">
    <cfRule type="expression" dxfId="220" priority="112">
      <formula>ISODD($AB5)</formula>
    </cfRule>
  </conditionalFormatting>
  <conditionalFormatting sqref="K268">
    <cfRule type="duplicateValues" dxfId="219" priority="50"/>
  </conditionalFormatting>
  <conditionalFormatting sqref="E3:E645">
    <cfRule type="duplicateValues" dxfId="218" priority="5689"/>
  </conditionalFormatting>
  <conditionalFormatting sqref="K232:K645 Q232:Q645 Q3:Q229 K3:K229 E3:E645">
    <cfRule type="duplicateValues" dxfId="217" priority="5691"/>
  </conditionalFormatting>
  <conditionalFormatting sqref="AD67:AE67">
    <cfRule type="expression" dxfId="216" priority="15">
      <formula>ISODD($AB67)</formula>
    </cfRule>
  </conditionalFormatting>
  <conditionalFormatting sqref="AI66:AJ66">
    <cfRule type="expression" dxfId="215" priority="14">
      <formula>ISODD($AB66)</formula>
    </cfRule>
  </conditionalFormatting>
  <conditionalFormatting sqref="K230:K231">
    <cfRule type="duplicateValues" dxfId="214" priority="12"/>
  </conditionalFormatting>
  <conditionalFormatting sqref="K230:K231">
    <cfRule type="duplicateValues" dxfId="213" priority="13"/>
  </conditionalFormatting>
  <conditionalFormatting sqref="AI4:AJ4">
    <cfRule type="expression" dxfId="212" priority="11">
      <formula>ISODD($AB4)</formula>
    </cfRule>
  </conditionalFormatting>
  <conditionalFormatting sqref="AD4:AE4">
    <cfRule type="expression" dxfId="211" priority="10">
      <formula>ISODD($AB4)</formula>
    </cfRule>
  </conditionalFormatting>
  <conditionalFormatting sqref="W677:W696">
    <cfRule type="expression" dxfId="210" priority="9">
      <formula>ISODD($AB677)</formula>
    </cfRule>
  </conditionalFormatting>
  <conditionalFormatting sqref="X681:X696">
    <cfRule type="expression" dxfId="209" priority="8">
      <formula>ISODD($AB681)</formula>
    </cfRule>
  </conditionalFormatting>
  <conditionalFormatting sqref="Y681:Y696">
    <cfRule type="expression" dxfId="208" priority="7">
      <formula>ISODD($AB681)</formula>
    </cfRule>
  </conditionalFormatting>
  <conditionalFormatting sqref="Z681:Z696">
    <cfRule type="expression" dxfId="207" priority="6">
      <formula>ISODD($AB681)</formula>
    </cfRule>
  </conditionalFormatting>
  <conditionalFormatting sqref="X676:X680">
    <cfRule type="expression" dxfId="206" priority="5">
      <formula>ISODD($AB676)</formula>
    </cfRule>
  </conditionalFormatting>
  <conditionalFormatting sqref="Y676:Y680">
    <cfRule type="expression" dxfId="205" priority="4">
      <formula>ISODD($AB676)</formula>
    </cfRule>
  </conditionalFormatting>
  <conditionalFormatting sqref="Z676:Z680">
    <cfRule type="expression" dxfId="204" priority="3">
      <formula>ISODD($AB676)</formula>
    </cfRule>
  </conditionalFormatting>
  <conditionalFormatting sqref="AD60:AE60">
    <cfRule type="expression" dxfId="203" priority="1">
      <formula>ISODD($AB60)</formula>
    </cfRule>
  </conditionalFormatting>
  <printOptions gridLines="1"/>
  <pageMargins left="8.6805555555555551E-4" right="0.11811023622047245" top="0.16" bottom="0.74803149606299213" header="0.11811023622047245" footer="0.31496062992125984"/>
  <pageSetup paperSize="9" scale="10" orientation="portrait" r:id="rId3"/>
  <headerFooter>
    <oddFooter>&amp;L_x000D_&amp;1#&amp;"Calibri"&amp;8&amp;K000000 Classified as Confidential</oddFooter>
  </headerFooter>
  <rowBreaks count="1" manualBreakCount="1">
    <brk id="6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00FFCC"/>
    <pageSetUpPr fitToPage="1"/>
  </sheetPr>
  <dimension ref="A1:AB1559"/>
  <sheetViews>
    <sheetView zoomScale="85" zoomScaleNormal="85" workbookViewId="0">
      <selection activeCell="B5" sqref="B5"/>
    </sheetView>
  </sheetViews>
  <sheetFormatPr defaultColWidth="9.42578125" defaultRowHeight="15" x14ac:dyDescent="0.25"/>
  <cols>
    <col min="1" max="1" width="4.42578125" customWidth="1"/>
    <col min="2" max="2" width="8.42578125" bestFit="1" customWidth="1"/>
    <col min="4" max="4" width="8.42578125" bestFit="1" customWidth="1"/>
    <col min="6" max="6" width="10.42578125" customWidth="1"/>
    <col min="7" max="7" width="6.5703125" customWidth="1"/>
    <col min="9" max="9" width="8.42578125" bestFit="1" customWidth="1"/>
    <col min="10" max="10" width="5.42578125" customWidth="1"/>
    <col min="11" max="11" width="7.42578125" bestFit="1" customWidth="1"/>
    <col min="12" max="12" width="11.42578125" customWidth="1"/>
    <col min="15" max="15" width="9.42578125" style="4"/>
    <col min="19" max="19" width="11.42578125" customWidth="1"/>
  </cols>
  <sheetData>
    <row r="1" spans="1:28" ht="25.5" customHeight="1" x14ac:dyDescent="0.25">
      <c r="E1" s="301" t="s">
        <v>584</v>
      </c>
      <c r="F1" s="302" t="s">
        <v>117</v>
      </c>
      <c r="G1" s="86"/>
      <c r="H1" s="86"/>
      <c r="I1" s="86"/>
      <c r="J1" s="86"/>
    </row>
    <row r="2" spans="1:28" ht="28.9" customHeight="1" thickBot="1" x14ac:dyDescent="0.3">
      <c r="C2" s="123" t="s">
        <v>120</v>
      </c>
      <c r="D2" s="124" t="s">
        <v>121</v>
      </c>
      <c r="E2" s="125" t="s">
        <v>122</v>
      </c>
      <c r="F2" s="124" t="s">
        <v>124</v>
      </c>
      <c r="G2" s="123" t="s">
        <v>125</v>
      </c>
      <c r="H2" s="218" t="s">
        <v>433</v>
      </c>
      <c r="I2" s="123" t="s">
        <v>434</v>
      </c>
      <c r="J2" s="123" t="s">
        <v>424</v>
      </c>
      <c r="K2" s="123" t="s">
        <v>435</v>
      </c>
      <c r="L2" s="135" t="s">
        <v>440</v>
      </c>
      <c r="M2" s="148" t="s">
        <v>470</v>
      </c>
      <c r="N2" s="148" t="s">
        <v>471</v>
      </c>
    </row>
    <row r="3" spans="1:28" ht="19.5" thickBot="1" x14ac:dyDescent="0.3">
      <c r="A3" s="68"/>
      <c r="B3" s="280" t="s">
        <v>585</v>
      </c>
      <c r="C3" s="281" t="s">
        <v>74</v>
      </c>
      <c r="D3" s="77"/>
      <c r="E3" s="77"/>
      <c r="F3" s="281" t="s">
        <v>478</v>
      </c>
      <c r="G3" s="281" t="s">
        <v>586</v>
      </c>
      <c r="H3" s="282"/>
      <c r="I3" s="283" t="s">
        <v>417</v>
      </c>
      <c r="J3" s="77"/>
      <c r="K3" s="281" t="s">
        <v>586</v>
      </c>
      <c r="L3" s="284" t="s">
        <v>592</v>
      </c>
      <c r="M3" s="285" t="s">
        <v>97</v>
      </c>
      <c r="N3" s="285"/>
      <c r="O3"/>
    </row>
    <row r="4" spans="1:28" ht="30.75" thickBot="1" x14ac:dyDescent="0.3">
      <c r="B4" s="97" t="s">
        <v>432</v>
      </c>
      <c r="C4" s="97" t="s">
        <v>120</v>
      </c>
      <c r="D4" s="97" t="s">
        <v>121</v>
      </c>
      <c r="E4" s="277" t="s">
        <v>122</v>
      </c>
      <c r="F4" s="97" t="s">
        <v>124</v>
      </c>
      <c r="G4" s="126" t="s">
        <v>125</v>
      </c>
      <c r="H4" s="218" t="s">
        <v>433</v>
      </c>
      <c r="I4" s="149" t="s">
        <v>434</v>
      </c>
      <c r="J4" s="149" t="s">
        <v>424</v>
      </c>
      <c r="K4" s="123" t="s">
        <v>435</v>
      </c>
      <c r="L4" s="97" t="s">
        <v>440</v>
      </c>
      <c r="M4" s="286"/>
      <c r="N4" s="286"/>
      <c r="O4"/>
      <c r="W4" s="231" t="s">
        <v>120</v>
      </c>
      <c r="X4" s="100" t="s">
        <v>123</v>
      </c>
      <c r="Y4" s="100" t="s">
        <v>125</v>
      </c>
      <c r="Z4" s="106" t="s">
        <v>434</v>
      </c>
      <c r="AA4" s="108" t="s">
        <v>435</v>
      </c>
      <c r="AB4" s="145" t="s">
        <v>587</v>
      </c>
    </row>
    <row r="5" spans="1:28" x14ac:dyDescent="0.25">
      <c r="B5" s="4"/>
      <c r="C5" s="4"/>
      <c r="D5" s="4"/>
      <c r="E5" s="183"/>
      <c r="F5" s="4"/>
      <c r="G5" s="4"/>
      <c r="H5" s="4"/>
      <c r="I5" s="211"/>
      <c r="J5" s="211"/>
      <c r="L5" s="98"/>
      <c r="M5" s="4"/>
      <c r="N5" s="4"/>
      <c r="O5"/>
      <c r="W5" t="s">
        <v>588</v>
      </c>
      <c r="X5" s="102" t="str">
        <f>""</f>
        <v/>
      </c>
      <c r="Y5" s="102" t="str">
        <f>"&gt;1"</f>
        <v>&gt;1</v>
      </c>
      <c r="Z5" s="102" t="s">
        <v>589</v>
      </c>
      <c r="AA5" s="143" t="str">
        <f>"&gt;1"</f>
        <v>&gt;1</v>
      </c>
      <c r="AB5" s="146" t="s">
        <v>155</v>
      </c>
    </row>
    <row r="6" spans="1:28" ht="15.75" thickBot="1" x14ac:dyDescent="0.3">
      <c r="B6" s="4"/>
      <c r="C6" s="4"/>
      <c r="D6" s="4"/>
      <c r="E6" s="183"/>
      <c r="F6" s="4"/>
      <c r="G6" s="4"/>
      <c r="H6" s="4"/>
      <c r="I6" s="211"/>
      <c r="J6" s="211"/>
      <c r="K6" s="150"/>
      <c r="L6" s="98"/>
      <c r="M6" s="4"/>
      <c r="N6" s="4"/>
      <c r="O6"/>
      <c r="W6" t="s">
        <v>1</v>
      </c>
      <c r="X6" s="3" t="s">
        <v>140</v>
      </c>
      <c r="Y6" s="3">
        <v>7</v>
      </c>
      <c r="Z6" s="107" t="s">
        <v>417</v>
      </c>
      <c r="AA6" s="144" t="str">
        <f>"&lt;&gt; "</f>
        <v xml:space="preserve">&lt;&gt; </v>
      </c>
      <c r="AB6" s="104" t="s">
        <v>590</v>
      </c>
    </row>
    <row r="7" spans="1:28" x14ac:dyDescent="0.25">
      <c r="B7" s="4"/>
      <c r="C7" s="4"/>
      <c r="D7" s="4"/>
      <c r="E7" s="183"/>
      <c r="F7" s="4"/>
      <c r="G7" s="4"/>
      <c r="H7" s="4"/>
      <c r="I7" s="211"/>
      <c r="J7" s="211"/>
      <c r="K7" s="150"/>
      <c r="L7" s="98"/>
      <c r="O7"/>
      <c r="W7" t="s">
        <v>327</v>
      </c>
      <c r="X7" s="3" t="s">
        <v>165</v>
      </c>
      <c r="Y7" s="3">
        <v>8</v>
      </c>
      <c r="Z7" s="104" t="s">
        <v>591</v>
      </c>
      <c r="AB7" s="147" t="s">
        <v>592</v>
      </c>
    </row>
    <row r="8" spans="1:28" ht="15.75" thickBot="1" x14ac:dyDescent="0.3">
      <c r="B8" s="4"/>
      <c r="C8" s="4"/>
      <c r="D8" s="4"/>
      <c r="E8" s="183"/>
      <c r="F8" s="4"/>
      <c r="G8" s="4"/>
      <c r="H8" s="4"/>
      <c r="I8" s="211"/>
      <c r="J8" s="211"/>
      <c r="K8" s="150"/>
      <c r="L8" s="98"/>
      <c r="O8"/>
      <c r="W8" t="s">
        <v>353</v>
      </c>
      <c r="X8" s="3" t="s">
        <v>476</v>
      </c>
      <c r="Y8" s="3">
        <v>9</v>
      </c>
      <c r="Z8" s="147"/>
      <c r="AB8" s="101" t="s">
        <v>122</v>
      </c>
    </row>
    <row r="9" spans="1:28" x14ac:dyDescent="0.25">
      <c r="B9" s="4"/>
      <c r="C9" s="4"/>
      <c r="D9" s="4"/>
      <c r="E9" s="183"/>
      <c r="F9" s="4"/>
      <c r="G9" s="4"/>
      <c r="H9" s="4"/>
      <c r="I9" s="211"/>
      <c r="J9" s="211"/>
      <c r="K9" s="150"/>
      <c r="L9" s="98"/>
      <c r="O9"/>
      <c r="V9" t="s">
        <v>7</v>
      </c>
      <c r="W9" s="3" t="s">
        <v>593</v>
      </c>
      <c r="X9" s="104">
        <v>10</v>
      </c>
    </row>
    <row r="10" spans="1:28" x14ac:dyDescent="0.25">
      <c r="B10" s="4"/>
      <c r="C10" s="4"/>
      <c r="D10" s="4"/>
      <c r="E10" s="183"/>
      <c r="F10" s="4"/>
      <c r="G10" s="4"/>
      <c r="H10" s="4"/>
      <c r="I10" s="211"/>
      <c r="J10" s="211"/>
      <c r="K10" s="150"/>
      <c r="L10" s="98"/>
      <c r="O10"/>
      <c r="W10" t="s">
        <v>594</v>
      </c>
      <c r="X10" s="3" t="s">
        <v>595</v>
      </c>
      <c r="Y10" s="104">
        <v>11</v>
      </c>
    </row>
    <row r="11" spans="1:28" x14ac:dyDescent="0.25">
      <c r="B11" s="4"/>
      <c r="C11" s="4"/>
      <c r="D11" s="4"/>
      <c r="E11" s="183"/>
      <c r="F11" s="4"/>
      <c r="G11" s="4"/>
      <c r="H11" s="4"/>
      <c r="I11" s="211"/>
      <c r="J11" s="211"/>
      <c r="K11" s="150"/>
      <c r="L11" s="98"/>
      <c r="O11"/>
      <c r="W11" t="s">
        <v>102</v>
      </c>
      <c r="X11" s="3"/>
      <c r="Y11" s="104">
        <v>12</v>
      </c>
    </row>
    <row r="12" spans="1:28" x14ac:dyDescent="0.25">
      <c r="B12" s="4"/>
      <c r="C12" s="4"/>
      <c r="D12" s="4"/>
      <c r="E12" s="183"/>
      <c r="F12" s="4"/>
      <c r="G12" s="4"/>
      <c r="H12" s="4"/>
      <c r="I12" s="211"/>
      <c r="J12" s="211"/>
      <c r="K12" s="150"/>
      <c r="L12" s="98"/>
      <c r="O12"/>
      <c r="Q12" t="s">
        <v>97</v>
      </c>
      <c r="W12" t="s">
        <v>21</v>
      </c>
      <c r="X12" s="3"/>
      <c r="Y12" s="104">
        <v>13</v>
      </c>
    </row>
    <row r="13" spans="1:28" x14ac:dyDescent="0.25">
      <c r="B13" s="4"/>
      <c r="C13" s="4"/>
      <c r="D13" s="4"/>
      <c r="E13" s="183"/>
      <c r="F13" s="4"/>
      <c r="G13" s="4"/>
      <c r="H13" s="4"/>
      <c r="I13" s="211"/>
      <c r="J13" s="211"/>
      <c r="K13" s="150"/>
      <c r="L13" s="98"/>
      <c r="O13"/>
      <c r="W13" t="s">
        <v>29</v>
      </c>
      <c r="X13" s="3"/>
      <c r="Y13" s="104">
        <v>14</v>
      </c>
    </row>
    <row r="14" spans="1:28" x14ac:dyDescent="0.25">
      <c r="B14" s="4"/>
      <c r="C14" s="4"/>
      <c r="D14" s="4"/>
      <c r="E14" s="183"/>
      <c r="F14" s="4"/>
      <c r="G14" s="4"/>
      <c r="H14" s="4"/>
      <c r="I14" s="211"/>
      <c r="J14" s="211"/>
      <c r="K14" s="150"/>
      <c r="L14" s="98"/>
      <c r="O14"/>
      <c r="W14" t="s">
        <v>253</v>
      </c>
      <c r="X14" s="3"/>
      <c r="Y14" s="104">
        <v>15</v>
      </c>
    </row>
    <row r="15" spans="1:28" x14ac:dyDescent="0.25">
      <c r="B15" s="4"/>
      <c r="C15" s="4"/>
      <c r="D15" s="4"/>
      <c r="E15" s="183"/>
      <c r="F15" s="4"/>
      <c r="G15" s="4"/>
      <c r="H15" s="4"/>
      <c r="I15" s="211"/>
      <c r="J15" s="211"/>
      <c r="K15" s="150"/>
      <c r="L15" s="98"/>
      <c r="O15"/>
      <c r="W15" t="s">
        <v>596</v>
      </c>
      <c r="X15" s="3"/>
      <c r="Y15" s="104">
        <v>16</v>
      </c>
    </row>
    <row r="16" spans="1:28" x14ac:dyDescent="0.25">
      <c r="B16" s="4"/>
      <c r="C16" s="4"/>
      <c r="D16" s="4"/>
      <c r="E16" s="183"/>
      <c r="F16" s="4"/>
      <c r="G16" s="4"/>
      <c r="H16" s="4"/>
      <c r="I16" s="211"/>
      <c r="J16" s="211"/>
      <c r="K16" s="150"/>
      <c r="L16" s="98"/>
      <c r="O16"/>
      <c r="W16" t="s">
        <v>232</v>
      </c>
      <c r="X16" s="8"/>
      <c r="Y16" s="104">
        <v>16.5</v>
      </c>
    </row>
    <row r="17" spans="2:25" x14ac:dyDescent="0.25">
      <c r="B17" s="4"/>
      <c r="C17" s="4"/>
      <c r="D17" s="4"/>
      <c r="E17" s="183"/>
      <c r="F17" s="4"/>
      <c r="G17" s="4"/>
      <c r="H17" s="4"/>
      <c r="I17" s="211"/>
      <c r="J17" s="211"/>
      <c r="K17" s="150"/>
      <c r="L17" s="98"/>
      <c r="O17"/>
      <c r="W17" t="s">
        <v>39</v>
      </c>
      <c r="X17" s="8"/>
      <c r="Y17" s="104">
        <v>17.5</v>
      </c>
    </row>
    <row r="18" spans="2:25" x14ac:dyDescent="0.25">
      <c r="B18" s="4"/>
      <c r="C18" s="4"/>
      <c r="D18" s="4"/>
      <c r="E18" s="183"/>
      <c r="F18" s="4"/>
      <c r="G18" s="4"/>
      <c r="H18" s="4"/>
      <c r="I18" s="211"/>
      <c r="J18" s="211"/>
      <c r="K18" s="150"/>
      <c r="L18" s="98"/>
      <c r="O18"/>
      <c r="W18" t="s">
        <v>57</v>
      </c>
      <c r="X18" s="8"/>
      <c r="Y18" s="104">
        <v>18</v>
      </c>
    </row>
    <row r="19" spans="2:25" x14ac:dyDescent="0.25">
      <c r="B19" s="4"/>
      <c r="C19" s="4"/>
      <c r="D19" s="4"/>
      <c r="E19" s="183"/>
      <c r="F19" s="4"/>
      <c r="G19" s="4"/>
      <c r="H19" s="4"/>
      <c r="I19" s="211"/>
      <c r="J19" s="211"/>
      <c r="L19" s="98"/>
      <c r="O19"/>
      <c r="W19" t="s">
        <v>80</v>
      </c>
      <c r="X19" s="8"/>
      <c r="Y19" s="104">
        <v>18.5</v>
      </c>
    </row>
    <row r="20" spans="2:25" x14ac:dyDescent="0.25">
      <c r="B20" s="4"/>
      <c r="C20" s="4"/>
      <c r="D20" s="4"/>
      <c r="E20" s="183"/>
      <c r="F20" s="4"/>
      <c r="G20" s="4"/>
      <c r="H20" s="4"/>
      <c r="I20" s="211"/>
      <c r="J20" s="211"/>
      <c r="L20" s="98"/>
      <c r="O20"/>
      <c r="W20" t="s">
        <v>74</v>
      </c>
      <c r="X20" s="8"/>
      <c r="Y20" s="104">
        <v>19</v>
      </c>
    </row>
    <row r="21" spans="2:25" x14ac:dyDescent="0.25">
      <c r="B21" s="4"/>
      <c r="C21" s="4"/>
      <c r="D21" s="4"/>
      <c r="E21" s="183"/>
      <c r="F21" s="4"/>
      <c r="G21" s="4"/>
      <c r="H21" s="4"/>
      <c r="I21" s="211"/>
      <c r="J21" s="211"/>
      <c r="L21" s="98"/>
      <c r="O21"/>
      <c r="W21" t="s">
        <v>77</v>
      </c>
      <c r="X21" s="8"/>
      <c r="Y21" s="104">
        <v>19</v>
      </c>
    </row>
    <row r="22" spans="2:25" ht="15.75" thickBot="1" x14ac:dyDescent="0.3">
      <c r="B22" s="4"/>
      <c r="C22" s="4"/>
      <c r="D22" s="4"/>
      <c r="E22" s="183"/>
      <c r="F22" s="4"/>
      <c r="G22" s="4"/>
      <c r="H22" s="4"/>
      <c r="I22" s="211"/>
      <c r="J22" s="211"/>
      <c r="L22" s="98"/>
      <c r="O22"/>
      <c r="W22" t="s">
        <v>86</v>
      </c>
      <c r="X22" s="103"/>
      <c r="Y22" s="104">
        <v>20</v>
      </c>
    </row>
    <row r="23" spans="2:25" x14ac:dyDescent="0.25">
      <c r="B23" s="4"/>
      <c r="C23" s="4"/>
      <c r="D23" s="4"/>
      <c r="E23" s="183"/>
      <c r="F23" s="4"/>
      <c r="G23" s="4"/>
      <c r="H23" s="4"/>
      <c r="I23" s="211"/>
      <c r="J23" s="211"/>
      <c r="L23" s="98"/>
      <c r="O23"/>
      <c r="W23" t="s">
        <v>105</v>
      </c>
      <c r="Y23" s="104">
        <v>21</v>
      </c>
    </row>
    <row r="24" spans="2:25" x14ac:dyDescent="0.25">
      <c r="B24" s="4"/>
      <c r="C24" s="4"/>
      <c r="D24" s="4"/>
      <c r="E24" s="183"/>
      <c r="F24" s="4"/>
      <c r="G24" s="4"/>
      <c r="H24" s="4"/>
      <c r="I24" s="211"/>
      <c r="J24" s="211"/>
      <c r="K24" s="150"/>
      <c r="L24" s="98"/>
      <c r="O24"/>
      <c r="W24" t="s">
        <v>597</v>
      </c>
      <c r="Y24" s="104">
        <v>22</v>
      </c>
    </row>
    <row r="25" spans="2:25" x14ac:dyDescent="0.25">
      <c r="B25" s="4"/>
      <c r="C25" s="4"/>
      <c r="D25" s="4"/>
      <c r="E25" s="183"/>
      <c r="F25" s="4"/>
      <c r="G25" s="4"/>
      <c r="H25" s="4"/>
      <c r="I25" s="211"/>
      <c r="J25" s="211"/>
      <c r="K25" s="150"/>
      <c r="L25" s="98"/>
      <c r="O25"/>
      <c r="W25" t="s">
        <v>95</v>
      </c>
      <c r="Y25" s="104">
        <v>23</v>
      </c>
    </row>
    <row r="26" spans="2:25" x14ac:dyDescent="0.25">
      <c r="B26" s="4"/>
      <c r="C26" s="4"/>
      <c r="D26" s="4"/>
      <c r="E26" s="183"/>
      <c r="F26" s="4"/>
      <c r="G26" s="4"/>
      <c r="H26" s="4"/>
      <c r="I26" s="211"/>
      <c r="J26" s="211"/>
      <c r="L26" s="98"/>
      <c r="O26"/>
      <c r="W26" t="s">
        <v>108</v>
      </c>
      <c r="Y26" s="104">
        <v>24</v>
      </c>
    </row>
    <row r="27" spans="2:25" x14ac:dyDescent="0.25">
      <c r="B27" s="4"/>
      <c r="C27" s="4"/>
      <c r="D27" s="4"/>
      <c r="E27" s="183"/>
      <c r="F27" s="4"/>
      <c r="G27" s="4"/>
      <c r="H27" s="4"/>
      <c r="I27" s="211"/>
      <c r="J27" s="211"/>
      <c r="L27" s="98"/>
      <c r="O27"/>
      <c r="W27" t="s">
        <v>92</v>
      </c>
      <c r="Y27" s="104">
        <v>27</v>
      </c>
    </row>
    <row r="28" spans="2:25" x14ac:dyDescent="0.25">
      <c r="B28" s="4"/>
      <c r="C28" s="4"/>
      <c r="D28" s="4"/>
      <c r="E28" s="183"/>
      <c r="F28" s="4"/>
      <c r="G28" s="4"/>
      <c r="H28" s="4"/>
      <c r="I28" s="211"/>
      <c r="J28" s="211"/>
      <c r="L28" s="98"/>
      <c r="O28"/>
      <c r="X28" s="4" t="s">
        <v>157</v>
      </c>
      <c r="Y28" s="104"/>
    </row>
    <row r="29" spans="2:25" x14ac:dyDescent="0.25">
      <c r="B29" s="4"/>
      <c r="C29" s="4"/>
      <c r="D29" s="4"/>
      <c r="E29" s="183"/>
      <c r="F29" s="4"/>
      <c r="G29" s="4"/>
      <c r="H29" s="4"/>
      <c r="I29" s="211"/>
      <c r="J29" s="211"/>
      <c r="L29" s="98"/>
      <c r="O29"/>
      <c r="Y29" s="104"/>
    </row>
    <row r="30" spans="2:25" x14ac:dyDescent="0.25">
      <c r="B30" s="4"/>
      <c r="C30" s="4"/>
      <c r="D30" s="4"/>
      <c r="E30" s="183"/>
      <c r="F30" s="4"/>
      <c r="G30" s="4"/>
      <c r="H30" s="4"/>
      <c r="I30" s="211"/>
      <c r="J30" s="211"/>
      <c r="L30" s="98"/>
      <c r="O30"/>
      <c r="Y30" s="104"/>
    </row>
    <row r="31" spans="2:25" x14ac:dyDescent="0.25">
      <c r="B31" s="4"/>
      <c r="C31" s="4"/>
      <c r="D31" s="4"/>
      <c r="E31" s="183"/>
      <c r="F31" s="4"/>
      <c r="G31" s="4"/>
      <c r="H31" s="4"/>
      <c r="I31" s="211"/>
      <c r="J31" s="211"/>
      <c r="L31" s="98"/>
      <c r="O31"/>
      <c r="Y31" s="104"/>
    </row>
    <row r="32" spans="2:25" x14ac:dyDescent="0.25">
      <c r="B32" s="4"/>
      <c r="C32" s="4"/>
      <c r="D32" s="4"/>
      <c r="E32" s="183"/>
      <c r="F32" s="4"/>
      <c r="G32" s="4"/>
      <c r="H32" s="4"/>
      <c r="I32" s="211"/>
      <c r="J32" s="211"/>
      <c r="L32" s="98"/>
      <c r="O32"/>
      <c r="Y32" s="104"/>
    </row>
    <row r="33" spans="2:25" x14ac:dyDescent="0.25">
      <c r="B33" s="4"/>
      <c r="C33" s="4"/>
      <c r="D33" s="4"/>
      <c r="E33" s="183"/>
      <c r="F33" s="4"/>
      <c r="G33" s="4"/>
      <c r="H33" s="4"/>
      <c r="I33" s="211"/>
      <c r="J33" s="211"/>
      <c r="L33" s="98"/>
      <c r="O33"/>
      <c r="Y33" s="104"/>
    </row>
    <row r="34" spans="2:25" x14ac:dyDescent="0.25">
      <c r="B34" s="4"/>
      <c r="C34" s="4"/>
      <c r="D34" s="4"/>
      <c r="E34" s="183"/>
      <c r="F34" s="4"/>
      <c r="G34" s="4"/>
      <c r="H34" s="4"/>
      <c r="I34" s="211"/>
      <c r="J34" s="211"/>
      <c r="L34" s="98"/>
      <c r="O34"/>
      <c r="Y34" s="104"/>
    </row>
    <row r="35" spans="2:25" x14ac:dyDescent="0.25">
      <c r="B35" s="4"/>
      <c r="C35" s="4"/>
      <c r="D35" s="4"/>
      <c r="E35" s="183"/>
      <c r="F35" s="4"/>
      <c r="G35" s="4"/>
      <c r="H35" s="4"/>
      <c r="I35" s="211"/>
      <c r="J35" s="211"/>
      <c r="L35" s="98"/>
      <c r="O35"/>
      <c r="Y35" s="104"/>
    </row>
    <row r="36" spans="2:25" x14ac:dyDescent="0.25">
      <c r="B36" s="4"/>
      <c r="C36" s="4"/>
      <c r="D36" s="4"/>
      <c r="E36" s="183"/>
      <c r="F36" s="4"/>
      <c r="G36" s="4"/>
      <c r="H36" s="4"/>
      <c r="I36" s="211"/>
      <c r="J36" s="211"/>
      <c r="L36" s="98"/>
      <c r="O36"/>
      <c r="Y36" s="104"/>
    </row>
    <row r="37" spans="2:25" x14ac:dyDescent="0.25">
      <c r="B37" s="4"/>
      <c r="C37" s="4"/>
      <c r="D37" s="4"/>
      <c r="E37" s="183"/>
      <c r="F37" s="4"/>
      <c r="G37" s="4"/>
      <c r="H37" s="4"/>
      <c r="I37" s="211"/>
      <c r="J37" s="211"/>
      <c r="L37" s="98"/>
      <c r="O37"/>
      <c r="Y37" s="104"/>
    </row>
    <row r="38" spans="2:25" ht="15.75" thickBot="1" x14ac:dyDescent="0.3">
      <c r="B38" s="4"/>
      <c r="C38" s="4"/>
      <c r="D38" s="4"/>
      <c r="E38" s="183"/>
      <c r="F38" s="4"/>
      <c r="G38" s="4"/>
      <c r="H38" s="4"/>
      <c r="I38" s="211"/>
      <c r="J38" s="211"/>
      <c r="L38" s="98"/>
      <c r="O38"/>
      <c r="Y38" s="105"/>
    </row>
    <row r="39" spans="2:25" x14ac:dyDescent="0.25">
      <c r="B39" s="4"/>
      <c r="C39" s="4"/>
      <c r="D39" s="4"/>
      <c r="E39" s="183"/>
      <c r="F39" s="4"/>
      <c r="G39" s="4"/>
      <c r="H39" s="4"/>
      <c r="I39" s="211"/>
      <c r="J39" s="211"/>
      <c r="L39" s="98"/>
      <c r="O39"/>
      <c r="Y39" s="104"/>
    </row>
    <row r="40" spans="2:25" ht="15.75" thickBot="1" x14ac:dyDescent="0.3">
      <c r="B40" s="4"/>
      <c r="C40" s="4"/>
      <c r="D40" s="4"/>
      <c r="E40" s="183"/>
      <c r="F40" s="4"/>
      <c r="G40" s="4"/>
      <c r="H40" s="4"/>
      <c r="I40" s="211"/>
      <c r="J40" s="211"/>
      <c r="L40" s="98"/>
      <c r="O40"/>
      <c r="Y40" s="105"/>
    </row>
    <row r="41" spans="2:25" x14ac:dyDescent="0.25">
      <c r="B41" s="4"/>
      <c r="C41" s="4"/>
      <c r="D41" s="4"/>
      <c r="E41" s="183"/>
      <c r="F41" s="4"/>
      <c r="G41" s="4"/>
      <c r="H41" s="4"/>
      <c r="I41" s="211"/>
      <c r="J41" s="211"/>
      <c r="L41" s="98"/>
      <c r="O41"/>
      <c r="Y41" s="4"/>
    </row>
    <row r="42" spans="2:25" x14ac:dyDescent="0.25">
      <c r="B42" s="4"/>
      <c r="C42" s="4"/>
      <c r="D42" s="4"/>
      <c r="E42" s="183"/>
      <c r="F42" s="4"/>
      <c r="G42" s="4"/>
      <c r="H42" s="4"/>
      <c r="I42" s="211"/>
      <c r="J42" s="211"/>
      <c r="L42" s="98"/>
      <c r="O42"/>
      <c r="Y42" s="4"/>
    </row>
    <row r="43" spans="2:25" x14ac:dyDescent="0.25">
      <c r="B43" s="4"/>
      <c r="C43" s="4"/>
      <c r="D43" s="4"/>
      <c r="E43" s="183"/>
      <c r="F43" s="4"/>
      <c r="G43" s="4"/>
      <c r="H43" s="4"/>
      <c r="I43" s="211"/>
      <c r="J43" s="211"/>
      <c r="L43" s="98"/>
      <c r="O43"/>
    </row>
    <row r="44" spans="2:25" x14ac:dyDescent="0.25">
      <c r="B44" s="4"/>
      <c r="C44" s="4"/>
      <c r="D44" s="4"/>
      <c r="E44" s="183"/>
      <c r="F44" s="4"/>
      <c r="G44" s="4"/>
      <c r="H44" s="4"/>
      <c r="I44" s="211"/>
      <c r="J44" s="211"/>
      <c r="L44" s="98"/>
      <c r="O44"/>
    </row>
    <row r="45" spans="2:25" x14ac:dyDescent="0.25">
      <c r="B45" s="4"/>
      <c r="C45" s="4"/>
      <c r="D45" s="4"/>
      <c r="E45" s="183"/>
      <c r="F45" s="4"/>
      <c r="G45" s="4"/>
      <c r="H45" s="4"/>
      <c r="I45" s="211"/>
      <c r="J45" s="211"/>
      <c r="L45" s="98"/>
      <c r="O45"/>
    </row>
    <row r="46" spans="2:25" x14ac:dyDescent="0.25">
      <c r="B46" s="4"/>
      <c r="C46" s="4"/>
      <c r="D46" s="4"/>
      <c r="E46" s="183"/>
      <c r="F46" s="4"/>
      <c r="G46" s="4"/>
      <c r="H46" s="4"/>
      <c r="I46" s="211"/>
      <c r="J46" s="211"/>
      <c r="L46" s="98"/>
      <c r="O46"/>
    </row>
    <row r="47" spans="2:25" x14ac:dyDescent="0.25">
      <c r="B47" s="4"/>
      <c r="C47" s="4"/>
      <c r="D47" s="4"/>
      <c r="E47" s="183"/>
      <c r="F47" s="4"/>
      <c r="G47" s="4"/>
      <c r="H47" s="4"/>
      <c r="I47" s="211"/>
      <c r="J47" s="211"/>
      <c r="L47" s="98"/>
      <c r="O47"/>
    </row>
    <row r="48" spans="2:25" x14ac:dyDescent="0.25">
      <c r="B48" s="4"/>
      <c r="C48" s="4"/>
      <c r="D48" s="4"/>
      <c r="E48" s="183"/>
      <c r="F48" s="4"/>
      <c r="G48" s="4"/>
      <c r="H48" s="4"/>
      <c r="I48" s="211"/>
      <c r="J48" s="211"/>
      <c r="L48" s="98"/>
      <c r="O48"/>
    </row>
    <row r="49" spans="2:15" x14ac:dyDescent="0.25">
      <c r="B49" s="4"/>
      <c r="C49" s="4"/>
      <c r="D49" s="4"/>
      <c r="E49" s="183"/>
      <c r="F49" s="4"/>
      <c r="G49" s="4"/>
      <c r="H49" s="4"/>
      <c r="I49" s="211"/>
      <c r="J49" s="211"/>
      <c r="L49" s="98"/>
      <c r="O49"/>
    </row>
    <row r="50" spans="2:15" x14ac:dyDescent="0.25">
      <c r="B50" s="4"/>
      <c r="C50" s="4"/>
      <c r="D50" s="4"/>
      <c r="E50" s="183"/>
      <c r="F50" s="4"/>
      <c r="G50" s="4"/>
      <c r="H50" s="4"/>
      <c r="I50" s="211"/>
      <c r="J50" s="211"/>
      <c r="L50" s="98"/>
      <c r="O50"/>
    </row>
    <row r="51" spans="2:15" x14ac:dyDescent="0.25">
      <c r="B51" s="4"/>
      <c r="C51" s="4"/>
      <c r="D51" s="4"/>
      <c r="E51" s="183"/>
      <c r="F51" s="4"/>
      <c r="G51" s="4"/>
      <c r="H51" s="4"/>
      <c r="I51" s="211"/>
      <c r="J51" s="211"/>
      <c r="L51" s="98"/>
      <c r="O51"/>
    </row>
    <row r="52" spans="2:15" x14ac:dyDescent="0.25">
      <c r="B52" s="4"/>
      <c r="C52" s="4"/>
      <c r="D52" s="4"/>
      <c r="E52" s="183"/>
      <c r="F52" s="4"/>
      <c r="G52" s="4"/>
      <c r="H52" s="4"/>
      <c r="I52" s="211"/>
      <c r="J52" s="211"/>
      <c r="L52" s="98"/>
      <c r="O52"/>
    </row>
    <row r="53" spans="2:15" x14ac:dyDescent="0.25">
      <c r="B53" s="4"/>
      <c r="C53" s="4"/>
      <c r="D53" s="4"/>
      <c r="E53" s="183"/>
      <c r="F53" s="4"/>
      <c r="G53" s="4"/>
      <c r="H53" s="4"/>
      <c r="I53" s="211"/>
      <c r="J53" s="211"/>
      <c r="L53" s="98"/>
      <c r="O53"/>
    </row>
    <row r="54" spans="2:15" x14ac:dyDescent="0.25">
      <c r="B54" s="4"/>
      <c r="C54" s="4"/>
      <c r="D54" s="4"/>
      <c r="E54" s="183"/>
      <c r="F54" s="4"/>
      <c r="G54" s="4"/>
      <c r="H54" s="4"/>
      <c r="I54" s="211"/>
      <c r="J54" s="211"/>
      <c r="L54" s="98"/>
      <c r="O54"/>
    </row>
    <row r="55" spans="2:15" x14ac:dyDescent="0.25">
      <c r="B55" s="4"/>
      <c r="C55" s="4"/>
      <c r="D55" s="4"/>
      <c r="E55" s="4"/>
      <c r="F55" s="4"/>
      <c r="G55" s="4"/>
      <c r="H55" s="4"/>
      <c r="I55" s="211"/>
      <c r="J55" s="211"/>
      <c r="L55" s="98"/>
      <c r="O55"/>
    </row>
    <row r="56" spans="2:15" x14ac:dyDescent="0.25">
      <c r="B56" s="4"/>
      <c r="C56" s="4"/>
      <c r="D56" s="4"/>
      <c r="E56" s="183"/>
      <c r="F56" s="4"/>
      <c r="G56" s="4"/>
      <c r="H56" s="4"/>
      <c r="I56" s="211"/>
      <c r="J56" s="211"/>
      <c r="L56" s="98"/>
      <c r="O56"/>
    </row>
    <row r="57" spans="2:15" x14ac:dyDescent="0.25">
      <c r="B57" s="4"/>
      <c r="C57" s="4"/>
      <c r="D57" s="4"/>
      <c r="E57" s="183"/>
      <c r="F57" s="4"/>
      <c r="G57" s="4"/>
      <c r="H57" s="4"/>
      <c r="I57" s="211"/>
      <c r="J57" s="211"/>
      <c r="L57" s="98"/>
      <c r="O57"/>
    </row>
    <row r="58" spans="2:15" x14ac:dyDescent="0.25">
      <c r="B58" s="4"/>
      <c r="C58" s="4"/>
      <c r="D58" s="4"/>
      <c r="E58" s="183"/>
      <c r="F58" s="4"/>
      <c r="G58" s="4"/>
      <c r="H58" s="4"/>
      <c r="I58" s="211"/>
      <c r="J58" s="211"/>
      <c r="L58" s="98"/>
      <c r="O58"/>
    </row>
    <row r="59" spans="2:15" x14ac:dyDescent="0.25">
      <c r="B59" s="4"/>
      <c r="C59" s="4"/>
      <c r="D59" s="4"/>
      <c r="E59" s="183"/>
      <c r="F59" s="4"/>
      <c r="G59" s="4"/>
      <c r="H59" s="4"/>
      <c r="I59" s="211"/>
      <c r="J59" s="211"/>
      <c r="L59" s="98"/>
      <c r="O59"/>
    </row>
    <row r="60" spans="2:15" x14ac:dyDescent="0.25">
      <c r="B60" s="4"/>
      <c r="C60" s="4"/>
      <c r="D60" s="4"/>
      <c r="E60" s="183"/>
      <c r="F60" s="4"/>
      <c r="G60" s="4"/>
      <c r="H60" s="4"/>
      <c r="I60" s="211"/>
      <c r="J60" s="211"/>
      <c r="L60" s="98"/>
      <c r="O60"/>
    </row>
    <row r="61" spans="2:15" x14ac:dyDescent="0.25">
      <c r="B61" s="4"/>
      <c r="C61" s="4"/>
      <c r="D61" s="4"/>
      <c r="E61" s="183"/>
      <c r="F61" s="4"/>
      <c r="G61" s="4"/>
      <c r="H61" s="4"/>
      <c r="I61" s="211"/>
      <c r="J61" s="211"/>
      <c r="L61" s="98"/>
      <c r="O61"/>
    </row>
    <row r="62" spans="2:15" x14ac:dyDescent="0.25">
      <c r="B62" s="4"/>
      <c r="C62" s="4"/>
      <c r="D62" s="4"/>
      <c r="E62" s="183"/>
      <c r="F62" s="4"/>
      <c r="G62" s="4"/>
      <c r="H62" s="4"/>
      <c r="I62" s="211"/>
      <c r="J62" s="211"/>
      <c r="L62" s="98"/>
      <c r="O62"/>
    </row>
    <row r="63" spans="2:15" x14ac:dyDescent="0.25">
      <c r="B63" s="4"/>
      <c r="C63" s="4"/>
      <c r="D63" s="4"/>
      <c r="E63" s="183"/>
      <c r="F63" s="4"/>
      <c r="G63" s="4"/>
      <c r="H63" s="4"/>
      <c r="I63" s="211"/>
      <c r="J63" s="211"/>
      <c r="L63" s="98"/>
      <c r="O63"/>
    </row>
    <row r="64" spans="2:15" x14ac:dyDescent="0.25">
      <c r="B64" s="4"/>
      <c r="C64" s="4"/>
      <c r="D64" s="4"/>
      <c r="E64" s="183"/>
      <c r="F64" s="4"/>
      <c r="G64" s="4"/>
      <c r="H64" s="4"/>
      <c r="I64" s="211"/>
      <c r="J64" s="211"/>
      <c r="L64" s="98"/>
      <c r="O64"/>
    </row>
    <row r="65" spans="2:15" x14ac:dyDescent="0.25">
      <c r="B65" s="4"/>
      <c r="C65" s="4"/>
      <c r="D65" s="4"/>
      <c r="E65" s="183"/>
      <c r="F65" s="4"/>
      <c r="G65" s="4"/>
      <c r="H65" s="4"/>
      <c r="I65" s="211"/>
      <c r="J65" s="211"/>
      <c r="L65" s="98"/>
      <c r="O65"/>
    </row>
    <row r="66" spans="2:15" x14ac:dyDescent="0.25">
      <c r="B66" s="4"/>
      <c r="C66" s="4"/>
      <c r="D66" s="4"/>
      <c r="E66" s="183"/>
      <c r="F66" s="4"/>
      <c r="G66" s="4"/>
      <c r="H66" s="4"/>
      <c r="I66" s="211"/>
      <c r="J66" s="211"/>
      <c r="L66" s="98"/>
      <c r="O66"/>
    </row>
    <row r="67" spans="2:15" x14ac:dyDescent="0.25">
      <c r="B67" s="4"/>
      <c r="C67" s="4"/>
      <c r="D67" s="4"/>
      <c r="E67" s="183"/>
      <c r="F67" s="4"/>
      <c r="G67" s="4"/>
      <c r="H67" s="4"/>
      <c r="I67" s="211"/>
      <c r="J67" s="211"/>
      <c r="L67" s="98"/>
      <c r="O67"/>
    </row>
    <row r="68" spans="2:15" x14ac:dyDescent="0.25">
      <c r="B68" s="4"/>
      <c r="C68" s="4"/>
      <c r="D68" s="4"/>
      <c r="E68" s="183"/>
      <c r="F68" s="4"/>
      <c r="G68" s="4"/>
      <c r="H68" s="4"/>
      <c r="I68" s="211"/>
      <c r="J68" s="211"/>
      <c r="L68" s="98"/>
      <c r="O68"/>
    </row>
    <row r="69" spans="2:15" x14ac:dyDescent="0.25">
      <c r="B69" s="4"/>
      <c r="C69" s="4"/>
      <c r="D69" s="4"/>
      <c r="E69" s="183"/>
      <c r="F69" s="4"/>
      <c r="G69" s="4"/>
      <c r="H69" s="4"/>
      <c r="I69" s="211"/>
      <c r="J69" s="211"/>
      <c r="L69" s="98"/>
      <c r="O69"/>
    </row>
    <row r="70" spans="2:15" x14ac:dyDescent="0.25">
      <c r="B70" s="4"/>
      <c r="C70" s="4"/>
      <c r="D70" s="4"/>
      <c r="E70" s="183"/>
      <c r="F70" s="4"/>
      <c r="G70" s="4"/>
      <c r="H70" s="4"/>
      <c r="I70" s="211"/>
      <c r="J70" s="211"/>
      <c r="L70" s="98"/>
      <c r="O70"/>
    </row>
    <row r="71" spans="2:15" x14ac:dyDescent="0.25">
      <c r="B71" s="4"/>
      <c r="C71" s="4"/>
      <c r="D71" s="4"/>
      <c r="E71" s="183"/>
      <c r="F71" s="4"/>
      <c r="G71" s="4"/>
      <c r="H71" s="4"/>
      <c r="I71" s="211"/>
      <c r="J71" s="211"/>
      <c r="L71" s="98"/>
      <c r="O71"/>
    </row>
    <row r="72" spans="2:15" x14ac:dyDescent="0.25">
      <c r="B72" s="4"/>
      <c r="C72" s="4"/>
      <c r="D72" s="4"/>
      <c r="E72" s="183"/>
      <c r="F72" s="4"/>
      <c r="G72" s="4"/>
      <c r="H72" s="4"/>
      <c r="I72" s="211"/>
      <c r="J72" s="211"/>
      <c r="L72" s="98"/>
      <c r="O72"/>
    </row>
    <row r="73" spans="2:15" x14ac:dyDescent="0.25">
      <c r="B73" s="4"/>
      <c r="C73" s="4"/>
      <c r="D73" s="4"/>
      <c r="E73" s="183"/>
      <c r="F73" s="4"/>
      <c r="G73" s="4"/>
      <c r="H73" s="4"/>
      <c r="I73" s="211"/>
      <c r="J73" s="211"/>
      <c r="L73" s="98"/>
      <c r="O73"/>
    </row>
    <row r="74" spans="2:15" x14ac:dyDescent="0.25">
      <c r="B74" s="4"/>
      <c r="C74" s="4"/>
      <c r="D74" s="4"/>
      <c r="E74" s="183"/>
      <c r="F74" s="4"/>
      <c r="G74" s="4"/>
      <c r="H74" s="4"/>
      <c r="I74" s="211"/>
      <c r="J74" s="211"/>
      <c r="L74" s="98"/>
      <c r="O74"/>
    </row>
    <row r="75" spans="2:15" x14ac:dyDescent="0.25">
      <c r="B75" s="4"/>
      <c r="C75" s="4"/>
      <c r="D75" s="4"/>
      <c r="E75" s="183"/>
      <c r="F75" s="4"/>
      <c r="G75" s="4"/>
      <c r="H75" s="4"/>
      <c r="I75" s="211"/>
      <c r="J75" s="211"/>
      <c r="L75" s="98"/>
      <c r="O75"/>
    </row>
    <row r="76" spans="2:15" x14ac:dyDescent="0.25">
      <c r="B76" s="4"/>
      <c r="C76" s="4"/>
      <c r="D76" s="4"/>
      <c r="E76" s="183"/>
      <c r="F76" s="4"/>
      <c r="G76" s="4"/>
      <c r="H76" s="4"/>
      <c r="I76" s="211"/>
      <c r="J76" s="211"/>
      <c r="L76" s="98"/>
      <c r="O76"/>
    </row>
    <row r="77" spans="2:15" x14ac:dyDescent="0.25">
      <c r="B77" s="4"/>
      <c r="C77" s="4"/>
      <c r="D77" s="4"/>
      <c r="E77" s="183"/>
      <c r="F77" s="4"/>
      <c r="G77" s="4"/>
      <c r="H77" s="4"/>
      <c r="I77" s="211"/>
      <c r="J77" s="211"/>
      <c r="L77" s="98"/>
      <c r="O77"/>
    </row>
    <row r="78" spans="2:15" x14ac:dyDescent="0.25">
      <c r="B78" s="4"/>
      <c r="C78" s="4"/>
      <c r="D78" s="4"/>
      <c r="E78" s="183"/>
      <c r="F78" s="4"/>
      <c r="G78" s="4"/>
      <c r="H78" s="4"/>
      <c r="I78" s="211"/>
      <c r="J78" s="211"/>
      <c r="L78" s="98"/>
      <c r="O78"/>
    </row>
    <row r="79" spans="2:15" x14ac:dyDescent="0.25">
      <c r="B79" s="4"/>
      <c r="C79" s="4"/>
      <c r="D79" s="4"/>
      <c r="E79" s="183"/>
      <c r="F79" s="4"/>
      <c r="G79" s="4"/>
      <c r="H79" s="4"/>
      <c r="I79" s="211"/>
      <c r="J79" s="211"/>
      <c r="L79" s="98"/>
      <c r="O79"/>
    </row>
    <row r="80" spans="2:15" x14ac:dyDescent="0.25">
      <c r="B80" s="4"/>
      <c r="C80" s="4"/>
      <c r="D80" s="4"/>
      <c r="E80" s="183"/>
      <c r="F80" s="4"/>
      <c r="G80" s="4"/>
      <c r="H80" s="4"/>
      <c r="I80" s="211"/>
      <c r="J80" s="211"/>
      <c r="L80" s="98"/>
      <c r="O80"/>
    </row>
    <row r="81" spans="2:15" x14ac:dyDescent="0.25">
      <c r="B81" s="4"/>
      <c r="C81" s="4"/>
      <c r="D81" s="4"/>
      <c r="E81" s="183"/>
      <c r="F81" s="4"/>
      <c r="G81" s="4"/>
      <c r="H81" s="4"/>
      <c r="I81" s="211"/>
      <c r="J81" s="211"/>
      <c r="L81" s="98"/>
      <c r="O81"/>
    </row>
    <row r="82" spans="2:15" x14ac:dyDescent="0.25">
      <c r="B82" s="4"/>
      <c r="C82" s="4"/>
      <c r="D82" s="4"/>
      <c r="E82" s="183"/>
      <c r="F82" s="4"/>
      <c r="G82" s="4"/>
      <c r="H82" s="4"/>
      <c r="I82" s="211"/>
      <c r="J82" s="211"/>
      <c r="K82" s="150"/>
      <c r="L82" s="98"/>
      <c r="O82"/>
    </row>
    <row r="83" spans="2:15" x14ac:dyDescent="0.25">
      <c r="B83" s="4"/>
      <c r="C83" s="4"/>
      <c r="D83" s="4"/>
      <c r="E83" s="183"/>
      <c r="F83" s="4"/>
      <c r="G83" s="4"/>
      <c r="H83" s="4"/>
      <c r="I83" s="211"/>
      <c r="J83" s="211"/>
      <c r="K83" s="150"/>
      <c r="L83" s="98"/>
      <c r="O83"/>
    </row>
    <row r="84" spans="2:15" x14ac:dyDescent="0.25">
      <c r="B84" s="4"/>
      <c r="C84" s="4"/>
      <c r="D84" s="4"/>
      <c r="E84" s="183"/>
      <c r="F84" s="4"/>
      <c r="G84" s="4"/>
      <c r="H84" s="4"/>
      <c r="I84" s="211"/>
      <c r="J84" s="211"/>
      <c r="K84" s="150"/>
      <c r="L84" s="98"/>
      <c r="O84"/>
    </row>
    <row r="85" spans="2:15" x14ac:dyDescent="0.25">
      <c r="B85" s="4"/>
      <c r="C85" s="4"/>
      <c r="D85" s="4"/>
      <c r="E85" s="183"/>
      <c r="F85" s="4"/>
      <c r="G85" s="4"/>
      <c r="H85" s="4"/>
      <c r="I85" s="211"/>
      <c r="J85" s="211"/>
      <c r="K85" s="150"/>
      <c r="L85" s="98"/>
      <c r="O85"/>
    </row>
    <row r="86" spans="2:15" x14ac:dyDescent="0.25">
      <c r="B86" s="4"/>
      <c r="C86" s="4"/>
      <c r="D86" s="4"/>
      <c r="E86" s="183"/>
      <c r="F86" s="4"/>
      <c r="G86" s="4"/>
      <c r="H86" s="4"/>
      <c r="I86" s="211"/>
      <c r="J86" s="211"/>
      <c r="K86" s="150"/>
      <c r="L86" s="98"/>
      <c r="O86"/>
    </row>
    <row r="87" spans="2:15" x14ac:dyDescent="0.25">
      <c r="B87" s="4"/>
      <c r="C87" s="4"/>
      <c r="D87" s="4"/>
      <c r="E87" s="183"/>
      <c r="F87" s="4"/>
      <c r="G87" s="4"/>
      <c r="H87" s="4"/>
      <c r="I87" s="211"/>
      <c r="J87" s="211"/>
      <c r="K87" s="150"/>
      <c r="L87" s="98"/>
      <c r="O87"/>
    </row>
    <row r="88" spans="2:15" x14ac:dyDescent="0.25">
      <c r="B88" s="4"/>
      <c r="C88" s="4"/>
      <c r="D88" s="4"/>
      <c r="E88" s="183"/>
      <c r="F88" s="4"/>
      <c r="G88" s="4"/>
      <c r="H88" s="4"/>
      <c r="I88" s="211"/>
      <c r="J88" s="211"/>
      <c r="K88" s="150"/>
      <c r="L88" s="98"/>
      <c r="O88"/>
    </row>
    <row r="89" spans="2:15" x14ac:dyDescent="0.25">
      <c r="B89" s="4"/>
      <c r="C89" s="4"/>
      <c r="D89" s="4"/>
      <c r="E89" s="183"/>
      <c r="F89" s="4"/>
      <c r="G89" s="4"/>
      <c r="H89" s="4"/>
      <c r="I89" s="211"/>
      <c r="J89" s="211"/>
      <c r="K89" s="150"/>
      <c r="L89" s="98"/>
      <c r="O89"/>
    </row>
    <row r="90" spans="2:15" x14ac:dyDescent="0.25">
      <c r="B90" s="4"/>
      <c r="C90" s="4"/>
      <c r="D90" s="4"/>
      <c r="E90" s="183"/>
      <c r="F90" s="4"/>
      <c r="G90" s="4"/>
      <c r="H90" s="4"/>
      <c r="I90" s="211"/>
      <c r="J90" s="211"/>
      <c r="K90" s="150"/>
      <c r="L90" s="98"/>
      <c r="O90"/>
    </row>
    <row r="91" spans="2:15" x14ac:dyDescent="0.25">
      <c r="B91" s="4"/>
      <c r="C91" s="4"/>
      <c r="D91" s="4"/>
      <c r="E91" s="183"/>
      <c r="F91" s="4"/>
      <c r="G91" s="4"/>
      <c r="H91" s="4"/>
      <c r="I91" s="211"/>
      <c r="J91" s="211"/>
      <c r="K91" s="150"/>
      <c r="L91" s="98"/>
      <c r="O91"/>
    </row>
    <row r="92" spans="2:15" x14ac:dyDescent="0.25">
      <c r="B92" s="4"/>
      <c r="C92" s="4"/>
      <c r="D92" s="4"/>
      <c r="E92" s="183"/>
      <c r="F92" s="4"/>
      <c r="G92" s="4"/>
      <c r="H92" s="4"/>
      <c r="I92" s="211"/>
      <c r="J92" s="211"/>
      <c r="K92" s="150"/>
      <c r="L92" s="98"/>
      <c r="O92"/>
    </row>
    <row r="93" spans="2:15" x14ac:dyDescent="0.25">
      <c r="B93" s="4"/>
      <c r="C93" s="4"/>
      <c r="D93" s="4"/>
      <c r="E93" s="183"/>
      <c r="F93" s="4"/>
      <c r="G93" s="4"/>
      <c r="H93" s="4"/>
      <c r="I93" s="211"/>
      <c r="J93" s="211"/>
      <c r="K93" s="150"/>
      <c r="L93" s="98"/>
      <c r="O93"/>
    </row>
    <row r="94" spans="2:15" x14ac:dyDescent="0.25">
      <c r="B94" s="4"/>
      <c r="C94" s="4"/>
      <c r="D94" s="4"/>
      <c r="E94" s="183"/>
      <c r="F94" s="4"/>
      <c r="G94" s="4"/>
      <c r="H94" s="4"/>
      <c r="I94" s="211"/>
      <c r="J94" s="211"/>
      <c r="K94" s="150"/>
      <c r="L94" s="98"/>
      <c r="O94"/>
    </row>
    <row r="95" spans="2:15" x14ac:dyDescent="0.25">
      <c r="B95" s="4"/>
      <c r="C95" s="4"/>
      <c r="D95" s="4"/>
      <c r="E95" s="183"/>
      <c r="F95" s="4"/>
      <c r="G95" s="4"/>
      <c r="H95" s="4"/>
      <c r="I95" s="211"/>
      <c r="J95" s="211"/>
      <c r="K95" s="150"/>
      <c r="L95" s="98"/>
      <c r="O95"/>
    </row>
    <row r="96" spans="2:15" x14ac:dyDescent="0.25">
      <c r="B96" s="4"/>
      <c r="C96" s="4"/>
      <c r="D96" s="4"/>
      <c r="E96" s="183"/>
      <c r="F96" s="4"/>
      <c r="G96" s="4"/>
      <c r="H96" s="4"/>
      <c r="I96" s="211"/>
      <c r="J96" s="211"/>
      <c r="K96" s="150"/>
      <c r="L96" s="98"/>
      <c r="O96"/>
    </row>
    <row r="97" spans="2:15" x14ac:dyDescent="0.25">
      <c r="B97" s="4"/>
      <c r="C97" s="4"/>
      <c r="D97" s="4"/>
      <c r="E97" s="183"/>
      <c r="F97" s="4"/>
      <c r="G97" s="4"/>
      <c r="H97" s="4"/>
      <c r="I97" s="211"/>
      <c r="J97" s="211"/>
      <c r="K97" s="150"/>
      <c r="L97" s="98"/>
      <c r="O97"/>
    </row>
    <row r="98" spans="2:15" x14ac:dyDescent="0.25">
      <c r="B98" s="4"/>
      <c r="C98" s="4"/>
      <c r="D98" s="4"/>
      <c r="E98" s="183"/>
      <c r="F98" s="4"/>
      <c r="G98" s="4"/>
      <c r="H98" s="4"/>
      <c r="I98" s="211"/>
      <c r="J98" s="211"/>
      <c r="K98" s="150"/>
      <c r="L98" s="98"/>
      <c r="O98"/>
    </row>
    <row r="99" spans="2:15" x14ac:dyDescent="0.25">
      <c r="B99" s="4"/>
      <c r="C99" s="4"/>
      <c r="D99" s="4"/>
      <c r="E99" s="183"/>
      <c r="F99" s="4"/>
      <c r="G99" s="4"/>
      <c r="H99" s="4"/>
      <c r="I99" s="211"/>
      <c r="J99" s="211"/>
      <c r="K99" s="150"/>
      <c r="L99" s="98"/>
      <c r="O99"/>
    </row>
    <row r="100" spans="2:15" x14ac:dyDescent="0.25">
      <c r="B100" s="4"/>
      <c r="C100" s="4"/>
      <c r="D100" s="4"/>
      <c r="E100" s="183"/>
      <c r="F100" s="4"/>
      <c r="G100" s="4"/>
      <c r="H100" s="4"/>
      <c r="I100" s="211"/>
      <c r="J100" s="211"/>
      <c r="K100" s="150"/>
      <c r="L100" s="98"/>
      <c r="O100"/>
    </row>
    <row r="101" spans="2:15" x14ac:dyDescent="0.25">
      <c r="B101" s="4"/>
      <c r="C101" s="4"/>
      <c r="D101" s="4"/>
      <c r="E101" s="183"/>
      <c r="F101" s="4"/>
      <c r="G101" s="4"/>
      <c r="H101" s="4"/>
      <c r="I101" s="211"/>
      <c r="J101" s="211"/>
      <c r="K101" s="150"/>
      <c r="L101" s="98"/>
      <c r="O101"/>
    </row>
    <row r="102" spans="2:15" x14ac:dyDescent="0.25">
      <c r="B102" s="4"/>
      <c r="C102" s="4"/>
      <c r="D102" s="4"/>
      <c r="E102" s="183"/>
      <c r="F102" s="4"/>
      <c r="G102" s="4"/>
      <c r="H102" s="4"/>
      <c r="I102" s="211"/>
      <c r="J102" s="211"/>
      <c r="K102" s="150"/>
      <c r="L102" s="98"/>
      <c r="O102"/>
    </row>
    <row r="103" spans="2:15" x14ac:dyDescent="0.25">
      <c r="B103" s="4"/>
      <c r="C103" s="4"/>
      <c r="D103" s="4"/>
      <c r="E103" s="183"/>
      <c r="F103" s="4"/>
      <c r="G103" s="4"/>
      <c r="H103" s="4"/>
      <c r="I103" s="211"/>
      <c r="J103" s="211"/>
      <c r="K103" s="150"/>
      <c r="L103" s="98"/>
      <c r="O103"/>
    </row>
    <row r="104" spans="2:15" x14ac:dyDescent="0.25">
      <c r="B104" s="4"/>
      <c r="C104" s="4"/>
      <c r="D104" s="4"/>
      <c r="E104" s="183"/>
      <c r="F104" s="4"/>
      <c r="G104" s="4"/>
      <c r="H104" s="4"/>
      <c r="I104" s="211"/>
      <c r="J104" s="211"/>
      <c r="K104" s="150"/>
      <c r="L104" s="98"/>
      <c r="O104"/>
    </row>
    <row r="105" spans="2:15" x14ac:dyDescent="0.25">
      <c r="B105" s="4"/>
      <c r="C105" s="4"/>
      <c r="D105" s="4"/>
      <c r="E105" s="183"/>
      <c r="F105" s="4"/>
      <c r="G105" s="4"/>
      <c r="H105" s="4"/>
      <c r="I105" s="211"/>
      <c r="J105" s="211"/>
      <c r="K105" s="150"/>
      <c r="L105" s="98"/>
      <c r="O105"/>
    </row>
    <row r="106" spans="2:15" x14ac:dyDescent="0.25">
      <c r="B106" s="4"/>
      <c r="C106" s="4"/>
      <c r="D106" s="4"/>
      <c r="E106" s="183"/>
      <c r="F106" s="4"/>
      <c r="G106" s="4"/>
      <c r="H106" s="4"/>
      <c r="I106" s="211"/>
      <c r="J106" s="211"/>
      <c r="K106" s="150"/>
      <c r="L106" s="98"/>
      <c r="O106"/>
    </row>
    <row r="107" spans="2:15" x14ac:dyDescent="0.25">
      <c r="B107" s="4"/>
      <c r="C107" s="4"/>
      <c r="D107" s="4"/>
      <c r="E107" s="183"/>
      <c r="F107" s="4"/>
      <c r="G107" s="4"/>
      <c r="H107" s="4"/>
      <c r="I107" s="211"/>
      <c r="J107" s="211"/>
      <c r="K107" s="150"/>
      <c r="L107" s="98"/>
      <c r="O107"/>
    </row>
    <row r="108" spans="2:15" x14ac:dyDescent="0.25">
      <c r="B108" s="4"/>
      <c r="C108" s="4"/>
      <c r="D108" s="4"/>
      <c r="E108" s="183"/>
      <c r="F108" s="4"/>
      <c r="G108" s="4"/>
      <c r="H108" s="4"/>
      <c r="I108" s="211"/>
      <c r="J108" s="211"/>
      <c r="K108" s="150"/>
      <c r="L108" s="98"/>
      <c r="O108"/>
    </row>
    <row r="109" spans="2:15" x14ac:dyDescent="0.25">
      <c r="B109" s="4"/>
      <c r="C109" s="4"/>
      <c r="D109" s="4"/>
      <c r="E109" s="183"/>
      <c r="F109" s="4"/>
      <c r="G109" s="4"/>
      <c r="H109" s="4"/>
      <c r="I109" s="211"/>
      <c r="J109" s="211"/>
      <c r="K109" s="150"/>
      <c r="L109" s="98"/>
      <c r="O109"/>
    </row>
    <row r="110" spans="2:15" x14ac:dyDescent="0.25">
      <c r="B110" s="4"/>
      <c r="C110" s="4"/>
      <c r="D110" s="4"/>
      <c r="E110" s="183"/>
      <c r="F110" s="4"/>
      <c r="G110" s="4"/>
      <c r="H110" s="4"/>
      <c r="I110" s="211"/>
      <c r="J110" s="211"/>
      <c r="K110" s="150"/>
      <c r="L110" s="98"/>
      <c r="O110"/>
    </row>
    <row r="111" spans="2:15" x14ac:dyDescent="0.25">
      <c r="B111" s="4"/>
      <c r="C111" s="4"/>
      <c r="D111" s="4"/>
      <c r="E111" s="183"/>
      <c r="F111" s="4"/>
      <c r="G111" s="4"/>
      <c r="H111" s="4"/>
      <c r="I111" s="211"/>
      <c r="J111" s="211"/>
      <c r="K111" s="150"/>
      <c r="L111" s="98"/>
      <c r="O111"/>
    </row>
    <row r="112" spans="2:15" x14ac:dyDescent="0.25">
      <c r="B112" s="4"/>
      <c r="C112" s="4"/>
      <c r="D112" s="4"/>
      <c r="E112" s="183"/>
      <c r="F112" s="4"/>
      <c r="G112" s="4"/>
      <c r="H112" s="4"/>
      <c r="I112" s="211"/>
      <c r="J112" s="211"/>
      <c r="K112" s="150"/>
      <c r="L112" s="98"/>
      <c r="O112"/>
    </row>
    <row r="113" spans="2:15" x14ac:dyDescent="0.25">
      <c r="B113" s="4"/>
      <c r="C113" s="4"/>
      <c r="D113" s="4"/>
      <c r="E113" s="183"/>
      <c r="F113" s="4"/>
      <c r="G113" s="4"/>
      <c r="H113" s="4"/>
      <c r="I113" s="211"/>
      <c r="J113" s="211"/>
      <c r="K113" s="150"/>
      <c r="L113" s="98"/>
      <c r="O113"/>
    </row>
    <row r="114" spans="2:15" x14ac:dyDescent="0.25">
      <c r="B114" s="4"/>
      <c r="C114" s="4"/>
      <c r="D114" s="4"/>
      <c r="E114" s="183"/>
      <c r="F114" s="4"/>
      <c r="G114" s="4"/>
      <c r="H114" s="4"/>
      <c r="I114" s="211"/>
      <c r="J114" s="211"/>
      <c r="K114" s="150"/>
      <c r="L114" s="98"/>
      <c r="O114"/>
    </row>
    <row r="115" spans="2:15" x14ac:dyDescent="0.25">
      <c r="B115" s="4"/>
      <c r="C115" s="4"/>
      <c r="D115" s="4"/>
      <c r="E115" s="183"/>
      <c r="F115" s="4"/>
      <c r="G115" s="4"/>
      <c r="H115" s="4"/>
      <c r="I115" s="211"/>
      <c r="J115" s="211"/>
      <c r="K115" s="150"/>
      <c r="L115" s="98"/>
      <c r="O115"/>
    </row>
    <row r="116" spans="2:15" x14ac:dyDescent="0.25">
      <c r="B116" s="4"/>
      <c r="C116" s="4"/>
      <c r="D116" s="4"/>
      <c r="E116" s="183"/>
      <c r="F116" s="4"/>
      <c r="G116" s="4"/>
      <c r="H116" s="4"/>
      <c r="I116" s="211"/>
      <c r="J116" s="211"/>
      <c r="K116" s="150"/>
      <c r="L116" s="98"/>
      <c r="O116"/>
    </row>
    <row r="117" spans="2:15" x14ac:dyDescent="0.25">
      <c r="B117" s="4"/>
      <c r="C117" s="4"/>
      <c r="D117" s="4"/>
      <c r="E117" s="183"/>
      <c r="F117" s="4"/>
      <c r="G117" s="4"/>
      <c r="H117" s="4"/>
      <c r="I117" s="211"/>
      <c r="J117" s="211"/>
      <c r="K117" s="150"/>
      <c r="L117" s="98"/>
      <c r="O117"/>
    </row>
    <row r="118" spans="2:15" x14ac:dyDescent="0.25">
      <c r="B118" s="4"/>
      <c r="C118" s="4"/>
      <c r="D118" s="4"/>
      <c r="E118" s="183"/>
      <c r="F118" s="4"/>
      <c r="G118" s="4"/>
      <c r="H118" s="4"/>
      <c r="I118" s="211"/>
      <c r="J118" s="211"/>
      <c r="K118" s="150"/>
      <c r="L118" s="98"/>
      <c r="O118"/>
    </row>
    <row r="119" spans="2:15" x14ac:dyDescent="0.25">
      <c r="B119" s="4"/>
      <c r="C119" s="4"/>
      <c r="D119" s="4"/>
      <c r="E119" s="183"/>
      <c r="F119" s="4"/>
      <c r="G119" s="4"/>
      <c r="H119" s="4"/>
      <c r="I119" s="211"/>
      <c r="J119" s="211"/>
      <c r="K119" s="150"/>
      <c r="L119" s="98"/>
      <c r="O119"/>
    </row>
    <row r="120" spans="2:15" x14ac:dyDescent="0.25">
      <c r="B120" s="4"/>
      <c r="C120" s="4"/>
      <c r="D120" s="4"/>
      <c r="E120" s="183"/>
      <c r="F120" s="4"/>
      <c r="G120" s="4"/>
      <c r="H120" s="4"/>
      <c r="I120" s="211"/>
      <c r="J120" s="211"/>
      <c r="K120" s="150"/>
      <c r="L120" s="98"/>
      <c r="O120"/>
    </row>
    <row r="121" spans="2:15" x14ac:dyDescent="0.25">
      <c r="B121" s="4"/>
      <c r="C121" s="4"/>
      <c r="D121" s="4"/>
      <c r="E121" s="183"/>
      <c r="F121" s="4"/>
      <c r="G121" s="4"/>
      <c r="H121" s="4"/>
      <c r="I121" s="211"/>
      <c r="J121" s="211"/>
      <c r="K121" s="150"/>
      <c r="L121" s="98"/>
      <c r="O121"/>
    </row>
    <row r="122" spans="2:15" x14ac:dyDescent="0.25">
      <c r="B122" s="4"/>
      <c r="C122" s="4"/>
      <c r="D122" s="4"/>
      <c r="E122" s="183"/>
      <c r="F122" s="4"/>
      <c r="G122" s="4"/>
      <c r="H122" s="4"/>
      <c r="I122" s="211"/>
      <c r="J122" s="211"/>
      <c r="K122" s="150"/>
      <c r="L122" s="98"/>
      <c r="O122"/>
    </row>
    <row r="123" spans="2:15" x14ac:dyDescent="0.25">
      <c r="B123" s="4"/>
      <c r="C123" s="4"/>
      <c r="D123" s="4"/>
      <c r="E123" s="183"/>
      <c r="F123" s="4"/>
      <c r="G123" s="4"/>
      <c r="H123" s="4"/>
      <c r="I123" s="211"/>
      <c r="J123" s="211"/>
      <c r="K123" s="150"/>
      <c r="L123" s="98"/>
      <c r="O123"/>
    </row>
    <row r="124" spans="2:15" x14ac:dyDescent="0.25">
      <c r="B124" s="4"/>
      <c r="C124" s="4"/>
      <c r="D124" s="4"/>
      <c r="E124" s="183"/>
      <c r="F124" s="4"/>
      <c r="G124" s="4"/>
      <c r="H124" s="4"/>
      <c r="I124" s="211"/>
      <c r="J124" s="211"/>
      <c r="K124" s="150"/>
      <c r="L124" s="98"/>
      <c r="O124"/>
    </row>
    <row r="125" spans="2:15" x14ac:dyDescent="0.25">
      <c r="B125" s="4"/>
      <c r="C125" s="4"/>
      <c r="D125" s="4"/>
      <c r="E125" s="183"/>
      <c r="F125" s="4"/>
      <c r="G125" s="4"/>
      <c r="H125" s="4"/>
      <c r="I125" s="211"/>
      <c r="J125" s="211"/>
      <c r="K125" s="150"/>
      <c r="L125" s="98"/>
      <c r="O125"/>
    </row>
    <row r="126" spans="2:15" x14ac:dyDescent="0.25">
      <c r="B126" s="4"/>
      <c r="C126" s="4"/>
      <c r="D126" s="4"/>
      <c r="E126" s="183"/>
      <c r="F126" s="4"/>
      <c r="G126" s="4"/>
      <c r="H126" s="4"/>
      <c r="I126" s="211"/>
      <c r="J126" s="211"/>
      <c r="K126" s="150"/>
      <c r="L126" s="98"/>
      <c r="O126"/>
    </row>
    <row r="127" spans="2:15" x14ac:dyDescent="0.25">
      <c r="B127" s="4"/>
      <c r="C127" s="4"/>
      <c r="D127" s="4"/>
      <c r="E127" s="183"/>
      <c r="F127" s="4"/>
      <c r="G127" s="4"/>
      <c r="H127" s="4"/>
      <c r="I127" s="211"/>
      <c r="J127" s="211"/>
      <c r="K127" s="150"/>
      <c r="L127" s="98"/>
      <c r="O127"/>
    </row>
    <row r="128" spans="2:15" x14ac:dyDescent="0.25">
      <c r="B128" s="4"/>
      <c r="C128" s="4"/>
      <c r="D128" s="4"/>
      <c r="E128" s="183"/>
      <c r="F128" s="4"/>
      <c r="G128" s="4"/>
      <c r="H128" s="4"/>
      <c r="I128" s="211"/>
      <c r="J128" s="211"/>
      <c r="K128" s="150"/>
      <c r="L128" s="98"/>
      <c r="O128"/>
    </row>
    <row r="129" spans="2:15" x14ac:dyDescent="0.25">
      <c r="B129" s="4"/>
      <c r="C129" s="4"/>
      <c r="D129" s="4"/>
      <c r="E129" s="183"/>
      <c r="F129" s="4"/>
      <c r="G129" s="4"/>
      <c r="H129" s="4"/>
      <c r="I129" s="211"/>
      <c r="J129" s="211"/>
      <c r="K129" s="150"/>
      <c r="L129" s="98"/>
      <c r="O129"/>
    </row>
    <row r="130" spans="2:15" x14ac:dyDescent="0.25">
      <c r="B130" s="4"/>
      <c r="C130" s="4"/>
      <c r="D130" s="4"/>
      <c r="E130" s="183"/>
      <c r="F130" s="4"/>
      <c r="G130" s="4"/>
      <c r="H130" s="4"/>
      <c r="I130" s="211"/>
      <c r="J130" s="211"/>
      <c r="K130" s="150"/>
      <c r="L130" s="98"/>
      <c r="O130"/>
    </row>
    <row r="131" spans="2:15" x14ac:dyDescent="0.25">
      <c r="B131" s="4"/>
      <c r="C131" s="4"/>
      <c r="D131" s="4"/>
      <c r="E131" s="183"/>
      <c r="F131" s="4"/>
      <c r="G131" s="4"/>
      <c r="H131" s="4"/>
      <c r="I131" s="211"/>
      <c r="J131" s="211"/>
      <c r="K131" s="150"/>
      <c r="L131" s="98"/>
      <c r="O131"/>
    </row>
    <row r="132" spans="2:15" x14ac:dyDescent="0.25">
      <c r="B132" s="4"/>
      <c r="C132" s="4"/>
      <c r="D132" s="4"/>
      <c r="E132" s="183"/>
      <c r="F132" s="4"/>
      <c r="G132" s="4"/>
      <c r="H132" s="4"/>
      <c r="I132" s="211"/>
      <c r="J132" s="211"/>
      <c r="K132" s="150"/>
      <c r="L132" s="98"/>
      <c r="O132"/>
    </row>
    <row r="133" spans="2:15" x14ac:dyDescent="0.25">
      <c r="B133" s="4"/>
      <c r="C133" s="4"/>
      <c r="D133" s="4"/>
      <c r="E133" s="183"/>
      <c r="F133" s="4"/>
      <c r="G133" s="4"/>
      <c r="H133" s="4"/>
      <c r="I133" s="211"/>
      <c r="J133" s="211"/>
      <c r="K133" s="150"/>
      <c r="L133" s="98"/>
      <c r="O133"/>
    </row>
    <row r="134" spans="2:15" x14ac:dyDescent="0.25">
      <c r="B134" s="4"/>
      <c r="C134" s="4"/>
      <c r="D134" s="4"/>
      <c r="E134" s="183"/>
      <c r="F134" s="4"/>
      <c r="G134" s="4"/>
      <c r="H134" s="4"/>
      <c r="I134" s="211"/>
      <c r="J134" s="211"/>
      <c r="K134" s="150"/>
      <c r="L134" s="98"/>
      <c r="O134"/>
    </row>
    <row r="135" spans="2:15" x14ac:dyDescent="0.25">
      <c r="B135" s="4"/>
      <c r="C135" s="4"/>
      <c r="D135" s="4"/>
      <c r="E135" s="183"/>
      <c r="F135" s="4"/>
      <c r="G135" s="4"/>
      <c r="H135" s="4"/>
      <c r="I135" s="211"/>
      <c r="J135" s="211"/>
      <c r="K135" s="150"/>
      <c r="L135" s="98"/>
      <c r="O135"/>
    </row>
    <row r="136" spans="2:15" x14ac:dyDescent="0.25">
      <c r="B136" s="4"/>
      <c r="C136" s="4"/>
      <c r="D136" s="4"/>
      <c r="E136" s="183"/>
      <c r="F136" s="4"/>
      <c r="G136" s="4"/>
      <c r="H136" s="4"/>
      <c r="I136" s="211"/>
      <c r="J136" s="211"/>
      <c r="K136" s="150"/>
      <c r="L136" s="98"/>
      <c r="O136"/>
    </row>
    <row r="137" spans="2:15" x14ac:dyDescent="0.25">
      <c r="B137" s="4"/>
      <c r="C137" s="4"/>
      <c r="D137" s="4"/>
      <c r="E137" s="183"/>
      <c r="F137" s="4"/>
      <c r="G137" s="4"/>
      <c r="H137" s="4"/>
      <c r="I137" s="211"/>
      <c r="J137" s="211"/>
      <c r="K137" s="150"/>
      <c r="L137" s="98"/>
      <c r="O137"/>
    </row>
    <row r="138" spans="2:15" x14ac:dyDescent="0.25">
      <c r="B138" s="4"/>
      <c r="C138" s="4"/>
      <c r="D138" s="4"/>
      <c r="E138" s="183"/>
      <c r="F138" s="4"/>
      <c r="G138" s="4"/>
      <c r="H138" s="4"/>
      <c r="I138" s="211"/>
      <c r="J138" s="211"/>
      <c r="K138" s="150"/>
      <c r="L138" s="98"/>
      <c r="O138"/>
    </row>
    <row r="139" spans="2:15" x14ac:dyDescent="0.25">
      <c r="B139" s="4"/>
      <c r="C139" s="4"/>
      <c r="D139" s="4"/>
      <c r="E139" s="183"/>
      <c r="F139" s="4"/>
      <c r="G139" s="4"/>
      <c r="H139" s="4"/>
      <c r="I139" s="211"/>
      <c r="J139" s="211"/>
      <c r="K139" s="150"/>
      <c r="L139" s="98"/>
      <c r="O139"/>
    </row>
    <row r="140" spans="2:15" x14ac:dyDescent="0.25">
      <c r="B140" s="4"/>
      <c r="C140" s="4"/>
      <c r="D140" s="4"/>
      <c r="E140" s="183"/>
      <c r="F140" s="4"/>
      <c r="G140" s="4"/>
      <c r="H140" s="4"/>
      <c r="I140" s="211"/>
      <c r="J140" s="211"/>
      <c r="K140" s="150"/>
      <c r="L140" s="98"/>
      <c r="O140"/>
    </row>
    <row r="141" spans="2:15" x14ac:dyDescent="0.25">
      <c r="B141" s="4"/>
      <c r="C141" s="4"/>
      <c r="D141" s="4"/>
      <c r="E141" s="183"/>
      <c r="F141" s="4"/>
      <c r="G141" s="4"/>
      <c r="H141" s="4"/>
      <c r="I141" s="211"/>
      <c r="J141" s="211"/>
      <c r="K141" s="150"/>
      <c r="L141" s="98"/>
      <c r="O141"/>
    </row>
    <row r="142" spans="2:15" x14ac:dyDescent="0.25">
      <c r="B142" s="4"/>
      <c r="C142" s="4"/>
      <c r="D142" s="4"/>
      <c r="E142" s="183"/>
      <c r="F142" s="4"/>
      <c r="G142" s="4"/>
      <c r="H142" s="4"/>
      <c r="I142" s="211"/>
      <c r="J142" s="211"/>
      <c r="K142" s="150"/>
      <c r="L142" s="98"/>
      <c r="O142"/>
    </row>
    <row r="143" spans="2:15" x14ac:dyDescent="0.25">
      <c r="B143" s="4"/>
      <c r="C143" s="4"/>
      <c r="D143" s="4"/>
      <c r="E143" s="183"/>
      <c r="F143" s="4"/>
      <c r="G143" s="4"/>
      <c r="H143" s="4"/>
      <c r="I143" s="211"/>
      <c r="J143" s="211"/>
      <c r="K143" s="150"/>
      <c r="L143" s="98"/>
      <c r="O143"/>
    </row>
    <row r="144" spans="2:15" x14ac:dyDescent="0.25">
      <c r="B144" s="4"/>
      <c r="C144" s="4"/>
      <c r="D144" s="4"/>
      <c r="E144" s="183"/>
      <c r="F144" s="4"/>
      <c r="G144" s="4"/>
      <c r="H144" s="4"/>
      <c r="I144" s="211"/>
      <c r="J144" s="211"/>
      <c r="K144" s="150"/>
      <c r="L144" s="98"/>
      <c r="O144"/>
    </row>
    <row r="145" spans="2:15" x14ac:dyDescent="0.25">
      <c r="B145" s="4"/>
      <c r="C145" s="4"/>
      <c r="D145" s="4"/>
      <c r="E145" s="183"/>
      <c r="F145" s="4"/>
      <c r="G145" s="4"/>
      <c r="H145" s="4"/>
      <c r="I145" s="211"/>
      <c r="J145" s="211"/>
      <c r="K145" s="150"/>
      <c r="L145" s="98"/>
      <c r="O145"/>
    </row>
    <row r="146" spans="2:15" x14ac:dyDescent="0.25">
      <c r="B146" s="4"/>
      <c r="C146" s="4"/>
      <c r="D146" s="4"/>
      <c r="E146" s="183"/>
      <c r="F146" s="4"/>
      <c r="G146" s="4"/>
      <c r="H146" s="4"/>
      <c r="I146" s="211"/>
      <c r="J146" s="211"/>
      <c r="K146" s="150"/>
      <c r="L146" s="98"/>
      <c r="O146"/>
    </row>
    <row r="147" spans="2:15" x14ac:dyDescent="0.25">
      <c r="B147" s="4"/>
      <c r="C147" s="4"/>
      <c r="D147" s="4"/>
      <c r="E147" s="183"/>
      <c r="F147" s="4"/>
      <c r="G147" s="4"/>
      <c r="H147" s="4"/>
      <c r="I147" s="211"/>
      <c r="J147" s="211"/>
      <c r="K147" s="150"/>
      <c r="L147" s="98"/>
      <c r="O147"/>
    </row>
    <row r="148" spans="2:15" x14ac:dyDescent="0.25">
      <c r="B148" s="4"/>
      <c r="C148" s="4"/>
      <c r="D148" s="4"/>
      <c r="E148" s="183"/>
      <c r="F148" s="4"/>
      <c r="G148" s="4"/>
      <c r="H148" s="4"/>
      <c r="I148" s="211"/>
      <c r="J148" s="211"/>
      <c r="K148" s="150"/>
      <c r="L148" s="98"/>
      <c r="O148"/>
    </row>
    <row r="149" spans="2:15" x14ac:dyDescent="0.25">
      <c r="B149" s="4"/>
      <c r="C149" s="4"/>
      <c r="D149" s="4"/>
      <c r="E149" s="183"/>
      <c r="F149" s="4"/>
      <c r="G149" s="4"/>
      <c r="H149" s="4"/>
      <c r="I149" s="211"/>
      <c r="J149" s="211"/>
      <c r="K149" s="150"/>
      <c r="L149" s="98"/>
      <c r="O149"/>
    </row>
    <row r="150" spans="2:15" x14ac:dyDescent="0.25">
      <c r="B150" s="4"/>
      <c r="C150" s="4"/>
      <c r="D150" s="4"/>
      <c r="E150" s="183"/>
      <c r="F150" s="4"/>
      <c r="G150" s="4"/>
      <c r="H150" s="4"/>
      <c r="I150" s="211"/>
      <c r="J150" s="211"/>
      <c r="K150" s="150"/>
      <c r="L150" s="98"/>
      <c r="O150"/>
    </row>
    <row r="151" spans="2:15" x14ac:dyDescent="0.25">
      <c r="B151" s="4"/>
      <c r="C151" s="4"/>
      <c r="D151" s="4"/>
      <c r="E151" s="183"/>
      <c r="F151" s="4"/>
      <c r="G151" s="4"/>
      <c r="H151" s="4"/>
      <c r="I151" s="211"/>
      <c r="J151" s="211"/>
      <c r="K151" s="150"/>
      <c r="L151" s="98"/>
      <c r="O151"/>
    </row>
    <row r="152" spans="2:15" x14ac:dyDescent="0.25">
      <c r="B152" s="4"/>
      <c r="C152" s="4"/>
      <c r="D152" s="4"/>
      <c r="E152" s="183"/>
      <c r="F152" s="4"/>
      <c r="G152" s="4"/>
      <c r="H152" s="4"/>
      <c r="I152" s="211"/>
      <c r="J152" s="211"/>
      <c r="K152" s="150"/>
      <c r="L152" s="98"/>
      <c r="O152"/>
    </row>
    <row r="153" spans="2:15" x14ac:dyDescent="0.25">
      <c r="B153" s="4"/>
      <c r="C153" s="4"/>
      <c r="D153" s="4"/>
      <c r="E153" s="183"/>
      <c r="F153" s="4"/>
      <c r="G153" s="4"/>
      <c r="H153" s="4"/>
      <c r="I153" s="211"/>
      <c r="J153" s="211"/>
      <c r="K153" s="150"/>
      <c r="L153" s="98"/>
      <c r="O153"/>
    </row>
    <row r="154" spans="2:15" x14ac:dyDescent="0.25">
      <c r="B154" s="4"/>
      <c r="C154" s="4"/>
      <c r="D154" s="4"/>
      <c r="E154" s="183"/>
      <c r="F154" s="4"/>
      <c r="G154" s="4"/>
      <c r="H154" s="4"/>
      <c r="I154" s="211"/>
      <c r="J154" s="211"/>
      <c r="K154" s="150"/>
      <c r="L154" s="98"/>
      <c r="O154"/>
    </row>
    <row r="155" spans="2:15" x14ac:dyDescent="0.25">
      <c r="B155" s="4"/>
      <c r="C155" s="4"/>
      <c r="D155" s="4"/>
      <c r="E155" s="183"/>
      <c r="F155" s="4"/>
      <c r="G155" s="4"/>
      <c r="H155" s="4"/>
      <c r="I155" s="211"/>
      <c r="J155" s="211"/>
      <c r="K155" s="150"/>
      <c r="L155" s="98"/>
      <c r="O155"/>
    </row>
    <row r="156" spans="2:15" x14ac:dyDescent="0.25">
      <c r="B156" s="4"/>
      <c r="C156" s="4"/>
      <c r="D156" s="4"/>
      <c r="E156" s="183"/>
      <c r="F156" s="4"/>
      <c r="G156" s="4"/>
      <c r="H156" s="4"/>
      <c r="I156" s="211"/>
      <c r="J156" s="211"/>
      <c r="K156" s="150"/>
      <c r="L156" s="98"/>
      <c r="O156"/>
    </row>
    <row r="157" spans="2:15" x14ac:dyDescent="0.25">
      <c r="B157" s="4"/>
      <c r="C157" s="4"/>
      <c r="D157" s="4"/>
      <c r="E157" s="183"/>
      <c r="F157" s="4"/>
      <c r="G157" s="4"/>
      <c r="H157" s="4"/>
      <c r="I157" s="211"/>
      <c r="J157" s="211"/>
      <c r="K157" s="150"/>
      <c r="L157" s="98"/>
      <c r="O157"/>
    </row>
    <row r="158" spans="2:15" x14ac:dyDescent="0.25">
      <c r="B158" s="4"/>
      <c r="C158" s="4"/>
      <c r="D158" s="4"/>
      <c r="E158" s="183"/>
      <c r="F158" s="4"/>
      <c r="G158" s="4"/>
      <c r="H158" s="4"/>
      <c r="I158" s="211"/>
      <c r="J158" s="211"/>
      <c r="K158" s="150"/>
      <c r="L158" s="98"/>
      <c r="O158"/>
    </row>
    <row r="159" spans="2:15" x14ac:dyDescent="0.25">
      <c r="B159" s="4"/>
      <c r="C159" s="4"/>
      <c r="D159" s="4"/>
      <c r="E159" s="183"/>
      <c r="F159" s="4"/>
      <c r="G159" s="4"/>
      <c r="H159" s="4"/>
      <c r="I159" s="211"/>
      <c r="J159" s="211"/>
      <c r="K159" s="150"/>
      <c r="L159" s="98"/>
      <c r="O159"/>
    </row>
    <row r="160" spans="2:15" x14ac:dyDescent="0.25">
      <c r="B160" s="4"/>
      <c r="C160" s="4"/>
      <c r="D160" s="4"/>
      <c r="E160" s="183"/>
      <c r="F160" s="4"/>
      <c r="G160" s="4"/>
      <c r="H160" s="4"/>
      <c r="I160" s="211"/>
      <c r="J160" s="211"/>
      <c r="K160" s="150"/>
      <c r="L160" s="98"/>
      <c r="O160"/>
    </row>
    <row r="161" spans="2:15" x14ac:dyDescent="0.25">
      <c r="B161" s="4"/>
      <c r="C161" s="4"/>
      <c r="D161" s="4"/>
      <c r="E161" s="183"/>
      <c r="F161" s="4"/>
      <c r="G161" s="4"/>
      <c r="H161" s="4"/>
      <c r="I161" s="211"/>
      <c r="J161" s="211"/>
      <c r="K161" s="150"/>
      <c r="L161" s="98"/>
      <c r="O161"/>
    </row>
    <row r="162" spans="2:15" x14ac:dyDescent="0.25">
      <c r="B162" s="4"/>
      <c r="C162" s="4"/>
      <c r="D162" s="4"/>
      <c r="E162" s="183"/>
      <c r="F162" s="4"/>
      <c r="G162" s="4"/>
      <c r="H162" s="4"/>
      <c r="I162" s="211"/>
      <c r="J162" s="211"/>
      <c r="K162" s="150"/>
      <c r="L162" s="98"/>
      <c r="O162"/>
    </row>
    <row r="163" spans="2:15" x14ac:dyDescent="0.25">
      <c r="B163" s="4"/>
      <c r="C163" s="4"/>
      <c r="D163" s="4"/>
      <c r="E163" s="183"/>
      <c r="F163" s="4"/>
      <c r="G163" s="4"/>
      <c r="H163" s="4"/>
      <c r="I163" s="211"/>
      <c r="J163" s="211"/>
      <c r="K163" s="150"/>
      <c r="L163" s="98"/>
      <c r="O163"/>
    </row>
    <row r="164" spans="2:15" x14ac:dyDescent="0.25">
      <c r="B164" s="4"/>
      <c r="C164" s="4"/>
      <c r="D164" s="4"/>
      <c r="E164" s="183"/>
      <c r="F164" s="4"/>
      <c r="G164" s="4"/>
      <c r="H164" s="4"/>
      <c r="I164" s="211"/>
      <c r="J164" s="211"/>
      <c r="K164" s="150"/>
      <c r="L164" s="98"/>
      <c r="O164"/>
    </row>
    <row r="165" spans="2:15" x14ac:dyDescent="0.25">
      <c r="B165" s="4"/>
      <c r="C165" s="4"/>
      <c r="D165" s="4"/>
      <c r="E165" s="183"/>
      <c r="F165" s="4"/>
      <c r="G165" s="4"/>
      <c r="H165" s="4"/>
      <c r="I165" s="211"/>
      <c r="J165" s="211"/>
      <c r="K165" s="150"/>
      <c r="L165" s="98"/>
      <c r="O165"/>
    </row>
    <row r="166" spans="2:15" x14ac:dyDescent="0.25">
      <c r="B166" s="4"/>
      <c r="C166" s="4"/>
      <c r="D166" s="4"/>
      <c r="E166" s="183"/>
      <c r="F166" s="4"/>
      <c r="G166" s="4"/>
      <c r="H166" s="4"/>
      <c r="I166" s="211"/>
      <c r="J166" s="211"/>
      <c r="K166" s="150"/>
      <c r="L166" s="98"/>
      <c r="O166"/>
    </row>
    <row r="167" spans="2:15" x14ac:dyDescent="0.25">
      <c r="B167" s="4"/>
      <c r="C167" s="4"/>
      <c r="D167" s="4"/>
      <c r="E167" s="183"/>
      <c r="F167" s="4"/>
      <c r="G167" s="4"/>
      <c r="H167" s="4"/>
      <c r="I167" s="211"/>
      <c r="J167" s="211"/>
      <c r="K167" s="150"/>
      <c r="L167" s="98"/>
      <c r="O167"/>
    </row>
    <row r="168" spans="2:15" x14ac:dyDescent="0.25">
      <c r="B168" s="4"/>
      <c r="C168" s="4"/>
      <c r="D168" s="4"/>
      <c r="E168" s="183"/>
      <c r="F168" s="4"/>
      <c r="G168" s="4"/>
      <c r="H168" s="4"/>
      <c r="I168" s="211"/>
      <c r="J168" s="211"/>
      <c r="K168" s="150"/>
      <c r="L168" s="98"/>
      <c r="O168"/>
    </row>
    <row r="169" spans="2:15" x14ac:dyDescent="0.25">
      <c r="B169" s="4"/>
      <c r="C169" s="4"/>
      <c r="D169" s="4"/>
      <c r="E169" s="183"/>
      <c r="F169" s="4"/>
      <c r="G169" s="4"/>
      <c r="H169" s="4"/>
      <c r="I169" s="211"/>
      <c r="J169" s="211"/>
      <c r="K169" s="150"/>
      <c r="L169" s="98"/>
      <c r="O169"/>
    </row>
    <row r="170" spans="2:15" x14ac:dyDescent="0.25">
      <c r="B170" s="4"/>
      <c r="C170" s="4"/>
      <c r="D170" s="4"/>
      <c r="E170" s="183"/>
      <c r="F170" s="4"/>
      <c r="G170" s="4"/>
      <c r="H170" s="4"/>
      <c r="I170" s="211"/>
      <c r="J170" s="211"/>
      <c r="K170" s="150"/>
      <c r="L170" s="98"/>
      <c r="O170"/>
    </row>
    <row r="171" spans="2:15" x14ac:dyDescent="0.25">
      <c r="B171" s="4"/>
      <c r="C171" s="4"/>
      <c r="D171" s="4"/>
      <c r="E171" s="183"/>
      <c r="F171" s="4"/>
      <c r="G171" s="4"/>
      <c r="H171" s="4"/>
      <c r="I171" s="211"/>
      <c r="J171" s="211"/>
      <c r="K171" s="150"/>
      <c r="L171" s="98"/>
      <c r="O171"/>
    </row>
    <row r="172" spans="2:15" x14ac:dyDescent="0.25">
      <c r="B172" s="4"/>
      <c r="C172" s="4"/>
      <c r="D172" s="4"/>
      <c r="E172" s="183"/>
      <c r="F172" s="4"/>
      <c r="G172" s="4"/>
      <c r="H172" s="4"/>
      <c r="I172" s="211"/>
      <c r="J172" s="211"/>
      <c r="K172" s="150"/>
      <c r="L172" s="98"/>
      <c r="O172"/>
    </row>
    <row r="173" spans="2:15" x14ac:dyDescent="0.25">
      <c r="B173" s="4"/>
      <c r="C173" s="4"/>
      <c r="D173" s="4"/>
      <c r="E173" s="183"/>
      <c r="F173" s="4"/>
      <c r="G173" s="4"/>
      <c r="H173" s="4"/>
      <c r="I173" s="211"/>
      <c r="J173" s="211"/>
      <c r="K173" s="150"/>
      <c r="L173" s="98"/>
      <c r="O173"/>
    </row>
    <row r="174" spans="2:15" x14ac:dyDescent="0.25">
      <c r="B174" s="4"/>
      <c r="C174" s="4"/>
      <c r="D174" s="4"/>
      <c r="E174" s="183"/>
      <c r="F174" s="4"/>
      <c r="G174" s="4"/>
      <c r="H174" s="4"/>
      <c r="I174" s="211"/>
      <c r="J174" s="211"/>
      <c r="K174" s="150"/>
      <c r="L174" s="98"/>
      <c r="O174"/>
    </row>
    <row r="175" spans="2:15" x14ac:dyDescent="0.25">
      <c r="B175" s="4"/>
      <c r="C175" s="4"/>
      <c r="D175" s="4"/>
      <c r="E175" s="183"/>
      <c r="F175" s="4"/>
      <c r="G175" s="4"/>
      <c r="H175" s="4"/>
      <c r="I175" s="211"/>
      <c r="J175" s="211"/>
      <c r="K175" s="150"/>
      <c r="L175" s="98"/>
      <c r="O175"/>
    </row>
    <row r="176" spans="2:15" x14ac:dyDescent="0.25">
      <c r="B176" s="4"/>
      <c r="C176" s="4"/>
      <c r="D176" s="4"/>
      <c r="E176" s="183"/>
      <c r="F176" s="4"/>
      <c r="G176" s="4"/>
      <c r="H176" s="4"/>
      <c r="I176" s="211"/>
      <c r="J176" s="211"/>
      <c r="K176" s="150"/>
      <c r="L176" s="98"/>
      <c r="O176"/>
    </row>
    <row r="177" spans="2:15" x14ac:dyDescent="0.25">
      <c r="B177" s="4"/>
      <c r="C177" s="4"/>
      <c r="D177" s="4"/>
      <c r="E177" s="183"/>
      <c r="F177" s="4"/>
      <c r="G177" s="4"/>
      <c r="H177" s="4"/>
      <c r="I177" s="211"/>
      <c r="J177" s="211"/>
      <c r="K177" s="150"/>
      <c r="L177" s="98"/>
      <c r="O177"/>
    </row>
    <row r="178" spans="2:15" x14ac:dyDescent="0.25">
      <c r="B178" s="4"/>
      <c r="C178" s="4"/>
      <c r="D178" s="4"/>
      <c r="E178" s="183"/>
      <c r="F178" s="4"/>
      <c r="G178" s="4"/>
      <c r="H178" s="4"/>
      <c r="I178" s="211"/>
      <c r="J178" s="211"/>
      <c r="K178" s="150"/>
      <c r="L178" s="98"/>
      <c r="O178"/>
    </row>
    <row r="179" spans="2:15" x14ac:dyDescent="0.25">
      <c r="B179" s="4"/>
      <c r="C179" s="4"/>
      <c r="D179" s="4"/>
      <c r="E179" s="183"/>
      <c r="F179" s="4"/>
      <c r="G179" s="4"/>
      <c r="H179" s="4"/>
      <c r="I179" s="211"/>
      <c r="J179" s="211"/>
      <c r="K179" s="150"/>
      <c r="L179" s="98"/>
      <c r="O179"/>
    </row>
    <row r="180" spans="2:15" x14ac:dyDescent="0.25">
      <c r="B180" s="4"/>
      <c r="C180" s="4"/>
      <c r="D180" s="4"/>
      <c r="E180" s="183"/>
      <c r="F180" s="4"/>
      <c r="G180" s="4"/>
      <c r="H180" s="4"/>
      <c r="I180" s="211"/>
      <c r="J180" s="211"/>
      <c r="K180" s="150"/>
      <c r="L180" s="98"/>
      <c r="O180"/>
    </row>
    <row r="181" spans="2:15" x14ac:dyDescent="0.25">
      <c r="B181" s="4"/>
      <c r="C181" s="4"/>
      <c r="D181" s="4"/>
      <c r="E181" s="183"/>
      <c r="F181" s="4"/>
      <c r="G181" s="4"/>
      <c r="H181" s="4"/>
      <c r="I181" s="211"/>
      <c r="J181" s="211"/>
      <c r="K181" s="150"/>
      <c r="L181" s="98"/>
      <c r="O181"/>
    </row>
    <row r="182" spans="2:15" x14ac:dyDescent="0.25">
      <c r="B182" s="4"/>
      <c r="C182" s="4"/>
      <c r="D182" s="4"/>
      <c r="E182" s="183"/>
      <c r="F182" s="4"/>
      <c r="G182" s="4"/>
      <c r="H182" s="4"/>
      <c r="I182" s="211"/>
      <c r="J182" s="211"/>
      <c r="K182" s="150"/>
      <c r="L182" s="98"/>
      <c r="O182"/>
    </row>
    <row r="183" spans="2:15" x14ac:dyDescent="0.25">
      <c r="B183" s="4"/>
      <c r="C183" s="4"/>
      <c r="D183" s="4"/>
      <c r="E183" s="183"/>
      <c r="F183" s="4"/>
      <c r="G183" s="4"/>
      <c r="H183" s="4"/>
      <c r="I183" s="211"/>
      <c r="J183" s="211"/>
      <c r="K183" s="150"/>
      <c r="L183" s="98"/>
      <c r="O183"/>
    </row>
    <row r="184" spans="2:15" x14ac:dyDescent="0.25">
      <c r="B184" s="4"/>
      <c r="C184" s="4"/>
      <c r="D184" s="4"/>
      <c r="E184" s="183"/>
      <c r="F184" s="4"/>
      <c r="G184" s="4"/>
      <c r="H184" s="4"/>
      <c r="I184" s="211"/>
      <c r="J184" s="211"/>
      <c r="K184" s="150"/>
      <c r="L184" s="98"/>
      <c r="O184"/>
    </row>
    <row r="185" spans="2:15" x14ac:dyDescent="0.25">
      <c r="B185" s="4"/>
      <c r="C185" s="4"/>
      <c r="D185" s="4"/>
      <c r="E185" s="183"/>
      <c r="F185" s="4"/>
      <c r="G185" s="4"/>
      <c r="H185" s="4"/>
      <c r="I185" s="211"/>
      <c r="J185" s="211"/>
      <c r="K185" s="150"/>
      <c r="L185" s="98"/>
      <c r="O185"/>
    </row>
    <row r="186" spans="2:15" x14ac:dyDescent="0.25">
      <c r="B186" s="4"/>
      <c r="C186" s="4"/>
      <c r="D186" s="4"/>
      <c r="E186" s="183"/>
      <c r="F186" s="4"/>
      <c r="G186" s="4"/>
      <c r="H186" s="4"/>
      <c r="I186" s="211"/>
      <c r="J186" s="211"/>
      <c r="K186" s="150"/>
      <c r="L186" s="98"/>
      <c r="O186"/>
    </row>
    <row r="187" spans="2:15" x14ac:dyDescent="0.25">
      <c r="B187" s="4"/>
      <c r="C187" s="4"/>
      <c r="D187" s="4"/>
      <c r="E187" s="183"/>
      <c r="F187" s="4"/>
      <c r="G187" s="4"/>
      <c r="H187" s="4"/>
      <c r="I187" s="211"/>
      <c r="J187" s="211"/>
      <c r="K187" s="150"/>
      <c r="L187" s="98"/>
      <c r="O187"/>
    </row>
    <row r="188" spans="2:15" x14ac:dyDescent="0.25">
      <c r="B188" s="4"/>
      <c r="C188" s="4"/>
      <c r="D188" s="4"/>
      <c r="E188" s="183"/>
      <c r="F188" s="4"/>
      <c r="G188" s="4"/>
      <c r="H188" s="4"/>
      <c r="I188" s="211"/>
      <c r="J188" s="211"/>
      <c r="K188" s="150"/>
      <c r="L188" s="98"/>
      <c r="O188"/>
    </row>
    <row r="189" spans="2:15" x14ac:dyDescent="0.25">
      <c r="B189" s="4"/>
      <c r="C189" s="4"/>
      <c r="D189" s="4"/>
      <c r="E189" s="183"/>
      <c r="F189" s="4"/>
      <c r="G189" s="4"/>
      <c r="H189" s="4"/>
      <c r="I189" s="211"/>
      <c r="J189" s="211"/>
      <c r="K189" s="150"/>
      <c r="L189" s="98"/>
      <c r="O189"/>
    </row>
    <row r="190" spans="2:15" x14ac:dyDescent="0.25">
      <c r="B190" s="4"/>
      <c r="C190" s="4"/>
      <c r="D190" s="4"/>
      <c r="E190" s="183"/>
      <c r="F190" s="4"/>
      <c r="G190" s="4"/>
      <c r="H190" s="4"/>
      <c r="I190" s="211"/>
      <c r="J190" s="211"/>
      <c r="K190" s="150"/>
      <c r="L190" s="98"/>
      <c r="O190"/>
    </row>
    <row r="191" spans="2:15" x14ac:dyDescent="0.25">
      <c r="B191" s="4"/>
      <c r="C191" s="4"/>
      <c r="D191" s="4"/>
      <c r="E191" s="183"/>
      <c r="F191" s="4"/>
      <c r="G191" s="4"/>
      <c r="H191" s="4"/>
      <c r="I191" s="211"/>
      <c r="J191" s="211"/>
      <c r="K191" s="150"/>
      <c r="L191" s="98"/>
      <c r="O191"/>
    </row>
    <row r="192" spans="2:15" x14ac:dyDescent="0.25">
      <c r="B192" s="4"/>
      <c r="C192" s="4"/>
      <c r="D192" s="4"/>
      <c r="E192" s="183"/>
      <c r="F192" s="4"/>
      <c r="G192" s="4"/>
      <c r="H192" s="4"/>
      <c r="I192" s="211"/>
      <c r="J192" s="211"/>
      <c r="K192" s="150"/>
      <c r="L192" s="98"/>
      <c r="O192"/>
    </row>
    <row r="193" spans="2:15" x14ac:dyDescent="0.25">
      <c r="B193" s="4"/>
      <c r="C193" s="4"/>
      <c r="D193" s="4"/>
      <c r="E193" s="183"/>
      <c r="F193" s="4"/>
      <c r="G193" s="4"/>
      <c r="H193" s="4"/>
      <c r="I193" s="211"/>
      <c r="J193" s="211"/>
      <c r="K193" s="150"/>
      <c r="L193" s="98"/>
      <c r="O193"/>
    </row>
    <row r="194" spans="2:15" x14ac:dyDescent="0.25">
      <c r="B194" s="4"/>
      <c r="C194" s="4"/>
      <c r="D194" s="4"/>
      <c r="E194" s="183"/>
      <c r="F194" s="4"/>
      <c r="G194" s="4"/>
      <c r="H194" s="4"/>
      <c r="I194" s="211"/>
      <c r="J194" s="211"/>
      <c r="K194" s="150"/>
      <c r="L194" s="98"/>
      <c r="O194"/>
    </row>
    <row r="195" spans="2:15" x14ac:dyDescent="0.25">
      <c r="B195" s="4"/>
      <c r="C195" s="4"/>
      <c r="D195" s="4"/>
      <c r="E195" s="183"/>
      <c r="F195" s="4"/>
      <c r="G195" s="4"/>
      <c r="H195" s="4"/>
      <c r="I195" s="211"/>
      <c r="J195" s="211"/>
      <c r="K195" s="150"/>
      <c r="L195" s="98"/>
      <c r="O195"/>
    </row>
    <row r="196" spans="2:15" x14ac:dyDescent="0.25">
      <c r="B196" s="4"/>
      <c r="C196" s="4"/>
      <c r="D196" s="4"/>
      <c r="E196" s="183"/>
      <c r="F196" s="4"/>
      <c r="G196" s="4"/>
      <c r="H196" s="4"/>
      <c r="I196" s="211"/>
      <c r="J196" s="211"/>
      <c r="K196" s="150"/>
      <c r="L196" s="98"/>
      <c r="O196"/>
    </row>
    <row r="197" spans="2:15" x14ac:dyDescent="0.25">
      <c r="B197" s="4"/>
      <c r="C197" s="4"/>
      <c r="D197" s="4"/>
      <c r="E197" s="183"/>
      <c r="F197" s="4"/>
      <c r="G197" s="4"/>
      <c r="H197" s="4"/>
      <c r="I197" s="211"/>
      <c r="J197" s="211"/>
      <c r="K197" s="150"/>
      <c r="L197" s="98"/>
      <c r="O197"/>
    </row>
    <row r="198" spans="2:15" x14ac:dyDescent="0.25">
      <c r="B198" s="4"/>
      <c r="C198" s="4"/>
      <c r="D198" s="4"/>
      <c r="E198" s="183"/>
      <c r="F198" s="4"/>
      <c r="G198" s="4"/>
      <c r="H198" s="4"/>
      <c r="I198" s="211"/>
      <c r="J198" s="211"/>
      <c r="K198" s="150"/>
      <c r="L198" s="98"/>
      <c r="O198"/>
    </row>
    <row r="199" spans="2:15" x14ac:dyDescent="0.25">
      <c r="B199" s="4"/>
      <c r="C199" s="4"/>
      <c r="D199" s="4"/>
      <c r="E199" s="183"/>
      <c r="F199" s="4"/>
      <c r="G199" s="4"/>
      <c r="H199" s="4"/>
      <c r="I199" s="211"/>
      <c r="J199" s="211"/>
      <c r="K199" s="150"/>
      <c r="L199" s="98"/>
      <c r="O199"/>
    </row>
    <row r="200" spans="2:15" x14ac:dyDescent="0.25">
      <c r="B200" s="4"/>
      <c r="C200" s="4"/>
      <c r="D200" s="4"/>
      <c r="E200" s="183"/>
      <c r="F200" s="4"/>
      <c r="G200" s="4"/>
      <c r="H200" s="4"/>
      <c r="I200" s="211"/>
      <c r="J200" s="211"/>
      <c r="K200" s="150"/>
      <c r="L200" s="98"/>
      <c r="O200"/>
    </row>
    <row r="201" spans="2:15" x14ac:dyDescent="0.25">
      <c r="B201" s="4"/>
      <c r="C201" s="4"/>
      <c r="D201" s="4"/>
      <c r="E201" s="183"/>
      <c r="F201" s="4"/>
      <c r="G201" s="4"/>
      <c r="H201" s="4"/>
      <c r="I201" s="211"/>
      <c r="J201" s="211"/>
      <c r="K201" s="150"/>
      <c r="L201" s="98"/>
      <c r="O201"/>
    </row>
    <row r="202" spans="2:15" x14ac:dyDescent="0.25">
      <c r="B202" s="4"/>
      <c r="C202" s="4"/>
      <c r="D202" s="4"/>
      <c r="E202" s="183"/>
      <c r="F202" s="4"/>
      <c r="G202" s="4"/>
      <c r="H202" s="4"/>
      <c r="I202" s="211"/>
      <c r="J202" s="211"/>
      <c r="K202" s="150"/>
      <c r="L202" s="98"/>
      <c r="O202"/>
    </row>
    <row r="203" spans="2:15" x14ac:dyDescent="0.25">
      <c r="B203" s="4"/>
      <c r="C203" s="4"/>
      <c r="D203" s="4"/>
      <c r="E203" s="183"/>
      <c r="F203" s="4"/>
      <c r="G203" s="4"/>
      <c r="H203" s="4"/>
      <c r="I203" s="211"/>
      <c r="J203" s="211"/>
      <c r="K203" s="150"/>
      <c r="L203" s="98"/>
      <c r="O203"/>
    </row>
    <row r="204" spans="2:15" x14ac:dyDescent="0.25">
      <c r="B204" s="4"/>
      <c r="C204" s="4"/>
      <c r="D204" s="4"/>
      <c r="E204" s="183"/>
      <c r="F204" s="4"/>
      <c r="G204" s="4"/>
      <c r="H204" s="4"/>
      <c r="I204" s="211"/>
      <c r="J204" s="211"/>
      <c r="K204" s="150"/>
      <c r="L204" s="98"/>
      <c r="O204"/>
    </row>
    <row r="205" spans="2:15" x14ac:dyDescent="0.25">
      <c r="B205" s="4"/>
      <c r="C205" s="4"/>
      <c r="D205" s="4"/>
      <c r="E205" s="183"/>
      <c r="F205" s="4"/>
      <c r="G205" s="4"/>
      <c r="H205" s="4"/>
      <c r="I205" s="211"/>
      <c r="J205" s="211"/>
      <c r="K205" s="150"/>
      <c r="L205" s="98"/>
      <c r="O205"/>
    </row>
    <row r="206" spans="2:15" x14ac:dyDescent="0.25">
      <c r="B206" s="4"/>
      <c r="C206" s="4"/>
      <c r="D206" s="4"/>
      <c r="E206" s="183"/>
      <c r="F206" s="4"/>
      <c r="G206" s="4"/>
      <c r="H206" s="4"/>
      <c r="I206" s="211"/>
      <c r="J206" s="211"/>
      <c r="K206" s="150"/>
      <c r="L206" s="98"/>
      <c r="O206"/>
    </row>
    <row r="207" spans="2:15" x14ac:dyDescent="0.25">
      <c r="B207" s="4"/>
      <c r="C207" s="4"/>
      <c r="D207" s="4"/>
      <c r="E207" s="183"/>
      <c r="F207" s="4"/>
      <c r="G207" s="4"/>
      <c r="H207" s="4"/>
      <c r="I207" s="211"/>
      <c r="J207" s="211"/>
      <c r="K207" s="150"/>
      <c r="L207" s="98"/>
      <c r="O207"/>
    </row>
    <row r="208" spans="2:15" x14ac:dyDescent="0.25">
      <c r="B208" s="4"/>
      <c r="C208" s="4"/>
      <c r="D208" s="4"/>
      <c r="E208" s="183"/>
      <c r="F208" s="4"/>
      <c r="G208" s="4"/>
      <c r="H208" s="4"/>
      <c r="I208" s="211"/>
      <c r="J208" s="211"/>
      <c r="K208" s="150"/>
      <c r="L208" s="98"/>
      <c r="O208"/>
    </row>
    <row r="209" spans="2:15" x14ac:dyDescent="0.25">
      <c r="B209" s="4"/>
      <c r="C209" s="4"/>
      <c r="D209" s="4"/>
      <c r="E209" s="183"/>
      <c r="F209" s="4"/>
      <c r="G209" s="4"/>
      <c r="H209" s="4"/>
      <c r="I209" s="211"/>
      <c r="J209" s="211"/>
      <c r="K209" s="150"/>
      <c r="L209" s="98"/>
      <c r="O209"/>
    </row>
    <row r="210" spans="2:15" x14ac:dyDescent="0.25">
      <c r="B210" s="4"/>
      <c r="C210" s="4"/>
      <c r="D210" s="4"/>
      <c r="E210" s="183"/>
      <c r="F210" s="4"/>
      <c r="G210" s="4"/>
      <c r="H210" s="4"/>
      <c r="I210" s="211"/>
      <c r="J210" s="211"/>
      <c r="K210" s="150"/>
      <c r="L210" s="98"/>
      <c r="O210"/>
    </row>
    <row r="211" spans="2:15" x14ac:dyDescent="0.25">
      <c r="B211" s="4"/>
      <c r="C211" s="4"/>
      <c r="D211" s="4"/>
      <c r="E211" s="183"/>
      <c r="F211" s="4"/>
      <c r="G211" s="4"/>
      <c r="H211" s="4"/>
      <c r="I211" s="211"/>
      <c r="J211" s="211"/>
      <c r="K211" s="150"/>
      <c r="L211" s="98"/>
      <c r="O211"/>
    </row>
    <row r="212" spans="2:15" x14ac:dyDescent="0.25">
      <c r="B212" s="4"/>
      <c r="C212" s="4"/>
      <c r="D212" s="4"/>
      <c r="E212" s="183"/>
      <c r="F212" s="4"/>
      <c r="G212" s="4"/>
      <c r="H212" s="4"/>
      <c r="I212" s="211"/>
      <c r="J212" s="211"/>
      <c r="K212" s="150"/>
      <c r="L212" s="98"/>
      <c r="O212"/>
    </row>
    <row r="213" spans="2:15" x14ac:dyDescent="0.25">
      <c r="B213" s="4"/>
      <c r="C213" s="4"/>
      <c r="D213" s="4"/>
      <c r="E213" s="183"/>
      <c r="F213" s="4"/>
      <c r="G213" s="4"/>
      <c r="H213" s="4"/>
      <c r="I213" s="211"/>
      <c r="J213" s="211"/>
      <c r="K213" s="150"/>
      <c r="L213" s="98"/>
      <c r="O213"/>
    </row>
    <row r="214" spans="2:15" x14ac:dyDescent="0.25">
      <c r="B214" s="4"/>
      <c r="C214" s="4"/>
      <c r="D214" s="4"/>
      <c r="E214" s="183"/>
      <c r="F214" s="4"/>
      <c r="G214" s="4"/>
      <c r="H214" s="4"/>
      <c r="I214" s="211"/>
      <c r="J214" s="211"/>
      <c r="K214" s="150"/>
      <c r="L214" s="98"/>
      <c r="O214"/>
    </row>
    <row r="215" spans="2:15" x14ac:dyDescent="0.25">
      <c r="B215" s="4"/>
      <c r="C215" s="4"/>
      <c r="D215" s="4"/>
      <c r="E215" s="183"/>
      <c r="F215" s="4"/>
      <c r="G215" s="4"/>
      <c r="H215" s="4"/>
      <c r="I215" s="211"/>
      <c r="J215" s="211"/>
      <c r="K215" s="150"/>
      <c r="L215" s="98"/>
      <c r="O215"/>
    </row>
    <row r="216" spans="2:15" x14ac:dyDescent="0.25">
      <c r="B216" s="4"/>
      <c r="C216" s="4"/>
      <c r="D216" s="4"/>
      <c r="E216" s="183"/>
      <c r="F216" s="4"/>
      <c r="G216" s="4"/>
      <c r="H216" s="4"/>
      <c r="I216" s="211"/>
      <c r="J216" s="211"/>
      <c r="K216" s="150"/>
      <c r="L216" s="98"/>
      <c r="O216"/>
    </row>
    <row r="217" spans="2:15" x14ac:dyDescent="0.25">
      <c r="B217" s="4"/>
      <c r="C217" s="4"/>
      <c r="D217" s="4"/>
      <c r="E217" s="183"/>
      <c r="F217" s="4"/>
      <c r="G217" s="4"/>
      <c r="H217" s="4"/>
      <c r="I217" s="211"/>
      <c r="J217" s="211"/>
      <c r="K217" s="150"/>
      <c r="L217" s="98"/>
      <c r="O217"/>
    </row>
    <row r="218" spans="2:15" x14ac:dyDescent="0.25">
      <c r="B218" s="4"/>
      <c r="C218" s="4"/>
      <c r="D218" s="4"/>
      <c r="E218" s="183"/>
      <c r="F218" s="4"/>
      <c r="G218" s="4"/>
      <c r="H218" s="4"/>
      <c r="I218" s="211"/>
      <c r="J218" s="211"/>
      <c r="K218" s="150"/>
      <c r="L218" s="98"/>
      <c r="O218"/>
    </row>
    <row r="219" spans="2:15" x14ac:dyDescent="0.25">
      <c r="B219" s="4"/>
      <c r="C219" s="4"/>
      <c r="D219" s="4"/>
      <c r="E219" s="183"/>
      <c r="F219" s="4"/>
      <c r="G219" s="4"/>
      <c r="H219" s="4"/>
      <c r="I219" s="211"/>
      <c r="J219" s="211"/>
      <c r="K219" s="150"/>
      <c r="L219" s="98"/>
      <c r="O219"/>
    </row>
    <row r="220" spans="2:15" x14ac:dyDescent="0.25">
      <c r="B220" s="4"/>
      <c r="C220" s="4"/>
      <c r="D220" s="4"/>
      <c r="E220" s="183"/>
      <c r="F220" s="4"/>
      <c r="G220" s="4"/>
      <c r="H220" s="4"/>
      <c r="I220" s="211"/>
      <c r="J220" s="211"/>
      <c r="K220" s="150"/>
      <c r="L220" s="98"/>
      <c r="O220"/>
    </row>
    <row r="221" spans="2:15" x14ac:dyDescent="0.25">
      <c r="B221" s="4"/>
      <c r="C221" s="4"/>
      <c r="D221" s="4"/>
      <c r="E221" s="183"/>
      <c r="F221" s="4"/>
      <c r="G221" s="4"/>
      <c r="H221" s="4"/>
      <c r="I221" s="211"/>
      <c r="J221" s="211"/>
      <c r="K221" s="150"/>
      <c r="L221" s="98"/>
      <c r="O221"/>
    </row>
    <row r="222" spans="2:15" x14ac:dyDescent="0.25">
      <c r="B222" s="4"/>
      <c r="C222" s="4"/>
      <c r="D222" s="4"/>
      <c r="E222" s="183"/>
      <c r="F222" s="4"/>
      <c r="G222" s="4"/>
      <c r="H222" s="4"/>
      <c r="I222" s="211"/>
      <c r="J222" s="211"/>
      <c r="K222" s="150"/>
      <c r="L222" s="98"/>
      <c r="O222"/>
    </row>
    <row r="223" spans="2:15" x14ac:dyDescent="0.25">
      <c r="B223" s="4"/>
      <c r="C223" s="4"/>
      <c r="D223" s="4"/>
      <c r="E223" s="183"/>
      <c r="F223" s="4"/>
      <c r="G223" s="4"/>
      <c r="H223" s="4"/>
      <c r="I223" s="211"/>
      <c r="J223" s="211"/>
      <c r="K223" s="150"/>
      <c r="L223" s="98"/>
      <c r="O223"/>
    </row>
    <row r="224" spans="2:15" x14ac:dyDescent="0.25">
      <c r="B224" s="4"/>
      <c r="C224" s="4"/>
      <c r="D224" s="4"/>
      <c r="E224" s="183"/>
      <c r="F224" s="4"/>
      <c r="G224" s="4"/>
      <c r="H224" s="4"/>
      <c r="I224" s="211"/>
      <c r="J224" s="211"/>
      <c r="K224" s="150"/>
      <c r="L224" s="98"/>
      <c r="O224"/>
    </row>
    <row r="225" spans="2:15" x14ac:dyDescent="0.25">
      <c r="B225" s="4"/>
      <c r="C225" s="4"/>
      <c r="D225" s="4"/>
      <c r="E225" s="183"/>
      <c r="F225" s="4"/>
      <c r="G225" s="4"/>
      <c r="H225" s="4"/>
      <c r="I225" s="211"/>
      <c r="J225" s="211"/>
      <c r="K225" s="150"/>
      <c r="L225" s="98"/>
      <c r="O225"/>
    </row>
    <row r="226" spans="2:15" x14ac:dyDescent="0.25">
      <c r="B226" s="4"/>
      <c r="C226" s="4"/>
      <c r="D226" s="4"/>
      <c r="E226" s="183"/>
      <c r="F226" s="4"/>
      <c r="G226" s="4"/>
      <c r="H226" s="4"/>
      <c r="I226" s="211"/>
      <c r="J226" s="211"/>
      <c r="K226" s="150"/>
      <c r="L226" s="98"/>
      <c r="O226"/>
    </row>
    <row r="227" spans="2:15" x14ac:dyDescent="0.25">
      <c r="B227" s="4"/>
      <c r="C227" s="4"/>
      <c r="D227" s="4"/>
      <c r="E227" s="183"/>
      <c r="F227" s="4"/>
      <c r="G227" s="4"/>
      <c r="H227" s="4"/>
      <c r="I227" s="211"/>
      <c r="J227" s="211"/>
      <c r="K227" s="150"/>
      <c r="L227" s="98"/>
      <c r="O227"/>
    </row>
    <row r="228" spans="2:15" x14ac:dyDescent="0.25">
      <c r="B228" s="4"/>
      <c r="C228" s="4"/>
      <c r="D228" s="4"/>
      <c r="E228" s="183"/>
      <c r="F228" s="4"/>
      <c r="G228" s="4"/>
      <c r="H228" s="4"/>
      <c r="I228" s="211"/>
      <c r="J228" s="211"/>
      <c r="K228" s="150"/>
      <c r="L228" s="98"/>
      <c r="O228"/>
    </row>
    <row r="229" spans="2:15" x14ac:dyDescent="0.25">
      <c r="B229" s="4"/>
      <c r="C229" s="4"/>
      <c r="D229" s="4"/>
      <c r="E229" s="183"/>
      <c r="F229" s="4"/>
      <c r="G229" s="4"/>
      <c r="H229" s="4"/>
      <c r="I229" s="211"/>
      <c r="J229" s="211"/>
      <c r="K229" s="150"/>
      <c r="L229" s="98"/>
      <c r="O229"/>
    </row>
    <row r="230" spans="2:15" x14ac:dyDescent="0.25">
      <c r="B230" s="4"/>
      <c r="C230" s="4"/>
      <c r="D230" s="4"/>
      <c r="E230" s="183"/>
      <c r="F230" s="4"/>
      <c r="G230" s="4"/>
      <c r="H230" s="4"/>
      <c r="I230" s="211"/>
      <c r="J230" s="211"/>
      <c r="K230" s="150"/>
      <c r="L230" s="98"/>
      <c r="O230"/>
    </row>
    <row r="231" spans="2:15" x14ac:dyDescent="0.25">
      <c r="B231" s="4"/>
      <c r="C231" s="4"/>
      <c r="D231" s="4"/>
      <c r="E231" s="183"/>
      <c r="F231" s="4"/>
      <c r="G231" s="4"/>
      <c r="H231" s="4"/>
      <c r="I231" s="211"/>
      <c r="J231" s="211"/>
      <c r="K231" s="150"/>
      <c r="L231" s="98"/>
      <c r="O231"/>
    </row>
    <row r="232" spans="2:15" x14ac:dyDescent="0.25">
      <c r="B232" s="4"/>
      <c r="C232" s="4"/>
      <c r="D232" s="4"/>
      <c r="E232" s="183"/>
      <c r="F232" s="4"/>
      <c r="G232" s="4"/>
      <c r="H232" s="4"/>
      <c r="I232" s="211"/>
      <c r="J232" s="211"/>
      <c r="K232" s="150"/>
      <c r="L232" s="98"/>
      <c r="O232"/>
    </row>
    <row r="233" spans="2:15" x14ac:dyDescent="0.25">
      <c r="B233" s="4"/>
      <c r="C233" s="4"/>
      <c r="D233" s="4"/>
      <c r="E233" s="183"/>
      <c r="F233" s="4"/>
      <c r="G233" s="4"/>
      <c r="H233" s="4"/>
      <c r="I233" s="211"/>
      <c r="J233" s="211"/>
      <c r="K233" s="150"/>
      <c r="L233" s="98"/>
      <c r="O233"/>
    </row>
    <row r="234" spans="2:15" x14ac:dyDescent="0.25">
      <c r="B234" s="4"/>
      <c r="C234" s="4"/>
      <c r="D234" s="4"/>
      <c r="E234" s="278"/>
      <c r="F234" s="4"/>
      <c r="G234" s="4"/>
      <c r="H234" s="4"/>
      <c r="I234" s="211"/>
      <c r="J234" s="211"/>
      <c r="K234" s="150"/>
      <c r="L234" s="98"/>
      <c r="O234"/>
    </row>
    <row r="235" spans="2:15" x14ac:dyDescent="0.25">
      <c r="B235" s="4"/>
      <c r="C235" s="4"/>
      <c r="D235" s="4"/>
      <c r="E235" s="278"/>
      <c r="F235" s="4"/>
      <c r="G235" s="4"/>
      <c r="H235" s="4"/>
      <c r="I235" s="211"/>
      <c r="J235" s="211"/>
      <c r="K235" s="150"/>
      <c r="L235" s="98"/>
      <c r="O235"/>
    </row>
    <row r="236" spans="2:15" x14ac:dyDescent="0.25">
      <c r="B236" s="4"/>
      <c r="C236" s="4"/>
      <c r="D236" s="4"/>
      <c r="E236" s="278"/>
      <c r="F236" s="4"/>
      <c r="G236" s="4"/>
      <c r="H236" s="4"/>
      <c r="I236" s="211"/>
      <c r="J236" s="211"/>
      <c r="K236" s="150"/>
      <c r="L236" s="98"/>
      <c r="O236"/>
    </row>
    <row r="237" spans="2:15" x14ac:dyDescent="0.25">
      <c r="B237" s="4"/>
      <c r="C237" s="4"/>
      <c r="D237" s="4"/>
      <c r="E237" s="278"/>
      <c r="F237" s="4"/>
      <c r="G237" s="4"/>
      <c r="H237" s="4"/>
      <c r="I237" s="211"/>
      <c r="J237" s="211"/>
      <c r="K237" s="150"/>
      <c r="L237" s="98"/>
      <c r="O237"/>
    </row>
    <row r="238" spans="2:15" x14ac:dyDescent="0.25">
      <c r="B238" s="4"/>
      <c r="C238" s="4"/>
      <c r="D238" s="4"/>
      <c r="E238" s="278"/>
      <c r="F238" s="4"/>
      <c r="G238" s="4"/>
      <c r="H238" s="4"/>
      <c r="I238" s="211"/>
      <c r="J238" s="211"/>
      <c r="K238" s="150"/>
      <c r="L238" s="98"/>
      <c r="O238"/>
    </row>
    <row r="239" spans="2:15" x14ac:dyDescent="0.25">
      <c r="B239" s="4"/>
      <c r="C239" s="4"/>
      <c r="D239" s="4"/>
      <c r="E239" s="278"/>
      <c r="F239" s="4"/>
      <c r="G239" s="4"/>
      <c r="H239" s="4"/>
      <c r="I239" s="211"/>
      <c r="J239" s="211"/>
      <c r="K239" s="150"/>
      <c r="L239" s="98"/>
      <c r="O239"/>
    </row>
    <row r="240" spans="2:15" x14ac:dyDescent="0.25">
      <c r="B240" s="4"/>
      <c r="C240" s="4"/>
      <c r="D240" s="4"/>
      <c r="E240" s="278"/>
      <c r="F240" s="4"/>
      <c r="G240" s="4"/>
      <c r="H240" s="4"/>
      <c r="I240" s="211"/>
      <c r="J240" s="211"/>
      <c r="K240" s="150"/>
      <c r="L240" s="98"/>
      <c r="O240"/>
    </row>
    <row r="241" spans="2:15" x14ac:dyDescent="0.25">
      <c r="B241" s="4"/>
      <c r="C241" s="4"/>
      <c r="D241" s="4"/>
      <c r="E241" s="278"/>
      <c r="F241" s="4"/>
      <c r="G241" s="4"/>
      <c r="H241" s="4"/>
      <c r="I241" s="211"/>
      <c r="J241" s="211"/>
      <c r="K241" s="150"/>
      <c r="L241" s="98"/>
      <c r="O241"/>
    </row>
    <row r="242" spans="2:15" x14ac:dyDescent="0.25">
      <c r="B242" s="4"/>
      <c r="C242" s="4"/>
      <c r="D242" s="4"/>
      <c r="E242" s="278"/>
      <c r="F242" s="4"/>
      <c r="G242" s="4"/>
      <c r="H242" s="4"/>
      <c r="I242" s="211"/>
      <c r="J242" s="211"/>
      <c r="K242" s="150"/>
      <c r="L242" s="98"/>
      <c r="O242"/>
    </row>
    <row r="243" spans="2:15" x14ac:dyDescent="0.25">
      <c r="B243" s="4"/>
      <c r="C243" s="4"/>
      <c r="D243" s="4"/>
      <c r="E243" s="278"/>
      <c r="F243" s="4"/>
      <c r="G243" s="4"/>
      <c r="H243" s="4"/>
      <c r="I243" s="211"/>
      <c r="J243" s="211"/>
      <c r="K243" s="150"/>
      <c r="L243" s="98"/>
      <c r="O243"/>
    </row>
    <row r="244" spans="2:15" x14ac:dyDescent="0.25">
      <c r="B244" s="4"/>
      <c r="C244" s="4"/>
      <c r="D244" s="4"/>
      <c r="E244" s="278"/>
      <c r="F244" s="4"/>
      <c r="G244" s="4"/>
      <c r="H244" s="4"/>
      <c r="I244" s="211"/>
      <c r="J244" s="211"/>
      <c r="K244" s="150"/>
      <c r="L244" s="98"/>
      <c r="O244"/>
    </row>
    <row r="245" spans="2:15" x14ac:dyDescent="0.25">
      <c r="B245" s="4"/>
      <c r="C245" s="4"/>
      <c r="D245" s="4"/>
      <c r="E245" s="278"/>
      <c r="F245" s="4"/>
      <c r="G245" s="4"/>
      <c r="H245" s="4"/>
      <c r="I245" s="211"/>
      <c r="J245" s="211"/>
      <c r="K245" s="150"/>
      <c r="L245" s="98"/>
      <c r="O245"/>
    </row>
    <row r="246" spans="2:15" x14ac:dyDescent="0.25">
      <c r="B246" s="4"/>
      <c r="C246" s="4"/>
      <c r="D246" s="4"/>
      <c r="E246" s="278"/>
      <c r="F246" s="4"/>
      <c r="G246" s="4"/>
      <c r="H246" s="4"/>
      <c r="I246" s="211"/>
      <c r="J246" s="211"/>
      <c r="K246" s="150"/>
      <c r="L246" s="98"/>
      <c r="O246"/>
    </row>
    <row r="247" spans="2:15" x14ac:dyDescent="0.25">
      <c r="B247" s="4"/>
      <c r="C247" s="4"/>
      <c r="D247" s="4"/>
      <c r="E247" s="278"/>
      <c r="F247" s="4"/>
      <c r="G247" s="4"/>
      <c r="H247" s="4"/>
      <c r="I247" s="211"/>
      <c r="J247" s="211"/>
      <c r="K247" s="150"/>
      <c r="L247" s="98"/>
      <c r="O247"/>
    </row>
    <row r="248" spans="2:15" x14ac:dyDescent="0.25">
      <c r="B248" s="4"/>
      <c r="C248" s="4"/>
      <c r="D248" s="4"/>
      <c r="E248" s="278"/>
      <c r="F248" s="4"/>
      <c r="G248" s="4"/>
      <c r="H248" s="4"/>
      <c r="I248" s="211"/>
      <c r="J248" s="211"/>
      <c r="K248" s="150"/>
      <c r="L248" s="98"/>
      <c r="O248"/>
    </row>
    <row r="249" spans="2:15" x14ac:dyDescent="0.25">
      <c r="B249" s="4"/>
      <c r="C249" s="4"/>
      <c r="D249" s="4"/>
      <c r="E249" s="278"/>
      <c r="F249" s="4"/>
      <c r="G249" s="4"/>
      <c r="H249" s="4"/>
      <c r="I249" s="211"/>
      <c r="J249" s="211"/>
      <c r="K249" s="150"/>
      <c r="L249" s="98"/>
      <c r="O249"/>
    </row>
    <row r="250" spans="2:15" x14ac:dyDescent="0.25">
      <c r="B250" s="4"/>
      <c r="C250" s="4"/>
      <c r="D250" s="4"/>
      <c r="E250" s="278"/>
      <c r="F250" s="4"/>
      <c r="G250" s="4"/>
      <c r="H250" s="4"/>
      <c r="I250" s="211"/>
      <c r="J250" s="211"/>
      <c r="K250" s="150"/>
      <c r="L250" s="98"/>
      <c r="O250"/>
    </row>
    <row r="251" spans="2:15" x14ac:dyDescent="0.25">
      <c r="B251" s="4"/>
      <c r="C251" s="4"/>
      <c r="D251" s="4"/>
      <c r="E251" s="278"/>
      <c r="F251" s="4"/>
      <c r="G251" s="4"/>
      <c r="H251" s="4"/>
      <c r="I251" s="211"/>
      <c r="J251" s="211"/>
      <c r="K251" s="150"/>
      <c r="L251" s="98"/>
      <c r="O251"/>
    </row>
    <row r="252" spans="2:15" x14ac:dyDescent="0.25">
      <c r="B252" s="4"/>
      <c r="C252" s="4"/>
      <c r="D252" s="4"/>
      <c r="E252" s="278"/>
      <c r="F252" s="4"/>
      <c r="G252" s="4"/>
      <c r="H252" s="4"/>
      <c r="I252" s="211"/>
      <c r="J252" s="211"/>
      <c r="K252" s="150"/>
      <c r="L252" s="98"/>
      <c r="O252"/>
    </row>
    <row r="253" spans="2:15" x14ac:dyDescent="0.25">
      <c r="B253" s="4"/>
      <c r="C253" s="4"/>
      <c r="D253" s="4"/>
      <c r="E253" s="278"/>
      <c r="F253" s="4"/>
      <c r="G253" s="4"/>
      <c r="H253" s="4"/>
      <c r="I253" s="211"/>
      <c r="J253" s="211"/>
      <c r="K253" s="150"/>
      <c r="L253" s="98"/>
      <c r="O253"/>
    </row>
    <row r="254" spans="2:15" x14ac:dyDescent="0.25">
      <c r="B254" s="4"/>
      <c r="C254" s="4"/>
      <c r="D254" s="4"/>
      <c r="E254" s="278"/>
      <c r="F254" s="4"/>
      <c r="G254" s="4"/>
      <c r="H254" s="4"/>
      <c r="I254" s="211"/>
      <c r="J254" s="211"/>
      <c r="K254" s="150"/>
      <c r="L254" s="98"/>
      <c r="O254"/>
    </row>
    <row r="255" spans="2:15" x14ac:dyDescent="0.25">
      <c r="B255" s="4"/>
      <c r="C255" s="4"/>
      <c r="D255" s="4"/>
      <c r="E255" s="278"/>
      <c r="F255" s="4"/>
      <c r="G255" s="4"/>
      <c r="H255" s="4"/>
      <c r="I255" s="211"/>
      <c r="J255" s="211"/>
      <c r="K255" s="150"/>
      <c r="L255" s="98"/>
      <c r="O255"/>
    </row>
    <row r="256" spans="2:15" x14ac:dyDescent="0.25">
      <c r="B256" s="4"/>
      <c r="C256" s="4"/>
      <c r="D256" s="4"/>
      <c r="E256" s="278"/>
      <c r="F256" s="4"/>
      <c r="G256" s="4"/>
      <c r="H256" s="4"/>
      <c r="I256" s="211"/>
      <c r="J256" s="211"/>
      <c r="K256" s="150"/>
      <c r="L256" s="98"/>
      <c r="O256"/>
    </row>
    <row r="257" spans="2:15" x14ac:dyDescent="0.25">
      <c r="B257" s="4"/>
      <c r="C257" s="4"/>
      <c r="D257" s="4"/>
      <c r="E257" s="278"/>
      <c r="F257" s="4"/>
      <c r="G257" s="4"/>
      <c r="H257" s="4"/>
      <c r="I257" s="211"/>
      <c r="J257" s="211"/>
      <c r="K257" s="150"/>
      <c r="L257" s="98"/>
      <c r="O257"/>
    </row>
    <row r="258" spans="2:15" x14ac:dyDescent="0.25">
      <c r="B258" s="4"/>
      <c r="C258" s="4"/>
      <c r="D258" s="4"/>
      <c r="E258" s="278"/>
      <c r="F258" s="4"/>
      <c r="G258" s="4"/>
      <c r="H258" s="4"/>
      <c r="I258" s="211"/>
      <c r="J258" s="211"/>
      <c r="K258" s="150"/>
      <c r="L258" s="98"/>
      <c r="O258"/>
    </row>
    <row r="259" spans="2:15" x14ac:dyDescent="0.25">
      <c r="B259" s="4"/>
      <c r="C259" s="4"/>
      <c r="D259" s="4"/>
      <c r="E259" s="278"/>
      <c r="F259" s="4"/>
      <c r="G259" s="4"/>
      <c r="H259" s="4"/>
      <c r="I259" s="211"/>
      <c r="J259" s="211"/>
      <c r="K259" s="150"/>
      <c r="L259" s="98"/>
      <c r="O259"/>
    </row>
    <row r="260" spans="2:15" x14ac:dyDescent="0.25">
      <c r="B260" s="4"/>
      <c r="C260" s="4"/>
      <c r="D260" s="4"/>
      <c r="E260" s="278"/>
      <c r="F260" s="4"/>
      <c r="G260" s="4"/>
      <c r="H260" s="4"/>
      <c r="I260" s="211"/>
      <c r="J260" s="211"/>
      <c r="K260" s="150"/>
      <c r="L260" s="98"/>
      <c r="O260"/>
    </row>
    <row r="261" spans="2:15" x14ac:dyDescent="0.25">
      <c r="B261" s="4"/>
      <c r="C261" s="4"/>
      <c r="D261" s="4"/>
      <c r="E261" s="278"/>
      <c r="F261" s="4"/>
      <c r="G261" s="4"/>
      <c r="H261" s="4"/>
      <c r="I261" s="211"/>
      <c r="J261" s="211"/>
      <c r="K261" s="150"/>
      <c r="L261" s="98"/>
      <c r="O261"/>
    </row>
    <row r="262" spans="2:15" x14ac:dyDescent="0.25">
      <c r="B262" s="4"/>
      <c r="C262" s="4"/>
      <c r="D262" s="4"/>
      <c r="E262" s="278"/>
      <c r="F262" s="4"/>
      <c r="G262" s="4"/>
      <c r="H262" s="4"/>
      <c r="I262" s="211"/>
      <c r="J262" s="211"/>
      <c r="K262" s="150"/>
      <c r="L262" s="98"/>
      <c r="O262"/>
    </row>
    <row r="263" spans="2:15" x14ac:dyDescent="0.25">
      <c r="B263" s="4"/>
      <c r="C263" s="4"/>
      <c r="D263" s="4"/>
      <c r="E263" s="278"/>
      <c r="F263" s="4"/>
      <c r="G263" s="4"/>
      <c r="H263" s="4"/>
      <c r="I263" s="211"/>
      <c r="J263" s="211"/>
      <c r="K263" s="150"/>
      <c r="L263" s="98"/>
      <c r="O263"/>
    </row>
    <row r="264" spans="2:15" x14ac:dyDescent="0.25">
      <c r="B264" s="4"/>
      <c r="C264" s="4"/>
      <c r="D264" s="4"/>
      <c r="E264" s="278"/>
      <c r="F264" s="4"/>
      <c r="G264" s="4"/>
      <c r="H264" s="4"/>
      <c r="I264" s="211"/>
      <c r="J264" s="211"/>
      <c r="K264" s="150"/>
      <c r="L264" s="98"/>
      <c r="O264"/>
    </row>
    <row r="265" spans="2:15" x14ac:dyDescent="0.25">
      <c r="B265" s="4"/>
      <c r="C265" s="4"/>
      <c r="D265" s="4"/>
      <c r="E265" s="278"/>
      <c r="F265" s="4"/>
      <c r="G265" s="4"/>
      <c r="H265" s="4"/>
      <c r="I265" s="211"/>
      <c r="J265" s="211"/>
      <c r="K265" s="150"/>
      <c r="L265" s="98"/>
      <c r="O265"/>
    </row>
    <row r="266" spans="2:15" x14ac:dyDescent="0.25">
      <c r="B266" s="4"/>
      <c r="C266" s="4"/>
      <c r="D266" s="4"/>
      <c r="E266" s="278"/>
      <c r="F266" s="4"/>
      <c r="G266" s="4"/>
      <c r="H266" s="4"/>
      <c r="I266" s="211"/>
      <c r="J266" s="211"/>
      <c r="K266" s="150"/>
      <c r="L266" s="98"/>
      <c r="O266"/>
    </row>
    <row r="267" spans="2:15" x14ac:dyDescent="0.25">
      <c r="B267" s="4"/>
      <c r="C267" s="4"/>
      <c r="D267" s="4"/>
      <c r="E267" s="278"/>
      <c r="F267" s="4"/>
      <c r="G267" s="4"/>
      <c r="H267" s="4"/>
      <c r="I267" s="211"/>
      <c r="J267" s="211"/>
      <c r="K267" s="150"/>
      <c r="L267" s="98"/>
      <c r="O267"/>
    </row>
    <row r="268" spans="2:15" x14ac:dyDescent="0.25">
      <c r="B268" s="4"/>
      <c r="C268" s="4"/>
      <c r="D268" s="4"/>
      <c r="E268" s="278"/>
      <c r="F268" s="4"/>
      <c r="G268" s="4"/>
      <c r="H268" s="4"/>
      <c r="I268" s="211"/>
      <c r="J268" s="211"/>
      <c r="K268" s="150"/>
      <c r="L268" s="98"/>
      <c r="O268"/>
    </row>
    <row r="269" spans="2:15" x14ac:dyDescent="0.25">
      <c r="B269" s="4"/>
      <c r="C269" s="4"/>
      <c r="D269" s="4"/>
      <c r="E269" s="278"/>
      <c r="F269" s="4"/>
      <c r="G269" s="4"/>
      <c r="H269" s="4"/>
      <c r="I269" s="211"/>
      <c r="J269" s="211"/>
      <c r="K269" s="150"/>
      <c r="L269" s="98"/>
      <c r="O269"/>
    </row>
    <row r="270" spans="2:15" x14ac:dyDescent="0.25">
      <c r="B270" s="4"/>
      <c r="C270" s="4"/>
      <c r="D270" s="4"/>
      <c r="E270" s="278"/>
      <c r="F270" s="4"/>
      <c r="G270" s="4"/>
      <c r="H270" s="4"/>
      <c r="I270" s="211"/>
      <c r="J270" s="211"/>
      <c r="K270" s="150"/>
      <c r="L270" s="98"/>
      <c r="O270"/>
    </row>
    <row r="271" spans="2:15" x14ac:dyDescent="0.25">
      <c r="B271" s="4"/>
      <c r="C271" s="4"/>
      <c r="D271" s="4"/>
      <c r="E271" s="278"/>
      <c r="F271" s="4"/>
      <c r="G271" s="4"/>
      <c r="H271" s="4"/>
      <c r="I271" s="211"/>
      <c r="J271" s="211"/>
      <c r="K271" s="150"/>
      <c r="L271" s="98"/>
      <c r="O271"/>
    </row>
    <row r="272" spans="2:15" x14ac:dyDescent="0.25">
      <c r="B272" s="4"/>
      <c r="C272" s="4"/>
      <c r="D272" s="4"/>
      <c r="E272" s="278"/>
      <c r="F272" s="4"/>
      <c r="G272" s="4"/>
      <c r="H272" s="4"/>
      <c r="I272" s="211"/>
      <c r="J272" s="211"/>
      <c r="K272" s="150"/>
      <c r="L272" s="98"/>
      <c r="O272"/>
    </row>
    <row r="273" spans="2:15" x14ac:dyDescent="0.25">
      <c r="B273" s="4"/>
      <c r="C273" s="4"/>
      <c r="D273" s="4"/>
      <c r="E273" s="278"/>
      <c r="F273" s="4"/>
      <c r="G273" s="4"/>
      <c r="H273" s="4"/>
      <c r="I273" s="211"/>
      <c r="J273" s="211"/>
      <c r="K273" s="150"/>
      <c r="L273" s="98"/>
      <c r="O273"/>
    </row>
    <row r="274" spans="2:15" x14ac:dyDescent="0.25">
      <c r="B274" s="4"/>
      <c r="C274" s="4"/>
      <c r="D274" s="4"/>
      <c r="E274" s="278"/>
      <c r="F274" s="4"/>
      <c r="G274" s="4"/>
      <c r="H274" s="4"/>
      <c r="I274" s="211"/>
      <c r="J274" s="211"/>
      <c r="K274" s="150"/>
      <c r="L274" s="98"/>
      <c r="O274"/>
    </row>
    <row r="275" spans="2:15" x14ac:dyDescent="0.25">
      <c r="B275" s="4"/>
      <c r="C275" s="4"/>
      <c r="D275" s="4"/>
      <c r="E275" s="278"/>
      <c r="F275" s="4"/>
      <c r="G275" s="4"/>
      <c r="H275" s="4"/>
      <c r="I275" s="211"/>
      <c r="J275" s="211"/>
      <c r="K275" s="150"/>
      <c r="L275" s="98"/>
      <c r="O275"/>
    </row>
    <row r="276" spans="2:15" x14ac:dyDescent="0.25">
      <c r="B276" s="4"/>
      <c r="C276" s="4"/>
      <c r="D276" s="4"/>
      <c r="E276" s="278"/>
      <c r="F276" s="4"/>
      <c r="G276" s="4"/>
      <c r="H276" s="4"/>
      <c r="I276" s="211"/>
      <c r="J276" s="211"/>
      <c r="K276" s="150"/>
      <c r="L276" s="98"/>
      <c r="O276"/>
    </row>
    <row r="277" spans="2:15" x14ac:dyDescent="0.25">
      <c r="B277" s="4"/>
      <c r="C277" s="4"/>
      <c r="D277" s="4"/>
      <c r="E277" s="278"/>
      <c r="F277" s="4"/>
      <c r="G277" s="4"/>
      <c r="H277" s="4"/>
      <c r="I277" s="211"/>
      <c r="J277" s="211"/>
      <c r="K277" s="150"/>
      <c r="L277" s="98"/>
      <c r="O277"/>
    </row>
    <row r="278" spans="2:15" x14ac:dyDescent="0.25">
      <c r="B278" s="4"/>
      <c r="C278" s="4"/>
      <c r="D278" s="4"/>
      <c r="E278" s="278"/>
      <c r="F278" s="4"/>
      <c r="G278" s="4"/>
      <c r="H278" s="4"/>
      <c r="I278" s="211"/>
      <c r="J278" s="211"/>
      <c r="K278" s="150"/>
      <c r="L278" s="98"/>
      <c r="O278"/>
    </row>
    <row r="279" spans="2:15" x14ac:dyDescent="0.25">
      <c r="B279" s="4"/>
      <c r="C279" s="4"/>
      <c r="D279" s="4"/>
      <c r="E279" s="278"/>
      <c r="F279" s="4"/>
      <c r="G279" s="4"/>
      <c r="H279" s="4"/>
      <c r="I279" s="211"/>
      <c r="J279" s="211"/>
      <c r="K279" s="150"/>
      <c r="L279" s="98"/>
      <c r="O279"/>
    </row>
    <row r="280" spans="2:15" x14ac:dyDescent="0.25">
      <c r="B280" s="4"/>
      <c r="C280" s="4"/>
      <c r="D280" s="4"/>
      <c r="E280" s="278"/>
      <c r="F280" s="4"/>
      <c r="G280" s="4"/>
      <c r="H280" s="4"/>
      <c r="I280" s="211"/>
      <c r="J280" s="211"/>
      <c r="K280" s="150"/>
      <c r="L280" s="98"/>
      <c r="O280"/>
    </row>
    <row r="281" spans="2:15" x14ac:dyDescent="0.25">
      <c r="B281" s="4"/>
      <c r="C281" s="4"/>
      <c r="D281" s="4"/>
      <c r="E281" s="278"/>
      <c r="F281" s="4"/>
      <c r="G281" s="4"/>
      <c r="H281" s="4"/>
      <c r="I281" s="211"/>
      <c r="J281" s="211"/>
      <c r="K281" s="150"/>
      <c r="L281" s="98"/>
      <c r="O281"/>
    </row>
    <row r="282" spans="2:15" x14ac:dyDescent="0.25">
      <c r="B282" s="4"/>
      <c r="C282" s="4"/>
      <c r="D282" s="4"/>
      <c r="E282" s="278"/>
      <c r="F282" s="4"/>
      <c r="G282" s="4"/>
      <c r="H282" s="4"/>
      <c r="I282" s="211"/>
      <c r="J282" s="211"/>
      <c r="K282" s="150"/>
      <c r="L282" s="98"/>
      <c r="O282"/>
    </row>
    <row r="283" spans="2:15" x14ac:dyDescent="0.25">
      <c r="B283" s="4"/>
      <c r="C283" s="4"/>
      <c r="D283" s="4"/>
      <c r="E283" s="278"/>
      <c r="F283" s="4"/>
      <c r="G283" s="4"/>
      <c r="H283" s="4"/>
      <c r="I283" s="211"/>
      <c r="J283" s="211"/>
      <c r="K283" s="150"/>
      <c r="L283" s="98"/>
      <c r="O283"/>
    </row>
    <row r="284" spans="2:15" x14ac:dyDescent="0.25">
      <c r="B284" s="4"/>
      <c r="C284" s="4"/>
      <c r="D284" s="4"/>
      <c r="E284" s="278"/>
      <c r="F284" s="4"/>
      <c r="G284" s="4"/>
      <c r="H284" s="4"/>
      <c r="I284" s="211"/>
      <c r="J284" s="211"/>
      <c r="K284" s="150"/>
      <c r="L284" s="98"/>
      <c r="O284"/>
    </row>
    <row r="285" spans="2:15" x14ac:dyDescent="0.25">
      <c r="B285" s="4"/>
      <c r="C285" s="4"/>
      <c r="D285" s="4"/>
      <c r="E285" s="278"/>
      <c r="F285" s="4"/>
      <c r="G285" s="4"/>
      <c r="H285" s="4"/>
      <c r="I285" s="211"/>
      <c r="J285" s="211"/>
      <c r="K285" s="150"/>
      <c r="L285" s="98"/>
      <c r="O285"/>
    </row>
    <row r="286" spans="2:15" x14ac:dyDescent="0.25">
      <c r="B286" s="4"/>
      <c r="C286" s="4"/>
      <c r="D286" s="4"/>
      <c r="E286" s="278"/>
      <c r="F286" s="4"/>
      <c r="G286" s="4"/>
      <c r="H286" s="4"/>
      <c r="I286" s="211"/>
      <c r="J286" s="211"/>
      <c r="K286" s="150"/>
      <c r="L286" s="98"/>
      <c r="O286"/>
    </row>
    <row r="287" spans="2:15" x14ac:dyDescent="0.25">
      <c r="B287" s="4"/>
      <c r="C287" s="4"/>
      <c r="D287" s="4"/>
      <c r="E287" s="278"/>
      <c r="F287" s="4"/>
      <c r="G287" s="4"/>
      <c r="H287" s="4"/>
      <c r="I287" s="211"/>
      <c r="J287" s="211"/>
      <c r="K287" s="150"/>
      <c r="L287" s="98"/>
      <c r="O287"/>
    </row>
    <row r="288" spans="2:15" x14ac:dyDescent="0.25">
      <c r="B288" s="4"/>
      <c r="C288" s="4"/>
      <c r="D288" s="4"/>
      <c r="E288" s="278"/>
      <c r="F288" s="4"/>
      <c r="G288" s="4"/>
      <c r="H288" s="4"/>
      <c r="I288" s="211"/>
      <c r="J288" s="211"/>
      <c r="K288" s="150"/>
      <c r="L288" s="98"/>
      <c r="O288"/>
    </row>
    <row r="289" spans="2:15" x14ac:dyDescent="0.25">
      <c r="B289" s="4"/>
      <c r="C289" s="4"/>
      <c r="D289" s="4"/>
      <c r="E289" s="278"/>
      <c r="F289" s="4"/>
      <c r="G289" s="4"/>
      <c r="H289" s="4"/>
      <c r="I289" s="211"/>
      <c r="J289" s="211"/>
      <c r="K289" s="150"/>
      <c r="L289" s="98"/>
      <c r="O289"/>
    </row>
    <row r="290" spans="2:15" x14ac:dyDescent="0.25">
      <c r="B290" s="4"/>
      <c r="C290" s="4"/>
      <c r="D290" s="4"/>
      <c r="E290" s="278"/>
      <c r="F290" s="4"/>
      <c r="G290" s="4"/>
      <c r="H290" s="4"/>
      <c r="I290" s="211"/>
      <c r="J290" s="211"/>
      <c r="K290" s="150"/>
      <c r="L290" s="98"/>
      <c r="O290"/>
    </row>
    <row r="291" spans="2:15" x14ac:dyDescent="0.25">
      <c r="B291" s="4"/>
      <c r="C291" s="4"/>
      <c r="D291" s="4"/>
      <c r="E291" s="278"/>
      <c r="F291" s="4"/>
      <c r="G291" s="4"/>
      <c r="H291" s="4"/>
      <c r="I291" s="211"/>
      <c r="J291" s="211"/>
      <c r="K291" s="150"/>
      <c r="L291" s="98"/>
      <c r="O291"/>
    </row>
    <row r="292" spans="2:15" x14ac:dyDescent="0.25">
      <c r="B292" s="4"/>
      <c r="C292" s="4"/>
      <c r="D292" s="4"/>
      <c r="E292" s="278"/>
      <c r="F292" s="4"/>
      <c r="G292" s="4"/>
      <c r="H292" s="4"/>
      <c r="I292" s="211"/>
      <c r="J292" s="211"/>
      <c r="K292" s="150"/>
      <c r="L292" s="98"/>
      <c r="O292"/>
    </row>
    <row r="293" spans="2:15" x14ac:dyDescent="0.25">
      <c r="B293" s="4"/>
      <c r="C293" s="4"/>
      <c r="D293" s="4"/>
      <c r="E293" s="278"/>
      <c r="F293" s="4"/>
      <c r="G293" s="4"/>
      <c r="H293" s="4"/>
      <c r="I293" s="211"/>
      <c r="J293" s="211"/>
      <c r="K293" s="150"/>
      <c r="L293" s="98"/>
      <c r="O293"/>
    </row>
    <row r="294" spans="2:15" x14ac:dyDescent="0.25">
      <c r="B294" s="4"/>
      <c r="C294" s="4"/>
      <c r="D294" s="4"/>
      <c r="E294" s="278"/>
      <c r="F294" s="4"/>
      <c r="G294" s="4"/>
      <c r="H294" s="4"/>
      <c r="I294" s="211"/>
      <c r="J294" s="211"/>
      <c r="K294" s="150"/>
      <c r="L294" s="98"/>
      <c r="O294"/>
    </row>
    <row r="295" spans="2:15" x14ac:dyDescent="0.25">
      <c r="B295" s="4"/>
      <c r="C295" s="4"/>
      <c r="D295" s="4"/>
      <c r="E295" s="278"/>
      <c r="F295" s="4"/>
      <c r="G295" s="4"/>
      <c r="H295" s="4"/>
      <c r="I295" s="211"/>
      <c r="J295" s="211"/>
      <c r="K295" s="150"/>
      <c r="L295" s="98"/>
      <c r="O295"/>
    </row>
    <row r="296" spans="2:15" x14ac:dyDescent="0.25">
      <c r="B296" s="4"/>
      <c r="C296" s="4"/>
      <c r="D296" s="4"/>
      <c r="E296" s="278"/>
      <c r="F296" s="4"/>
      <c r="G296" s="4"/>
      <c r="H296" s="4"/>
      <c r="I296" s="211"/>
      <c r="J296" s="211"/>
      <c r="K296" s="150"/>
      <c r="L296" s="98"/>
      <c r="O296"/>
    </row>
    <row r="297" spans="2:15" x14ac:dyDescent="0.25">
      <c r="B297" s="4"/>
      <c r="C297" s="4"/>
      <c r="D297" s="4"/>
      <c r="E297" s="278"/>
      <c r="F297" s="4"/>
      <c r="G297" s="4"/>
      <c r="H297" s="4"/>
      <c r="I297" s="211"/>
      <c r="J297" s="211"/>
      <c r="K297" s="150"/>
      <c r="L297" s="98"/>
      <c r="O297"/>
    </row>
    <row r="298" spans="2:15" x14ac:dyDescent="0.25">
      <c r="B298" s="4"/>
      <c r="C298" s="4"/>
      <c r="D298" s="4"/>
      <c r="E298" s="278"/>
      <c r="F298" s="4"/>
      <c r="G298" s="4"/>
      <c r="H298" s="4"/>
      <c r="I298" s="211"/>
      <c r="J298" s="211"/>
      <c r="K298" s="150"/>
      <c r="L298" s="98"/>
      <c r="O298"/>
    </row>
    <row r="299" spans="2:15" x14ac:dyDescent="0.25">
      <c r="B299" s="4"/>
      <c r="C299" s="4"/>
      <c r="D299" s="4"/>
      <c r="E299" s="278"/>
      <c r="F299" s="4"/>
      <c r="G299" s="4"/>
      <c r="H299" s="4"/>
      <c r="I299" s="211"/>
      <c r="J299" s="211"/>
      <c r="K299" s="150"/>
      <c r="L299" s="98"/>
      <c r="O299"/>
    </row>
    <row r="300" spans="2:15" x14ac:dyDescent="0.25">
      <c r="B300" s="4"/>
      <c r="C300" s="4"/>
      <c r="D300" s="4"/>
      <c r="E300" s="278"/>
      <c r="F300" s="4"/>
      <c r="G300" s="4"/>
      <c r="H300" s="4"/>
      <c r="I300" s="211"/>
      <c r="J300" s="211"/>
      <c r="K300" s="150"/>
      <c r="L300" s="98"/>
      <c r="O300"/>
    </row>
    <row r="301" spans="2:15" x14ac:dyDescent="0.25">
      <c r="B301" s="4"/>
      <c r="C301" s="4"/>
      <c r="D301" s="4"/>
      <c r="E301" s="278"/>
      <c r="F301" s="4"/>
      <c r="G301" s="4"/>
      <c r="H301" s="4"/>
      <c r="I301" s="211"/>
      <c r="J301" s="211"/>
      <c r="K301" s="150"/>
      <c r="L301" s="98"/>
      <c r="O301"/>
    </row>
    <row r="302" spans="2:15" x14ac:dyDescent="0.25">
      <c r="B302" s="4"/>
      <c r="C302" s="4"/>
      <c r="D302" s="4"/>
      <c r="E302" s="278"/>
      <c r="F302" s="4"/>
      <c r="G302" s="4"/>
      <c r="H302" s="4"/>
      <c r="I302" s="211"/>
      <c r="J302" s="211"/>
      <c r="K302" s="150"/>
      <c r="L302" s="98"/>
      <c r="O302"/>
    </row>
    <row r="303" spans="2:15" x14ac:dyDescent="0.25">
      <c r="B303" s="4"/>
      <c r="C303" s="4"/>
      <c r="D303" s="4"/>
      <c r="E303" s="278"/>
      <c r="F303" s="4"/>
      <c r="G303" s="4"/>
      <c r="H303" s="4"/>
      <c r="I303" s="211"/>
      <c r="J303" s="211"/>
      <c r="K303" s="150"/>
      <c r="L303" s="98"/>
      <c r="O303"/>
    </row>
    <row r="304" spans="2:15" x14ac:dyDescent="0.25">
      <c r="B304" s="4"/>
      <c r="C304" s="4"/>
      <c r="D304" s="4"/>
      <c r="E304" s="278"/>
      <c r="F304" s="4"/>
      <c r="G304" s="4"/>
      <c r="H304" s="4"/>
      <c r="I304" s="211"/>
      <c r="J304" s="211"/>
      <c r="K304" s="150"/>
      <c r="L304" s="98"/>
      <c r="O304"/>
    </row>
    <row r="305" spans="2:15" x14ac:dyDescent="0.25">
      <c r="B305" s="4"/>
      <c r="C305" s="4"/>
      <c r="D305" s="4"/>
      <c r="E305" s="278"/>
      <c r="F305" s="4"/>
      <c r="G305" s="4"/>
      <c r="H305" s="4"/>
      <c r="I305" s="211"/>
      <c r="J305" s="211"/>
      <c r="K305" s="150"/>
      <c r="L305" s="98"/>
      <c r="O305"/>
    </row>
    <row r="306" spans="2:15" x14ac:dyDescent="0.25">
      <c r="B306" s="4"/>
      <c r="C306" s="4"/>
      <c r="D306" s="4"/>
      <c r="E306" s="278"/>
      <c r="F306" s="4"/>
      <c r="G306" s="4"/>
      <c r="H306" s="4"/>
      <c r="I306" s="211"/>
      <c r="J306" s="211"/>
      <c r="K306" s="150"/>
      <c r="L306" s="98"/>
      <c r="O306"/>
    </row>
    <row r="307" spans="2:15" x14ac:dyDescent="0.25">
      <c r="B307" s="4"/>
      <c r="C307" s="4"/>
      <c r="D307" s="4"/>
      <c r="E307" s="278"/>
      <c r="F307" s="4"/>
      <c r="G307" s="4"/>
      <c r="H307" s="4"/>
      <c r="I307" s="211"/>
      <c r="J307" s="211"/>
      <c r="K307" s="150"/>
      <c r="L307" s="98"/>
      <c r="O307"/>
    </row>
    <row r="308" spans="2:15" x14ac:dyDescent="0.25">
      <c r="B308" s="4"/>
      <c r="C308" s="4"/>
      <c r="D308" s="4"/>
      <c r="E308" s="278"/>
      <c r="F308" s="4"/>
      <c r="G308" s="4"/>
      <c r="H308" s="4"/>
      <c r="I308" s="211"/>
      <c r="J308" s="211"/>
      <c r="K308" s="150"/>
      <c r="L308" s="98"/>
      <c r="O308"/>
    </row>
    <row r="309" spans="2:15" x14ac:dyDescent="0.25">
      <c r="B309" s="4"/>
      <c r="C309" s="4"/>
      <c r="D309" s="4"/>
      <c r="E309" s="278"/>
      <c r="F309" s="4"/>
      <c r="G309" s="4"/>
      <c r="H309" s="4"/>
      <c r="I309" s="211"/>
      <c r="J309" s="211"/>
      <c r="K309" s="150"/>
      <c r="L309" s="98"/>
      <c r="O309"/>
    </row>
    <row r="310" spans="2:15" x14ac:dyDescent="0.25">
      <c r="B310" s="4"/>
      <c r="C310" s="4"/>
      <c r="D310" s="4"/>
      <c r="E310" s="278"/>
      <c r="F310" s="4"/>
      <c r="G310" s="4"/>
      <c r="H310" s="4"/>
      <c r="I310" s="211"/>
      <c r="J310" s="211"/>
      <c r="K310" s="150"/>
      <c r="L310" s="98"/>
      <c r="O310"/>
    </row>
    <row r="311" spans="2:15" x14ac:dyDescent="0.25">
      <c r="B311" s="4"/>
      <c r="C311" s="4"/>
      <c r="D311" s="4"/>
      <c r="E311" s="278"/>
      <c r="F311" s="4"/>
      <c r="G311" s="4"/>
      <c r="H311" s="4"/>
      <c r="I311" s="211"/>
      <c r="J311" s="211"/>
      <c r="K311" s="150"/>
      <c r="L311" s="98"/>
      <c r="O311"/>
    </row>
    <row r="312" spans="2:15" x14ac:dyDescent="0.25">
      <c r="B312" s="4"/>
      <c r="C312" s="4"/>
      <c r="D312" s="4"/>
      <c r="E312" s="278"/>
      <c r="F312" s="4"/>
      <c r="G312" s="4"/>
      <c r="H312" s="4"/>
      <c r="I312" s="211"/>
      <c r="J312" s="211"/>
      <c r="K312" s="150"/>
      <c r="L312" s="98"/>
      <c r="O312"/>
    </row>
    <row r="313" spans="2:15" x14ac:dyDescent="0.25">
      <c r="B313" s="4"/>
      <c r="C313" s="4"/>
      <c r="D313" s="4"/>
      <c r="E313" s="278"/>
      <c r="F313" s="4"/>
      <c r="G313" s="4"/>
      <c r="H313" s="4"/>
      <c r="I313" s="211"/>
      <c r="J313" s="211"/>
      <c r="K313" s="150"/>
      <c r="L313" s="98"/>
      <c r="O313"/>
    </row>
    <row r="314" spans="2:15" x14ac:dyDescent="0.25">
      <c r="B314" s="4"/>
      <c r="C314" s="4"/>
      <c r="D314" s="4"/>
      <c r="E314" s="278"/>
      <c r="F314" s="4"/>
      <c r="G314" s="4"/>
      <c r="H314" s="4"/>
      <c r="I314" s="211"/>
      <c r="J314" s="211"/>
      <c r="K314" s="150"/>
      <c r="L314" s="98"/>
      <c r="O314"/>
    </row>
    <row r="315" spans="2:15" x14ac:dyDescent="0.25">
      <c r="B315" s="4"/>
      <c r="C315" s="4"/>
      <c r="D315" s="4"/>
      <c r="E315" s="278"/>
      <c r="F315" s="4"/>
      <c r="G315" s="4"/>
      <c r="H315" s="4"/>
      <c r="I315" s="211"/>
      <c r="J315" s="211"/>
      <c r="K315" s="150"/>
      <c r="L315" s="98"/>
      <c r="O315"/>
    </row>
    <row r="316" spans="2:15" x14ac:dyDescent="0.25">
      <c r="B316" s="4"/>
      <c r="C316" s="4"/>
      <c r="D316" s="4"/>
      <c r="E316" s="278"/>
      <c r="F316" s="4"/>
      <c r="G316" s="4"/>
      <c r="H316" s="4"/>
      <c r="I316" s="211"/>
      <c r="J316" s="211"/>
      <c r="K316" s="150"/>
      <c r="L316" s="98"/>
      <c r="O316"/>
    </row>
    <row r="317" spans="2:15" x14ac:dyDescent="0.25">
      <c r="B317" s="4"/>
      <c r="C317" s="4"/>
      <c r="D317" s="4"/>
      <c r="E317" s="278"/>
      <c r="F317" s="4"/>
      <c r="G317" s="4"/>
      <c r="H317" s="4"/>
      <c r="I317" s="211"/>
      <c r="J317" s="211"/>
      <c r="K317" s="150"/>
      <c r="L317" s="98"/>
      <c r="O317"/>
    </row>
    <row r="318" spans="2:15" x14ac:dyDescent="0.25">
      <c r="B318" s="4"/>
      <c r="C318" s="4"/>
      <c r="D318" s="4"/>
      <c r="E318" s="278"/>
      <c r="F318" s="4"/>
      <c r="G318" s="4"/>
      <c r="H318" s="4"/>
      <c r="I318" s="211"/>
      <c r="J318" s="211"/>
      <c r="K318" s="150"/>
      <c r="L318" s="98"/>
      <c r="O318"/>
    </row>
    <row r="319" spans="2:15" x14ac:dyDescent="0.25">
      <c r="B319" s="4"/>
      <c r="C319" s="4"/>
      <c r="D319" s="4"/>
      <c r="E319" s="278"/>
      <c r="F319" s="4"/>
      <c r="G319" s="4"/>
      <c r="H319" s="4"/>
      <c r="I319" s="211"/>
      <c r="J319" s="211"/>
      <c r="K319" s="150"/>
      <c r="L319" s="98"/>
      <c r="O319"/>
    </row>
    <row r="320" spans="2:15" x14ac:dyDescent="0.25">
      <c r="B320" s="4"/>
      <c r="C320" s="4"/>
      <c r="D320" s="4"/>
      <c r="E320" s="278"/>
      <c r="F320" s="4"/>
      <c r="G320" s="4"/>
      <c r="H320" s="4"/>
      <c r="I320" s="211"/>
      <c r="J320" s="211"/>
      <c r="K320" s="150"/>
      <c r="L320" s="98"/>
      <c r="O320"/>
    </row>
    <row r="321" spans="2:15" x14ac:dyDescent="0.25">
      <c r="B321" s="4"/>
      <c r="C321" s="4"/>
      <c r="D321" s="4"/>
      <c r="E321" s="278"/>
      <c r="F321" s="4"/>
      <c r="G321" s="4"/>
      <c r="H321" s="4"/>
      <c r="I321" s="211"/>
      <c r="J321" s="211"/>
      <c r="K321" s="150"/>
      <c r="L321" s="98"/>
      <c r="O321"/>
    </row>
    <row r="322" spans="2:15" x14ac:dyDescent="0.25">
      <c r="B322" s="4"/>
      <c r="C322" s="4"/>
      <c r="D322" s="4"/>
      <c r="E322" s="278"/>
      <c r="F322" s="4"/>
      <c r="G322" s="4"/>
      <c r="H322" s="4"/>
      <c r="I322" s="211"/>
      <c r="J322" s="211"/>
      <c r="K322" s="150"/>
      <c r="L322" s="98"/>
      <c r="O322"/>
    </row>
    <row r="323" spans="2:15" x14ac:dyDescent="0.25">
      <c r="B323" s="4"/>
      <c r="C323" s="4"/>
      <c r="D323" s="4"/>
      <c r="E323" s="278"/>
      <c r="F323" s="4"/>
      <c r="G323" s="4"/>
      <c r="H323" s="4"/>
      <c r="I323" s="211"/>
      <c r="J323" s="211"/>
      <c r="K323" s="150"/>
      <c r="L323" s="98"/>
      <c r="O323"/>
    </row>
    <row r="324" spans="2:15" x14ac:dyDescent="0.25">
      <c r="B324" s="4"/>
      <c r="C324" s="4"/>
      <c r="D324" s="4"/>
      <c r="E324" s="278"/>
      <c r="F324" s="4"/>
      <c r="G324" s="4"/>
      <c r="H324" s="4"/>
      <c r="I324" s="211"/>
      <c r="J324" s="211"/>
      <c r="K324" s="150"/>
      <c r="L324" s="98"/>
      <c r="O324"/>
    </row>
    <row r="325" spans="2:15" x14ac:dyDescent="0.25">
      <c r="B325" s="4"/>
      <c r="C325" s="4"/>
      <c r="D325" s="4"/>
      <c r="E325" s="278"/>
      <c r="F325" s="4"/>
      <c r="G325" s="4"/>
      <c r="H325" s="4"/>
      <c r="I325" s="211"/>
      <c r="J325" s="211"/>
      <c r="K325" s="150"/>
      <c r="L325" s="98"/>
      <c r="O325"/>
    </row>
    <row r="326" spans="2:15" x14ac:dyDescent="0.25">
      <c r="B326" s="4"/>
      <c r="C326" s="4"/>
      <c r="D326" s="4"/>
      <c r="E326" s="278"/>
      <c r="F326" s="4"/>
      <c r="G326" s="4"/>
      <c r="H326" s="4"/>
      <c r="I326" s="211"/>
      <c r="J326" s="211"/>
      <c r="K326" s="150"/>
      <c r="L326" s="98"/>
      <c r="O326"/>
    </row>
    <row r="327" spans="2:15" x14ac:dyDescent="0.25">
      <c r="B327" s="4"/>
      <c r="C327" s="4"/>
      <c r="D327" s="4"/>
      <c r="E327" s="278"/>
      <c r="F327" s="4"/>
      <c r="G327" s="4"/>
      <c r="H327" s="4"/>
      <c r="I327" s="211"/>
      <c r="J327" s="211"/>
      <c r="K327" s="150"/>
      <c r="L327" s="98"/>
      <c r="O327"/>
    </row>
    <row r="328" spans="2:15" x14ac:dyDescent="0.25">
      <c r="B328" s="4"/>
      <c r="C328" s="4"/>
      <c r="D328" s="4"/>
      <c r="E328" s="278"/>
      <c r="F328" s="4"/>
      <c r="G328" s="4"/>
      <c r="H328" s="4"/>
      <c r="I328" s="211"/>
      <c r="J328" s="211"/>
      <c r="K328" s="150"/>
      <c r="L328" s="98"/>
      <c r="O328"/>
    </row>
    <row r="329" spans="2:15" x14ac:dyDescent="0.25">
      <c r="B329" s="4"/>
      <c r="C329" s="4"/>
      <c r="D329" s="4"/>
      <c r="E329" s="278"/>
      <c r="F329" s="4"/>
      <c r="G329" s="4"/>
      <c r="H329" s="4"/>
      <c r="I329" s="211"/>
      <c r="J329" s="211"/>
      <c r="K329" s="150"/>
      <c r="L329" s="98"/>
      <c r="O329"/>
    </row>
    <row r="330" spans="2:15" x14ac:dyDescent="0.25">
      <c r="B330" s="4"/>
      <c r="C330" s="4"/>
      <c r="D330" s="4"/>
      <c r="E330" s="278"/>
      <c r="F330" s="4"/>
      <c r="G330" s="4"/>
      <c r="H330" s="4"/>
      <c r="I330" s="211"/>
      <c r="J330" s="211"/>
      <c r="K330" s="150"/>
      <c r="L330" s="98"/>
      <c r="O330"/>
    </row>
    <row r="331" spans="2:15" x14ac:dyDescent="0.25">
      <c r="B331" s="4"/>
      <c r="C331" s="4"/>
      <c r="D331" s="4"/>
      <c r="E331" s="278"/>
      <c r="F331" s="4"/>
      <c r="G331" s="4"/>
      <c r="H331" s="4"/>
      <c r="I331" s="211"/>
      <c r="J331" s="211"/>
      <c r="K331" s="150"/>
      <c r="L331" s="98"/>
      <c r="O331"/>
    </row>
    <row r="332" spans="2:15" x14ac:dyDescent="0.25">
      <c r="B332" s="4"/>
      <c r="C332" s="4"/>
      <c r="D332" s="4"/>
      <c r="E332" s="278"/>
      <c r="F332" s="4"/>
      <c r="G332" s="4"/>
      <c r="H332" s="4"/>
      <c r="I332" s="211"/>
      <c r="J332" s="211"/>
      <c r="K332" s="150"/>
      <c r="L332" s="98"/>
      <c r="O332"/>
    </row>
    <row r="333" spans="2:15" x14ac:dyDescent="0.25">
      <c r="B333" s="4"/>
      <c r="C333" s="4"/>
      <c r="D333" s="4"/>
      <c r="E333" s="278"/>
      <c r="F333" s="4"/>
      <c r="G333" s="4"/>
      <c r="H333" s="4"/>
      <c r="I333" s="211"/>
      <c r="J333" s="211"/>
      <c r="K333" s="150"/>
      <c r="L333" s="98"/>
      <c r="O333"/>
    </row>
    <row r="334" spans="2:15" x14ac:dyDescent="0.25">
      <c r="B334" s="4"/>
      <c r="C334" s="4"/>
      <c r="D334" s="4"/>
      <c r="E334" s="278"/>
      <c r="F334" s="4"/>
      <c r="G334" s="4"/>
      <c r="H334" s="4"/>
      <c r="I334" s="211"/>
      <c r="J334" s="211"/>
      <c r="K334" s="150"/>
      <c r="L334" s="98"/>
      <c r="O334"/>
    </row>
    <row r="335" spans="2:15" x14ac:dyDescent="0.25">
      <c r="B335" s="4"/>
      <c r="C335" s="4"/>
      <c r="D335" s="4"/>
      <c r="E335" s="278"/>
      <c r="F335" s="4"/>
      <c r="G335" s="4"/>
      <c r="H335" s="4"/>
      <c r="I335" s="211"/>
      <c r="J335" s="211"/>
      <c r="K335" s="150"/>
      <c r="L335" s="98"/>
      <c r="O335"/>
    </row>
    <row r="336" spans="2:15" x14ac:dyDescent="0.25">
      <c r="B336" s="4"/>
      <c r="C336" s="4"/>
      <c r="D336" s="4"/>
      <c r="E336" s="278"/>
      <c r="F336" s="4"/>
      <c r="G336" s="4"/>
      <c r="H336" s="4"/>
      <c r="I336" s="211"/>
      <c r="J336" s="211"/>
      <c r="K336" s="150"/>
      <c r="L336" s="98"/>
      <c r="O336"/>
    </row>
    <row r="337" spans="2:15" x14ac:dyDescent="0.25">
      <c r="B337" s="4"/>
      <c r="C337" s="4"/>
      <c r="D337" s="4"/>
      <c r="E337" s="278"/>
      <c r="F337" s="4"/>
      <c r="G337" s="4"/>
      <c r="H337" s="4"/>
      <c r="I337" s="211"/>
      <c r="J337" s="211"/>
      <c r="K337" s="150"/>
      <c r="L337" s="98"/>
      <c r="O337"/>
    </row>
    <row r="338" spans="2:15" x14ac:dyDescent="0.25">
      <c r="B338" s="4"/>
      <c r="C338" s="4"/>
      <c r="D338" s="4"/>
      <c r="E338" s="278"/>
      <c r="F338" s="4"/>
      <c r="G338" s="4"/>
      <c r="H338" s="4"/>
      <c r="I338" s="211"/>
      <c r="J338" s="211"/>
      <c r="K338" s="150"/>
      <c r="L338" s="98"/>
      <c r="O338"/>
    </row>
    <row r="339" spans="2:15" x14ac:dyDescent="0.25">
      <c r="B339" s="4"/>
      <c r="C339" s="4"/>
      <c r="D339" s="4"/>
      <c r="E339" s="278"/>
      <c r="F339" s="4"/>
      <c r="G339" s="4"/>
      <c r="H339" s="4"/>
      <c r="I339" s="211"/>
      <c r="J339" s="211"/>
      <c r="K339" s="150"/>
      <c r="L339" s="98"/>
      <c r="O339"/>
    </row>
    <row r="340" spans="2:15" x14ac:dyDescent="0.25">
      <c r="B340" s="4"/>
      <c r="C340" s="4"/>
      <c r="D340" s="4"/>
      <c r="E340" s="278"/>
      <c r="F340" s="4"/>
      <c r="G340" s="4"/>
      <c r="H340" s="4"/>
      <c r="I340" s="211"/>
      <c r="J340" s="211"/>
      <c r="K340" s="150"/>
      <c r="L340" s="98"/>
      <c r="O340"/>
    </row>
    <row r="341" spans="2:15" x14ac:dyDescent="0.25">
      <c r="B341" s="4"/>
      <c r="C341" s="4"/>
      <c r="D341" s="4"/>
      <c r="E341" s="278"/>
      <c r="F341" s="4"/>
      <c r="G341" s="4"/>
      <c r="H341" s="4"/>
      <c r="I341" s="211"/>
      <c r="J341" s="211"/>
      <c r="K341" s="150"/>
      <c r="L341" s="98"/>
      <c r="O341"/>
    </row>
    <row r="342" spans="2:15" x14ac:dyDescent="0.25">
      <c r="B342" s="4"/>
      <c r="C342" s="4"/>
      <c r="D342" s="4"/>
      <c r="E342" s="278"/>
      <c r="F342" s="4"/>
      <c r="G342" s="4"/>
      <c r="H342" s="4"/>
      <c r="I342" s="211"/>
      <c r="J342" s="211"/>
      <c r="K342" s="150"/>
      <c r="L342" s="98"/>
      <c r="O342"/>
    </row>
    <row r="343" spans="2:15" x14ac:dyDescent="0.25">
      <c r="B343" s="4"/>
      <c r="C343" s="4"/>
      <c r="D343" s="4"/>
      <c r="E343" s="278"/>
      <c r="F343" s="4"/>
      <c r="G343" s="4"/>
      <c r="H343" s="4"/>
      <c r="I343" s="211"/>
      <c r="J343" s="211"/>
      <c r="K343" s="150"/>
      <c r="L343" s="98"/>
      <c r="O343"/>
    </row>
    <row r="344" spans="2:15" x14ac:dyDescent="0.25">
      <c r="B344" s="4"/>
      <c r="C344" s="4"/>
      <c r="D344" s="4"/>
      <c r="E344" s="278"/>
      <c r="F344" s="4"/>
      <c r="G344" s="4"/>
      <c r="H344" s="4"/>
      <c r="I344" s="211"/>
      <c r="J344" s="211"/>
      <c r="K344" s="150"/>
      <c r="L344" s="98"/>
      <c r="O344"/>
    </row>
    <row r="345" spans="2:15" x14ac:dyDescent="0.25">
      <c r="B345" s="4"/>
      <c r="C345" s="4"/>
      <c r="D345" s="4"/>
      <c r="E345" s="278"/>
      <c r="F345" s="4"/>
      <c r="G345" s="4"/>
      <c r="H345" s="4"/>
      <c r="I345" s="211"/>
      <c r="J345" s="211"/>
      <c r="K345" s="150"/>
      <c r="L345" s="98"/>
      <c r="O345"/>
    </row>
    <row r="346" spans="2:15" x14ac:dyDescent="0.25">
      <c r="B346" s="4"/>
      <c r="C346" s="4"/>
      <c r="D346" s="4"/>
      <c r="E346" s="278"/>
      <c r="F346" s="4"/>
      <c r="G346" s="4"/>
      <c r="H346" s="4"/>
      <c r="I346" s="211"/>
      <c r="J346" s="211"/>
      <c r="K346" s="150"/>
      <c r="L346" s="98"/>
      <c r="O346"/>
    </row>
    <row r="347" spans="2:15" x14ac:dyDescent="0.25">
      <c r="B347" s="4"/>
      <c r="C347" s="4"/>
      <c r="D347" s="4"/>
      <c r="E347" s="278"/>
      <c r="F347" s="4"/>
      <c r="G347" s="4"/>
      <c r="H347" s="4"/>
      <c r="I347" s="211"/>
      <c r="J347" s="211"/>
      <c r="K347" s="150"/>
      <c r="L347" s="98"/>
      <c r="O347"/>
    </row>
    <row r="348" spans="2:15" x14ac:dyDescent="0.25">
      <c r="B348" s="4"/>
      <c r="C348" s="4"/>
      <c r="D348" s="4"/>
      <c r="E348" s="278"/>
      <c r="F348" s="4"/>
      <c r="G348" s="4"/>
      <c r="H348" s="4"/>
      <c r="I348" s="211"/>
      <c r="J348" s="211"/>
      <c r="K348" s="150"/>
      <c r="L348" s="98"/>
      <c r="O348"/>
    </row>
    <row r="349" spans="2:15" x14ac:dyDescent="0.25">
      <c r="B349" s="4"/>
      <c r="C349" s="4"/>
      <c r="D349" s="4"/>
      <c r="E349" s="278"/>
      <c r="F349" s="4"/>
      <c r="G349" s="4"/>
      <c r="H349" s="4"/>
      <c r="I349" s="211"/>
      <c r="J349" s="211"/>
      <c r="K349" s="150"/>
      <c r="L349" s="98"/>
      <c r="O349"/>
    </row>
    <row r="350" spans="2:15" x14ac:dyDescent="0.25">
      <c r="B350" s="4"/>
      <c r="C350" s="4"/>
      <c r="D350" s="4"/>
      <c r="E350" s="278"/>
      <c r="F350" s="4"/>
      <c r="G350" s="4"/>
      <c r="H350" s="4"/>
      <c r="I350" s="210"/>
      <c r="J350" s="210"/>
      <c r="K350" s="150"/>
      <c r="O350"/>
    </row>
    <row r="351" spans="2:15" x14ac:dyDescent="0.25">
      <c r="B351" s="4"/>
      <c r="C351" s="4"/>
      <c r="D351" s="4"/>
      <c r="E351" s="278"/>
      <c r="F351" s="4"/>
      <c r="G351" s="4"/>
      <c r="H351" s="4"/>
      <c r="I351" s="210"/>
      <c r="J351" s="210"/>
      <c r="K351" s="150"/>
      <c r="O351"/>
    </row>
    <row r="352" spans="2:15" x14ac:dyDescent="0.25">
      <c r="B352" s="4"/>
      <c r="C352" s="4"/>
      <c r="D352" s="4"/>
      <c r="E352" s="278"/>
      <c r="F352" s="4"/>
      <c r="G352" s="4"/>
      <c r="H352" s="4"/>
      <c r="I352" s="210"/>
      <c r="J352" s="210"/>
      <c r="K352" s="150"/>
      <c r="O352"/>
    </row>
    <row r="353" spans="2:15" x14ac:dyDescent="0.25">
      <c r="B353" s="4"/>
      <c r="C353" s="4"/>
      <c r="D353" s="4"/>
      <c r="E353" s="278"/>
      <c r="F353" s="4"/>
      <c r="G353" s="4"/>
      <c r="H353" s="4"/>
      <c r="I353" s="210"/>
      <c r="J353" s="210"/>
      <c r="K353" s="150"/>
      <c r="O353"/>
    </row>
    <row r="354" spans="2:15" x14ac:dyDescent="0.25">
      <c r="B354" s="4"/>
      <c r="C354" s="4"/>
      <c r="D354" s="4"/>
      <c r="E354" s="278"/>
      <c r="F354" s="4"/>
      <c r="G354" s="4"/>
      <c r="H354" s="4"/>
      <c r="I354" s="210"/>
      <c r="J354" s="210"/>
      <c r="K354" s="150"/>
      <c r="O354"/>
    </row>
    <row r="355" spans="2:15" x14ac:dyDescent="0.25">
      <c r="B355" s="4"/>
      <c r="C355" s="4"/>
      <c r="D355" s="4"/>
      <c r="E355" s="278"/>
      <c r="F355" s="4"/>
      <c r="G355" s="4"/>
      <c r="H355" s="4"/>
      <c r="I355" s="210"/>
      <c r="J355" s="210"/>
      <c r="K355" s="150"/>
      <c r="O355"/>
    </row>
    <row r="356" spans="2:15" x14ac:dyDescent="0.25">
      <c r="B356" s="4"/>
      <c r="C356" s="4"/>
      <c r="D356" s="4"/>
      <c r="E356" s="278"/>
      <c r="F356" s="4"/>
      <c r="G356" s="4"/>
      <c r="H356" s="4"/>
      <c r="I356" s="210"/>
      <c r="J356" s="210"/>
      <c r="K356" s="150"/>
      <c r="O356"/>
    </row>
    <row r="357" spans="2:15" x14ac:dyDescent="0.25">
      <c r="B357" s="4"/>
      <c r="C357" s="4"/>
      <c r="D357" s="4"/>
      <c r="E357" s="278"/>
      <c r="F357" s="4"/>
      <c r="G357" s="4"/>
      <c r="H357" s="4"/>
      <c r="I357" s="210"/>
      <c r="J357" s="210"/>
      <c r="K357" s="150"/>
      <c r="O357"/>
    </row>
    <row r="358" spans="2:15" x14ac:dyDescent="0.25">
      <c r="B358" s="4"/>
      <c r="C358" s="4"/>
      <c r="D358" s="4"/>
      <c r="E358" s="278"/>
      <c r="F358" s="4"/>
      <c r="G358" s="4"/>
      <c r="H358" s="4"/>
      <c r="I358" s="210"/>
      <c r="J358" s="210"/>
      <c r="K358" s="150"/>
      <c r="O358"/>
    </row>
    <row r="359" spans="2:15" x14ac:dyDescent="0.25">
      <c r="B359" s="4"/>
      <c r="C359" s="4"/>
      <c r="D359" s="4"/>
      <c r="E359" s="278"/>
      <c r="F359" s="4"/>
      <c r="G359" s="4"/>
      <c r="H359" s="4"/>
      <c r="I359" s="210"/>
      <c r="J359" s="210"/>
      <c r="K359" s="150"/>
      <c r="O359"/>
    </row>
    <row r="360" spans="2:15" x14ac:dyDescent="0.25">
      <c r="B360" s="4"/>
      <c r="C360" s="4"/>
      <c r="D360" s="4"/>
      <c r="E360" s="278"/>
      <c r="F360" s="4"/>
      <c r="G360" s="4"/>
      <c r="H360" s="4"/>
      <c r="I360" s="210"/>
      <c r="J360" s="210"/>
      <c r="K360" s="150"/>
      <c r="O360"/>
    </row>
    <row r="361" spans="2:15" x14ac:dyDescent="0.25">
      <c r="B361" s="4"/>
      <c r="C361" s="4"/>
      <c r="D361" s="4"/>
      <c r="E361" s="278"/>
      <c r="F361" s="4"/>
      <c r="G361" s="4"/>
      <c r="H361" s="4"/>
      <c r="I361" s="210"/>
      <c r="J361" s="210"/>
      <c r="K361" s="150"/>
      <c r="O361"/>
    </row>
    <row r="362" spans="2:15" x14ac:dyDescent="0.25">
      <c r="B362" s="4"/>
      <c r="C362" s="4"/>
      <c r="D362" s="4"/>
      <c r="E362" s="278"/>
      <c r="F362" s="4"/>
      <c r="G362" s="4"/>
      <c r="H362" s="4"/>
      <c r="I362" s="210"/>
      <c r="J362" s="210"/>
      <c r="K362" s="150"/>
      <c r="O362"/>
    </row>
    <row r="363" spans="2:15" x14ac:dyDescent="0.25">
      <c r="B363" s="4"/>
      <c r="C363" s="4"/>
      <c r="D363" s="4"/>
      <c r="E363" s="278"/>
      <c r="F363" s="4"/>
      <c r="G363" s="4"/>
      <c r="H363" s="4"/>
      <c r="I363" s="210"/>
      <c r="J363" s="210"/>
      <c r="K363" s="150"/>
      <c r="O363"/>
    </row>
    <row r="364" spans="2:15" x14ac:dyDescent="0.25">
      <c r="B364" s="4"/>
      <c r="C364" s="4"/>
      <c r="D364" s="4"/>
      <c r="E364" s="278"/>
      <c r="F364" s="4"/>
      <c r="G364" s="4"/>
      <c r="H364" s="4"/>
      <c r="I364" s="210"/>
      <c r="J364" s="210"/>
      <c r="K364" s="150"/>
      <c r="O364"/>
    </row>
    <row r="365" spans="2:15" x14ac:dyDescent="0.25">
      <c r="B365" s="4"/>
      <c r="C365" s="4"/>
      <c r="D365" s="4"/>
      <c r="E365" s="278"/>
      <c r="F365" s="4"/>
      <c r="G365" s="4"/>
      <c r="H365" s="4"/>
      <c r="I365" s="210"/>
      <c r="J365" s="210"/>
      <c r="K365" s="150"/>
      <c r="O365"/>
    </row>
    <row r="366" spans="2:15" x14ac:dyDescent="0.25">
      <c r="B366" s="4"/>
      <c r="C366" s="4"/>
      <c r="D366" s="4"/>
      <c r="E366" s="278"/>
      <c r="F366" s="4"/>
      <c r="G366" s="4"/>
      <c r="H366" s="4"/>
      <c r="I366" s="210"/>
      <c r="J366" s="210"/>
      <c r="K366" s="150"/>
      <c r="O366"/>
    </row>
    <row r="367" spans="2:15" x14ac:dyDescent="0.25">
      <c r="B367" s="4"/>
      <c r="C367" s="4"/>
      <c r="D367" s="4"/>
      <c r="E367" s="278"/>
      <c r="F367" s="4"/>
      <c r="G367" s="4"/>
      <c r="H367" s="4"/>
      <c r="I367" s="210"/>
      <c r="J367" s="210"/>
      <c r="K367" s="150"/>
      <c r="O367"/>
    </row>
    <row r="368" spans="2:15" x14ac:dyDescent="0.25">
      <c r="B368" s="4"/>
      <c r="C368" s="4"/>
      <c r="D368" s="4"/>
      <c r="E368" s="278"/>
      <c r="F368" s="4"/>
      <c r="G368" s="4"/>
      <c r="H368" s="4"/>
      <c r="I368" s="210"/>
      <c r="J368" s="210"/>
      <c r="K368" s="150"/>
      <c r="O368"/>
    </row>
    <row r="369" spans="2:15" x14ac:dyDescent="0.25">
      <c r="B369" s="4"/>
      <c r="C369" s="4"/>
      <c r="D369" s="4"/>
      <c r="E369" s="278"/>
      <c r="F369" s="4"/>
      <c r="G369" s="4"/>
      <c r="H369" s="4"/>
      <c r="I369" s="210"/>
      <c r="J369" s="210"/>
      <c r="K369" s="150"/>
      <c r="O369"/>
    </row>
    <row r="370" spans="2:15" x14ac:dyDescent="0.25">
      <c r="B370" s="4"/>
      <c r="C370" s="4"/>
      <c r="D370" s="4"/>
      <c r="E370" s="278"/>
      <c r="F370" s="4"/>
      <c r="G370" s="4"/>
      <c r="H370" s="4"/>
      <c r="I370" s="210"/>
      <c r="J370" s="210"/>
      <c r="K370" s="150"/>
      <c r="O370"/>
    </row>
    <row r="371" spans="2:15" x14ac:dyDescent="0.25">
      <c r="B371" s="4"/>
      <c r="C371" s="4"/>
      <c r="D371" s="4"/>
      <c r="E371" s="278"/>
      <c r="F371" s="4"/>
      <c r="G371" s="4"/>
      <c r="H371" s="4"/>
      <c r="I371" s="210"/>
      <c r="J371" s="210"/>
      <c r="K371" s="150"/>
      <c r="O371"/>
    </row>
    <row r="372" spans="2:15" x14ac:dyDescent="0.25">
      <c r="B372" s="4"/>
      <c r="C372" s="4"/>
      <c r="D372" s="4"/>
      <c r="E372" s="278"/>
      <c r="F372" s="4"/>
      <c r="G372" s="4"/>
      <c r="H372" s="4"/>
      <c r="I372" s="210"/>
      <c r="J372" s="210"/>
      <c r="K372" s="150"/>
      <c r="O372"/>
    </row>
    <row r="373" spans="2:15" x14ac:dyDescent="0.25">
      <c r="B373" s="4"/>
      <c r="C373" s="4"/>
      <c r="D373" s="4"/>
      <c r="E373" s="278"/>
      <c r="F373" s="4"/>
      <c r="G373" s="4"/>
      <c r="H373" s="4"/>
      <c r="I373" s="210"/>
      <c r="J373" s="210"/>
      <c r="K373" s="150"/>
      <c r="O373"/>
    </row>
    <row r="374" spans="2:15" x14ac:dyDescent="0.25">
      <c r="B374" s="4"/>
      <c r="C374" s="4"/>
      <c r="D374" s="4"/>
      <c r="E374" s="278"/>
      <c r="F374" s="4"/>
      <c r="G374" s="4"/>
      <c r="H374" s="4"/>
      <c r="I374" s="210"/>
      <c r="J374" s="210"/>
      <c r="K374" s="150"/>
      <c r="O374"/>
    </row>
    <row r="375" spans="2:15" x14ac:dyDescent="0.25">
      <c r="B375" s="4"/>
      <c r="C375" s="4"/>
      <c r="D375" s="4"/>
      <c r="E375" s="278"/>
      <c r="F375" s="4"/>
      <c r="G375" s="4"/>
      <c r="H375" s="4"/>
      <c r="I375" s="210"/>
      <c r="J375" s="210"/>
      <c r="K375" s="150"/>
      <c r="O375"/>
    </row>
    <row r="376" spans="2:15" x14ac:dyDescent="0.25">
      <c r="B376" s="4"/>
      <c r="C376" s="4"/>
      <c r="D376" s="4"/>
      <c r="E376" s="278"/>
      <c r="F376" s="4"/>
      <c r="G376" s="4"/>
      <c r="H376" s="4"/>
      <c r="I376" s="210"/>
      <c r="J376" s="210"/>
      <c r="K376" s="150"/>
      <c r="O376"/>
    </row>
    <row r="377" spans="2:15" x14ac:dyDescent="0.25">
      <c r="B377" s="4"/>
      <c r="C377" s="4"/>
      <c r="D377" s="4"/>
      <c r="E377" s="278"/>
      <c r="F377" s="4"/>
      <c r="G377" s="4"/>
      <c r="H377" s="4"/>
      <c r="I377" s="210"/>
      <c r="J377" s="210"/>
      <c r="K377" s="150"/>
      <c r="O377"/>
    </row>
    <row r="378" spans="2:15" x14ac:dyDescent="0.25">
      <c r="B378" s="4"/>
      <c r="C378" s="4"/>
      <c r="D378" s="4"/>
      <c r="E378" s="278"/>
      <c r="F378" s="4"/>
      <c r="G378" s="4"/>
      <c r="H378" s="4"/>
      <c r="I378" s="210"/>
      <c r="J378" s="210"/>
      <c r="K378" s="150"/>
      <c r="O378"/>
    </row>
    <row r="379" spans="2:15" x14ac:dyDescent="0.25">
      <c r="B379" s="4"/>
      <c r="C379" s="4"/>
      <c r="D379" s="4"/>
      <c r="E379" s="278"/>
      <c r="F379" s="4"/>
      <c r="G379" s="4"/>
      <c r="H379" s="4"/>
      <c r="I379" s="210"/>
      <c r="J379" s="210"/>
      <c r="K379" s="150"/>
      <c r="O379"/>
    </row>
    <row r="380" spans="2:15" x14ac:dyDescent="0.25">
      <c r="B380" s="4"/>
      <c r="C380" s="4"/>
      <c r="D380" s="4"/>
      <c r="E380" s="278"/>
      <c r="F380" s="4"/>
      <c r="G380" s="4"/>
      <c r="H380" s="4"/>
      <c r="I380" s="210"/>
      <c r="J380" s="210"/>
      <c r="K380" s="150"/>
      <c r="O380"/>
    </row>
    <row r="381" spans="2:15" x14ac:dyDescent="0.25">
      <c r="B381" s="4"/>
      <c r="C381" s="4"/>
      <c r="D381" s="4"/>
      <c r="E381" s="278"/>
      <c r="F381" s="4"/>
      <c r="G381" s="4"/>
      <c r="H381" s="4"/>
      <c r="I381" s="210"/>
      <c r="J381" s="210"/>
      <c r="K381" s="150"/>
      <c r="O381"/>
    </row>
    <row r="382" spans="2:15" x14ac:dyDescent="0.25">
      <c r="B382" s="4"/>
      <c r="C382" s="4"/>
      <c r="D382" s="4"/>
      <c r="E382" s="278"/>
      <c r="F382" s="4"/>
      <c r="G382" s="4"/>
      <c r="H382" s="4"/>
      <c r="I382" s="210"/>
      <c r="J382" s="210"/>
      <c r="K382" s="150"/>
      <c r="O382"/>
    </row>
    <row r="383" spans="2:15" x14ac:dyDescent="0.25">
      <c r="B383" s="4"/>
      <c r="C383" s="4"/>
      <c r="D383" s="4"/>
      <c r="E383" s="278"/>
      <c r="F383" s="4"/>
      <c r="G383" s="4"/>
      <c r="H383" s="4"/>
      <c r="I383" s="210"/>
      <c r="J383" s="210"/>
      <c r="K383" s="150"/>
      <c r="O383"/>
    </row>
    <row r="384" spans="2:15" x14ac:dyDescent="0.25">
      <c r="B384" s="4"/>
      <c r="C384" s="4"/>
      <c r="D384" s="4"/>
      <c r="E384" s="278"/>
      <c r="F384" s="4"/>
      <c r="G384" s="4"/>
      <c r="H384" s="4"/>
      <c r="I384" s="210"/>
      <c r="J384" s="210"/>
      <c r="K384" s="150"/>
      <c r="O384"/>
    </row>
    <row r="385" spans="2:15" x14ac:dyDescent="0.25">
      <c r="B385" s="4"/>
      <c r="C385" s="4"/>
      <c r="D385" s="4"/>
      <c r="E385" s="278"/>
      <c r="F385" s="4"/>
      <c r="G385" s="4"/>
      <c r="H385" s="4"/>
      <c r="I385" s="210"/>
      <c r="J385" s="210"/>
      <c r="K385" s="150"/>
      <c r="O385"/>
    </row>
    <row r="386" spans="2:15" x14ac:dyDescent="0.25">
      <c r="B386" s="4"/>
      <c r="C386" s="4"/>
      <c r="D386" s="4"/>
      <c r="E386" s="278"/>
      <c r="F386" s="4"/>
      <c r="G386" s="4"/>
      <c r="H386" s="4"/>
      <c r="I386" s="210"/>
      <c r="J386" s="210"/>
      <c r="K386" s="150"/>
      <c r="O386"/>
    </row>
    <row r="387" spans="2:15" x14ac:dyDescent="0.25">
      <c r="B387" s="4"/>
      <c r="C387" s="4"/>
      <c r="D387" s="4"/>
      <c r="E387" s="278"/>
      <c r="F387" s="4"/>
      <c r="G387" s="4"/>
      <c r="H387" s="4"/>
      <c r="I387" s="210"/>
      <c r="J387" s="210"/>
      <c r="K387" s="150"/>
      <c r="O387"/>
    </row>
    <row r="388" spans="2:15" x14ac:dyDescent="0.25">
      <c r="B388" s="4"/>
      <c r="C388" s="4"/>
      <c r="D388" s="4"/>
      <c r="E388" s="278"/>
      <c r="F388" s="4"/>
      <c r="G388" s="4"/>
      <c r="H388" s="4"/>
      <c r="I388" s="210"/>
      <c r="J388" s="210"/>
      <c r="K388" s="150"/>
      <c r="O388"/>
    </row>
    <row r="389" spans="2:15" x14ac:dyDescent="0.25">
      <c r="B389" s="4"/>
      <c r="C389" s="4"/>
      <c r="D389" s="4"/>
      <c r="E389" s="278"/>
      <c r="F389" s="4"/>
      <c r="G389" s="4"/>
      <c r="H389" s="4"/>
      <c r="I389" s="210"/>
      <c r="J389" s="210"/>
      <c r="K389" s="150"/>
      <c r="O389"/>
    </row>
    <row r="390" spans="2:15" x14ac:dyDescent="0.25">
      <c r="B390" s="4"/>
      <c r="C390" s="4"/>
      <c r="D390" s="4"/>
      <c r="E390" s="278"/>
      <c r="F390" s="4"/>
      <c r="G390" s="4"/>
      <c r="H390" s="4"/>
      <c r="I390" s="210"/>
      <c r="J390" s="210"/>
      <c r="K390" s="150"/>
      <c r="O390"/>
    </row>
    <row r="391" spans="2:15" x14ac:dyDescent="0.25">
      <c r="B391" s="4"/>
      <c r="C391" s="4"/>
      <c r="D391" s="4"/>
      <c r="E391" s="278"/>
      <c r="F391" s="4"/>
      <c r="G391" s="4"/>
      <c r="H391" s="4"/>
      <c r="I391" s="210"/>
      <c r="J391" s="210"/>
      <c r="K391" s="150"/>
      <c r="O391"/>
    </row>
    <row r="392" spans="2:15" x14ac:dyDescent="0.25">
      <c r="B392" s="4"/>
      <c r="C392" s="4"/>
      <c r="D392" s="4"/>
      <c r="E392" s="278"/>
      <c r="F392" s="4"/>
      <c r="G392" s="4"/>
      <c r="H392" s="4"/>
      <c r="I392" s="210"/>
      <c r="J392" s="210"/>
      <c r="K392" s="150"/>
      <c r="O392"/>
    </row>
    <row r="393" spans="2:15" x14ac:dyDescent="0.25">
      <c r="B393" s="4"/>
      <c r="C393" s="4"/>
      <c r="D393" s="4"/>
      <c r="E393" s="278"/>
      <c r="F393" s="4"/>
      <c r="G393" s="4"/>
      <c r="H393" s="4"/>
      <c r="I393" s="210"/>
      <c r="J393" s="210"/>
      <c r="K393" s="150"/>
      <c r="O393"/>
    </row>
    <row r="394" spans="2:15" x14ac:dyDescent="0.25">
      <c r="B394" s="4"/>
      <c r="C394" s="4"/>
      <c r="D394" s="4"/>
      <c r="E394" s="278"/>
      <c r="F394" s="4"/>
      <c r="G394" s="4"/>
      <c r="H394" s="4"/>
      <c r="I394" s="210"/>
      <c r="J394" s="210"/>
      <c r="K394" s="150"/>
      <c r="O394"/>
    </row>
    <row r="395" spans="2:15" x14ac:dyDescent="0.25">
      <c r="B395" s="4"/>
      <c r="C395" s="4"/>
      <c r="D395" s="4"/>
      <c r="E395" s="278"/>
      <c r="F395" s="4"/>
      <c r="G395" s="4"/>
      <c r="H395" s="4"/>
      <c r="I395" s="210"/>
      <c r="J395" s="210"/>
      <c r="K395" s="150"/>
      <c r="O395"/>
    </row>
    <row r="396" spans="2:15" x14ac:dyDescent="0.25">
      <c r="B396" s="4"/>
      <c r="C396" s="4"/>
      <c r="D396" s="4"/>
      <c r="E396" s="278"/>
      <c r="F396" s="4"/>
      <c r="G396" s="4"/>
      <c r="H396" s="4"/>
      <c r="I396" s="210"/>
      <c r="J396" s="210"/>
      <c r="K396" s="150"/>
      <c r="O396"/>
    </row>
    <row r="397" spans="2:15" x14ac:dyDescent="0.25">
      <c r="B397" s="4"/>
      <c r="C397" s="4"/>
      <c r="D397" s="4"/>
      <c r="E397" s="278"/>
      <c r="F397" s="4"/>
      <c r="G397" s="4"/>
      <c r="H397" s="4"/>
      <c r="I397" s="210"/>
      <c r="J397" s="210"/>
      <c r="K397" s="150"/>
      <c r="O397"/>
    </row>
    <row r="398" spans="2:15" x14ac:dyDescent="0.25">
      <c r="B398" s="4"/>
      <c r="C398" s="4"/>
      <c r="D398" s="4"/>
      <c r="E398" s="278"/>
      <c r="F398" s="4"/>
      <c r="G398" s="4"/>
      <c r="H398" s="4"/>
      <c r="I398" s="210"/>
      <c r="J398" s="210"/>
      <c r="K398" s="150"/>
      <c r="O398"/>
    </row>
    <row r="399" spans="2:15" x14ac:dyDescent="0.25">
      <c r="B399" s="4"/>
      <c r="C399" s="4"/>
      <c r="D399" s="4"/>
      <c r="E399" s="278"/>
      <c r="F399" s="4"/>
      <c r="G399" s="4"/>
      <c r="H399" s="4"/>
      <c r="I399" s="210"/>
      <c r="J399" s="210"/>
      <c r="K399" s="150"/>
      <c r="O399"/>
    </row>
    <row r="400" spans="2:15" x14ac:dyDescent="0.25">
      <c r="B400" s="4"/>
      <c r="C400" s="4"/>
      <c r="D400" s="4"/>
      <c r="E400" s="278"/>
      <c r="F400" s="4"/>
      <c r="G400" s="4"/>
      <c r="H400" s="4"/>
      <c r="I400" s="210"/>
      <c r="J400" s="210"/>
      <c r="K400" s="150"/>
      <c r="O400"/>
    </row>
    <row r="401" spans="2:15" x14ac:dyDescent="0.25">
      <c r="B401" s="4"/>
      <c r="C401" s="4"/>
      <c r="D401" s="4"/>
      <c r="E401" s="278"/>
      <c r="F401" s="4"/>
      <c r="G401" s="4"/>
      <c r="H401" s="4"/>
      <c r="I401" s="210"/>
      <c r="J401" s="210"/>
      <c r="K401" s="150"/>
      <c r="O401"/>
    </row>
    <row r="402" spans="2:15" x14ac:dyDescent="0.25">
      <c r="B402" s="4"/>
      <c r="C402" s="4"/>
      <c r="D402" s="4"/>
      <c r="E402" s="278"/>
      <c r="F402" s="4"/>
      <c r="G402" s="4"/>
      <c r="H402" s="4"/>
      <c r="I402" s="210"/>
      <c r="J402" s="210"/>
      <c r="K402" s="150"/>
      <c r="O402"/>
    </row>
    <row r="403" spans="2:15" x14ac:dyDescent="0.25">
      <c r="B403" s="4"/>
      <c r="C403" s="4"/>
      <c r="D403" s="4"/>
      <c r="E403" s="278"/>
      <c r="F403" s="4"/>
      <c r="G403" s="4"/>
      <c r="H403" s="4"/>
      <c r="I403" s="210"/>
      <c r="J403" s="210"/>
      <c r="K403" s="150"/>
      <c r="O403"/>
    </row>
    <row r="404" spans="2:15" x14ac:dyDescent="0.25">
      <c r="B404" s="4"/>
      <c r="C404" s="4"/>
      <c r="D404" s="4"/>
      <c r="E404" s="278"/>
      <c r="F404" s="4"/>
      <c r="G404" s="4"/>
      <c r="H404" s="4"/>
      <c r="I404" s="210"/>
      <c r="J404" s="210"/>
      <c r="K404" s="150"/>
      <c r="O404"/>
    </row>
    <row r="405" spans="2:15" x14ac:dyDescent="0.25">
      <c r="B405" s="4"/>
      <c r="C405" s="4"/>
      <c r="D405" s="4"/>
      <c r="E405" s="278"/>
      <c r="F405" s="4"/>
      <c r="G405" s="4"/>
      <c r="H405" s="4"/>
      <c r="I405" s="210"/>
      <c r="J405" s="210"/>
      <c r="K405" s="150"/>
      <c r="O405"/>
    </row>
    <row r="406" spans="2:15" x14ac:dyDescent="0.25">
      <c r="B406" s="4"/>
      <c r="C406" s="4"/>
      <c r="D406" s="4"/>
      <c r="E406" s="278"/>
      <c r="F406" s="4"/>
      <c r="G406" s="4"/>
      <c r="H406" s="4"/>
      <c r="I406" s="210"/>
      <c r="J406" s="210"/>
      <c r="K406" s="150"/>
      <c r="O406"/>
    </row>
    <row r="407" spans="2:15" x14ac:dyDescent="0.25">
      <c r="B407" s="4"/>
      <c r="C407" s="4"/>
      <c r="D407" s="4"/>
      <c r="E407" s="278"/>
      <c r="F407" s="4"/>
      <c r="G407" s="4"/>
      <c r="H407" s="4"/>
      <c r="I407" s="210"/>
      <c r="J407" s="210"/>
      <c r="K407" s="150"/>
      <c r="O407"/>
    </row>
    <row r="408" spans="2:15" x14ac:dyDescent="0.25">
      <c r="B408" s="4"/>
      <c r="C408" s="4"/>
      <c r="D408" s="4"/>
      <c r="E408" s="278"/>
      <c r="F408" s="4"/>
      <c r="G408" s="4"/>
      <c r="H408" s="4"/>
      <c r="I408" s="210"/>
      <c r="J408" s="210"/>
      <c r="K408" s="150"/>
      <c r="O408"/>
    </row>
    <row r="409" spans="2:15" x14ac:dyDescent="0.25">
      <c r="B409" s="4"/>
      <c r="C409" s="4"/>
      <c r="D409" s="4"/>
      <c r="E409" s="278"/>
      <c r="F409" s="4"/>
      <c r="G409" s="4"/>
      <c r="H409" s="4"/>
      <c r="I409" s="210"/>
      <c r="J409" s="210"/>
      <c r="K409" s="150"/>
      <c r="O409"/>
    </row>
    <row r="410" spans="2:15" x14ac:dyDescent="0.25">
      <c r="B410" s="4"/>
      <c r="C410" s="4"/>
      <c r="D410" s="4"/>
      <c r="E410" s="278"/>
      <c r="F410" s="4"/>
      <c r="G410" s="4"/>
      <c r="H410" s="4"/>
      <c r="I410" s="210"/>
      <c r="J410" s="210"/>
      <c r="K410" s="150"/>
      <c r="O410"/>
    </row>
    <row r="411" spans="2:15" x14ac:dyDescent="0.25">
      <c r="B411" s="4"/>
      <c r="C411" s="4"/>
      <c r="D411" s="4"/>
      <c r="E411" s="278"/>
      <c r="F411" s="4"/>
      <c r="G411" s="4"/>
      <c r="H411" s="4"/>
      <c r="I411" s="210"/>
      <c r="J411" s="210"/>
      <c r="K411" s="150"/>
      <c r="O411"/>
    </row>
    <row r="412" spans="2:15" x14ac:dyDescent="0.25">
      <c r="B412" s="4"/>
      <c r="C412" s="4"/>
      <c r="D412" s="4"/>
      <c r="E412" s="278"/>
      <c r="F412" s="4"/>
      <c r="G412" s="4"/>
      <c r="H412" s="4"/>
      <c r="I412" s="210"/>
      <c r="J412" s="210"/>
      <c r="K412" s="150"/>
      <c r="O412"/>
    </row>
    <row r="413" spans="2:15" x14ac:dyDescent="0.25">
      <c r="B413" s="4"/>
      <c r="C413" s="4"/>
      <c r="D413" s="4"/>
      <c r="E413" s="278"/>
      <c r="F413" s="4"/>
      <c r="G413" s="4"/>
      <c r="H413" s="4"/>
      <c r="I413" s="210"/>
      <c r="J413" s="210"/>
      <c r="K413" s="150"/>
      <c r="O413"/>
    </row>
    <row r="414" spans="2:15" x14ac:dyDescent="0.25">
      <c r="B414" s="4"/>
      <c r="C414" s="4"/>
      <c r="D414" s="4"/>
      <c r="E414" s="278"/>
      <c r="F414" s="4"/>
      <c r="G414" s="4"/>
      <c r="H414" s="4"/>
      <c r="I414" s="210"/>
      <c r="J414" s="210"/>
      <c r="K414" s="150"/>
      <c r="O414"/>
    </row>
    <row r="415" spans="2:15" x14ac:dyDescent="0.25">
      <c r="B415" s="4"/>
      <c r="C415" s="4"/>
      <c r="D415" s="4"/>
      <c r="E415" s="278"/>
      <c r="F415" s="4"/>
      <c r="G415" s="4"/>
      <c r="H415" s="4"/>
      <c r="I415" s="210"/>
      <c r="J415" s="210"/>
      <c r="K415" s="150"/>
      <c r="O415"/>
    </row>
    <row r="416" spans="2:15" x14ac:dyDescent="0.25">
      <c r="B416" s="4"/>
      <c r="C416" s="4"/>
      <c r="D416" s="4"/>
      <c r="E416" s="278"/>
      <c r="F416" s="4"/>
      <c r="G416" s="4"/>
      <c r="H416" s="4"/>
      <c r="I416" s="210"/>
      <c r="J416" s="210"/>
      <c r="K416" s="150"/>
      <c r="O416"/>
    </row>
    <row r="417" spans="2:15" x14ac:dyDescent="0.25">
      <c r="B417" s="4"/>
      <c r="C417" s="4"/>
      <c r="D417" s="4"/>
      <c r="E417" s="278"/>
      <c r="F417" s="4"/>
      <c r="G417" s="4"/>
      <c r="H417" s="4"/>
      <c r="I417" s="210"/>
      <c r="J417" s="210"/>
      <c r="K417" s="150"/>
      <c r="O417"/>
    </row>
    <row r="418" spans="2:15" x14ac:dyDescent="0.25">
      <c r="B418" s="4"/>
      <c r="C418" s="4"/>
      <c r="D418" s="4"/>
      <c r="E418" s="278"/>
      <c r="F418" s="4"/>
      <c r="G418" s="4"/>
      <c r="H418" s="4"/>
      <c r="I418" s="210"/>
      <c r="J418" s="210"/>
      <c r="K418" s="150"/>
      <c r="O418"/>
    </row>
    <row r="419" spans="2:15" x14ac:dyDescent="0.25">
      <c r="B419" s="4"/>
      <c r="C419" s="4"/>
      <c r="D419" s="4"/>
      <c r="E419" s="278"/>
      <c r="F419" s="4"/>
      <c r="G419" s="4"/>
      <c r="H419" s="4"/>
      <c r="I419" s="210"/>
      <c r="J419" s="210"/>
      <c r="K419" s="150"/>
      <c r="O419"/>
    </row>
    <row r="420" spans="2:15" x14ac:dyDescent="0.25">
      <c r="B420" s="4"/>
      <c r="C420" s="4"/>
      <c r="D420" s="4"/>
      <c r="E420" s="278"/>
      <c r="F420" s="4"/>
      <c r="G420" s="4"/>
      <c r="H420" s="4"/>
      <c r="I420" s="210"/>
      <c r="J420" s="210"/>
      <c r="K420" s="150"/>
      <c r="O420"/>
    </row>
    <row r="421" spans="2:15" x14ac:dyDescent="0.25">
      <c r="B421" s="4"/>
      <c r="C421" s="4"/>
      <c r="D421" s="4"/>
      <c r="E421" s="278"/>
      <c r="F421" s="4"/>
      <c r="G421" s="4"/>
      <c r="H421" s="4"/>
      <c r="I421" s="210"/>
      <c r="J421" s="210"/>
      <c r="K421" s="150"/>
      <c r="O421"/>
    </row>
    <row r="422" spans="2:15" x14ac:dyDescent="0.25">
      <c r="B422" s="4"/>
      <c r="C422" s="4"/>
      <c r="D422" s="4"/>
      <c r="E422" s="278"/>
      <c r="F422" s="4"/>
      <c r="G422" s="4"/>
      <c r="H422" s="4"/>
      <c r="I422" s="210"/>
      <c r="J422" s="210"/>
      <c r="K422" s="150"/>
      <c r="O422"/>
    </row>
    <row r="423" spans="2:15" x14ac:dyDescent="0.25">
      <c r="B423" s="4"/>
      <c r="C423" s="4"/>
      <c r="D423" s="4"/>
      <c r="E423" s="278"/>
      <c r="F423" s="4"/>
      <c r="G423" s="4"/>
      <c r="H423" s="4"/>
      <c r="I423" s="210"/>
      <c r="J423" s="210"/>
      <c r="K423" s="150"/>
      <c r="O423"/>
    </row>
    <row r="424" spans="2:15" x14ac:dyDescent="0.25">
      <c r="B424" s="4"/>
      <c r="C424" s="4"/>
      <c r="D424" s="4"/>
      <c r="E424" s="278"/>
      <c r="F424" s="4"/>
      <c r="G424" s="4"/>
      <c r="H424" s="4"/>
      <c r="I424" s="210"/>
      <c r="J424" s="210"/>
      <c r="K424" s="150"/>
      <c r="O424"/>
    </row>
    <row r="425" spans="2:15" x14ac:dyDescent="0.25">
      <c r="B425" s="4"/>
      <c r="C425" s="4"/>
      <c r="D425" s="4"/>
      <c r="E425" s="278"/>
      <c r="F425" s="4"/>
      <c r="G425" s="4"/>
      <c r="H425" s="4"/>
      <c r="I425" s="210"/>
      <c r="J425" s="210"/>
      <c r="K425" s="150"/>
      <c r="O425"/>
    </row>
    <row r="426" spans="2:15" x14ac:dyDescent="0.25">
      <c r="B426" s="4"/>
      <c r="C426" s="4"/>
      <c r="D426" s="4"/>
      <c r="E426" s="278"/>
      <c r="F426" s="4"/>
      <c r="G426" s="4"/>
      <c r="H426" s="4"/>
      <c r="I426" s="210"/>
      <c r="J426" s="210"/>
      <c r="K426" s="150"/>
      <c r="O426"/>
    </row>
    <row r="427" spans="2:15" x14ac:dyDescent="0.25">
      <c r="B427" s="4"/>
      <c r="C427" s="4"/>
      <c r="D427" s="4"/>
      <c r="E427" s="278"/>
      <c r="F427" s="4"/>
      <c r="G427" s="4"/>
      <c r="H427" s="4"/>
      <c r="I427" s="210"/>
      <c r="J427" s="210"/>
      <c r="K427" s="150"/>
      <c r="O427"/>
    </row>
    <row r="428" spans="2:15" x14ac:dyDescent="0.25">
      <c r="B428" s="4"/>
      <c r="C428" s="4"/>
      <c r="D428" s="4"/>
      <c r="E428" s="278"/>
      <c r="F428" s="4"/>
      <c r="G428" s="4"/>
      <c r="H428" s="4"/>
      <c r="I428" s="210"/>
      <c r="J428" s="210"/>
      <c r="K428" s="150"/>
      <c r="O428"/>
    </row>
    <row r="429" spans="2:15" x14ac:dyDescent="0.25">
      <c r="B429" s="4"/>
      <c r="C429" s="4"/>
      <c r="D429" s="4"/>
      <c r="E429" s="278"/>
      <c r="F429" s="4"/>
      <c r="G429" s="4"/>
      <c r="H429" s="4"/>
      <c r="I429" s="210"/>
      <c r="J429" s="210"/>
      <c r="K429" s="150"/>
      <c r="O429"/>
    </row>
    <row r="430" spans="2:15" x14ac:dyDescent="0.25">
      <c r="B430" s="4"/>
      <c r="C430" s="4"/>
      <c r="D430" s="4"/>
      <c r="E430" s="278"/>
      <c r="F430" s="4"/>
      <c r="G430" s="4"/>
      <c r="H430" s="4"/>
      <c r="I430" s="210"/>
      <c r="J430" s="210"/>
      <c r="K430" s="150"/>
      <c r="O430"/>
    </row>
    <row r="431" spans="2:15" x14ac:dyDescent="0.25">
      <c r="B431" s="4"/>
      <c r="C431" s="4"/>
      <c r="D431" s="4"/>
      <c r="E431" s="278"/>
      <c r="F431" s="4"/>
      <c r="G431" s="4"/>
      <c r="H431" s="4"/>
      <c r="I431" s="210"/>
      <c r="J431" s="210"/>
      <c r="K431" s="150"/>
      <c r="O431"/>
    </row>
    <row r="432" spans="2:15" x14ac:dyDescent="0.25">
      <c r="B432" s="4"/>
      <c r="C432" s="4"/>
      <c r="D432" s="4"/>
      <c r="E432" s="278"/>
      <c r="F432" s="4"/>
      <c r="G432" s="4"/>
      <c r="H432" s="4"/>
      <c r="I432" s="210"/>
      <c r="J432" s="210"/>
      <c r="K432" s="150"/>
      <c r="O432"/>
    </row>
    <row r="433" spans="2:15" x14ac:dyDescent="0.25">
      <c r="B433" s="4"/>
      <c r="C433" s="4"/>
      <c r="D433" s="4"/>
      <c r="E433" s="278"/>
      <c r="F433" s="4"/>
      <c r="G433" s="4"/>
      <c r="H433" s="4"/>
      <c r="I433" s="210"/>
      <c r="J433" s="210"/>
      <c r="K433" s="150"/>
      <c r="O433"/>
    </row>
    <row r="434" spans="2:15" x14ac:dyDescent="0.25">
      <c r="B434" s="4"/>
      <c r="C434" s="4"/>
      <c r="D434" s="4"/>
      <c r="E434" s="278"/>
      <c r="F434" s="4"/>
      <c r="G434" s="4"/>
      <c r="H434" s="4"/>
      <c r="I434" s="210"/>
      <c r="J434" s="210"/>
      <c r="K434" s="150"/>
      <c r="O434"/>
    </row>
    <row r="435" spans="2:15" x14ac:dyDescent="0.25">
      <c r="B435" s="4"/>
      <c r="C435" s="4"/>
      <c r="D435" s="4"/>
      <c r="E435" s="278"/>
      <c r="F435" s="4"/>
      <c r="G435" s="4"/>
      <c r="H435" s="4"/>
      <c r="I435" s="210"/>
      <c r="J435" s="210"/>
      <c r="K435" s="150"/>
      <c r="O435"/>
    </row>
    <row r="436" spans="2:15" x14ac:dyDescent="0.25">
      <c r="B436" s="4"/>
      <c r="C436" s="4"/>
      <c r="D436" s="4"/>
      <c r="E436" s="278"/>
      <c r="F436" s="4"/>
      <c r="G436" s="4"/>
      <c r="H436" s="4"/>
      <c r="I436" s="210"/>
      <c r="J436" s="210"/>
      <c r="K436" s="150"/>
      <c r="O436"/>
    </row>
    <row r="437" spans="2:15" x14ac:dyDescent="0.25">
      <c r="B437" s="4"/>
      <c r="C437" s="4"/>
      <c r="D437" s="4"/>
      <c r="E437" s="278"/>
      <c r="F437" s="4"/>
      <c r="G437" s="4"/>
      <c r="H437" s="4"/>
      <c r="I437" s="210"/>
      <c r="J437" s="210"/>
      <c r="K437" s="150"/>
      <c r="O437"/>
    </row>
    <row r="438" spans="2:15" x14ac:dyDescent="0.25">
      <c r="B438" s="4"/>
      <c r="C438" s="4"/>
      <c r="D438" s="4"/>
      <c r="E438" s="278"/>
      <c r="F438" s="4"/>
      <c r="G438" s="4"/>
      <c r="H438" s="4"/>
      <c r="I438" s="210"/>
      <c r="J438" s="210"/>
      <c r="K438" s="150"/>
      <c r="O438"/>
    </row>
    <row r="439" spans="2:15" x14ac:dyDescent="0.25">
      <c r="B439" s="4"/>
      <c r="C439" s="4"/>
      <c r="D439" s="4"/>
      <c r="E439" s="278"/>
      <c r="F439" s="4"/>
      <c r="G439" s="4"/>
      <c r="H439" s="4"/>
      <c r="I439" s="210"/>
      <c r="J439" s="210"/>
      <c r="K439" s="150"/>
      <c r="O439"/>
    </row>
    <row r="440" spans="2:15" x14ac:dyDescent="0.25">
      <c r="B440" s="4"/>
      <c r="C440" s="4"/>
      <c r="D440" s="4"/>
      <c r="E440" s="278"/>
      <c r="F440" s="4"/>
      <c r="G440" s="4"/>
      <c r="H440" s="4"/>
      <c r="I440" s="210"/>
      <c r="J440" s="210"/>
      <c r="K440" s="150"/>
      <c r="O440"/>
    </row>
    <row r="441" spans="2:15" x14ac:dyDescent="0.25">
      <c r="B441" s="4"/>
      <c r="C441" s="4"/>
      <c r="D441" s="4"/>
      <c r="E441" s="278"/>
      <c r="F441" s="4"/>
      <c r="G441" s="4"/>
      <c r="H441" s="4"/>
      <c r="I441" s="210"/>
      <c r="J441" s="210"/>
      <c r="K441" s="150"/>
      <c r="O441"/>
    </row>
    <row r="442" spans="2:15" x14ac:dyDescent="0.25">
      <c r="B442" s="4"/>
      <c r="C442" s="4"/>
      <c r="D442" s="4"/>
      <c r="E442" s="278"/>
      <c r="F442" s="4"/>
      <c r="G442" s="4"/>
      <c r="H442" s="4"/>
      <c r="I442" s="210"/>
      <c r="J442" s="210"/>
      <c r="K442" s="150"/>
      <c r="O442"/>
    </row>
    <row r="443" spans="2:15" x14ac:dyDescent="0.25">
      <c r="B443" s="4"/>
      <c r="C443" s="4"/>
      <c r="D443" s="4"/>
      <c r="E443" s="278"/>
      <c r="F443" s="4"/>
      <c r="G443" s="4"/>
      <c r="H443" s="4"/>
      <c r="I443" s="210"/>
      <c r="J443" s="210"/>
      <c r="K443" s="150"/>
      <c r="O443"/>
    </row>
    <row r="444" spans="2:15" x14ac:dyDescent="0.25">
      <c r="B444" s="4"/>
      <c r="C444" s="4"/>
      <c r="D444" s="4"/>
      <c r="E444" s="278"/>
      <c r="F444" s="4"/>
      <c r="G444" s="4"/>
      <c r="H444" s="4"/>
      <c r="I444" s="210"/>
      <c r="J444" s="210"/>
      <c r="K444" s="150"/>
      <c r="O444"/>
    </row>
    <row r="445" spans="2:15" x14ac:dyDescent="0.25">
      <c r="B445" s="4"/>
      <c r="C445" s="4"/>
      <c r="D445" s="4"/>
      <c r="E445" s="278"/>
      <c r="F445" s="4"/>
      <c r="G445" s="4"/>
      <c r="H445" s="4"/>
      <c r="I445" s="210"/>
      <c r="J445" s="210"/>
      <c r="K445" s="150"/>
      <c r="O445"/>
    </row>
    <row r="446" spans="2:15" x14ac:dyDescent="0.25">
      <c r="B446" s="4"/>
      <c r="C446" s="4"/>
      <c r="D446" s="4"/>
      <c r="E446" s="278"/>
      <c r="F446" s="4"/>
      <c r="G446" s="4"/>
      <c r="H446" s="4"/>
      <c r="I446" s="210"/>
      <c r="J446" s="210"/>
      <c r="K446" s="150"/>
      <c r="O446"/>
    </row>
    <row r="447" spans="2:15" x14ac:dyDescent="0.25">
      <c r="B447" s="4"/>
      <c r="C447" s="4"/>
      <c r="D447" s="4"/>
      <c r="E447" s="278"/>
      <c r="F447" s="4"/>
      <c r="G447" s="4"/>
      <c r="H447" s="4"/>
      <c r="I447" s="210"/>
      <c r="J447" s="210"/>
      <c r="K447" s="150"/>
      <c r="O447"/>
    </row>
    <row r="448" spans="2:15" x14ac:dyDescent="0.25">
      <c r="B448" s="4"/>
      <c r="C448" s="4"/>
      <c r="D448" s="4"/>
      <c r="E448" s="278"/>
      <c r="F448" s="4"/>
      <c r="G448" s="4"/>
      <c r="H448" s="4"/>
      <c r="I448" s="210"/>
      <c r="J448" s="210"/>
      <c r="K448" s="150"/>
      <c r="O448"/>
    </row>
    <row r="449" spans="2:15" x14ac:dyDescent="0.25">
      <c r="B449" s="4"/>
      <c r="C449" s="4"/>
      <c r="D449" s="4"/>
      <c r="E449" s="278"/>
      <c r="F449" s="4"/>
      <c r="G449" s="4"/>
      <c r="H449" s="4"/>
      <c r="I449" s="210"/>
      <c r="J449" s="210"/>
      <c r="K449" s="150"/>
      <c r="O449"/>
    </row>
    <row r="450" spans="2:15" x14ac:dyDescent="0.25">
      <c r="B450" s="4"/>
      <c r="C450" s="4"/>
      <c r="D450" s="4"/>
      <c r="E450" s="278"/>
      <c r="F450" s="4"/>
      <c r="G450" s="4"/>
      <c r="H450" s="4"/>
      <c r="I450" s="210"/>
      <c r="J450" s="210"/>
      <c r="K450" s="150"/>
      <c r="O450"/>
    </row>
    <row r="451" spans="2:15" x14ac:dyDescent="0.25">
      <c r="B451" s="4"/>
      <c r="C451" s="4"/>
      <c r="D451" s="4"/>
      <c r="E451" s="278"/>
      <c r="F451" s="4"/>
      <c r="G451" s="4"/>
      <c r="H451" s="4"/>
      <c r="I451" s="210"/>
      <c r="J451" s="210"/>
      <c r="K451" s="150"/>
      <c r="O451"/>
    </row>
    <row r="452" spans="2:15" x14ac:dyDescent="0.25">
      <c r="B452" s="4"/>
      <c r="C452" s="4"/>
      <c r="D452" s="4"/>
      <c r="E452" s="278"/>
      <c r="F452" s="4"/>
      <c r="G452" s="4"/>
      <c r="H452" s="4"/>
      <c r="I452" s="210"/>
      <c r="J452" s="210"/>
      <c r="K452" s="150"/>
      <c r="O452"/>
    </row>
    <row r="453" spans="2:15" x14ac:dyDescent="0.25">
      <c r="B453" s="4"/>
      <c r="C453" s="4"/>
      <c r="D453" s="4"/>
      <c r="E453" s="278"/>
      <c r="F453" s="4"/>
      <c r="G453" s="4"/>
      <c r="H453" s="4"/>
      <c r="I453" s="210"/>
      <c r="J453" s="210"/>
      <c r="K453" s="150"/>
      <c r="O453"/>
    </row>
    <row r="454" spans="2:15" x14ac:dyDescent="0.25">
      <c r="B454" s="4"/>
      <c r="C454" s="4"/>
      <c r="D454" s="4"/>
      <c r="E454" s="278"/>
      <c r="F454" s="4"/>
      <c r="G454" s="4"/>
      <c r="H454" s="4"/>
      <c r="I454" s="210"/>
      <c r="J454" s="210"/>
      <c r="K454" s="150"/>
      <c r="O454"/>
    </row>
    <row r="455" spans="2:15" x14ac:dyDescent="0.25">
      <c r="B455" s="4"/>
      <c r="C455" s="4"/>
      <c r="D455" s="4"/>
      <c r="E455" s="278"/>
      <c r="F455" s="4"/>
      <c r="G455" s="4"/>
      <c r="H455" s="4"/>
      <c r="I455" s="210"/>
      <c r="J455" s="210"/>
      <c r="K455" s="150"/>
      <c r="O455"/>
    </row>
    <row r="456" spans="2:15" x14ac:dyDescent="0.25">
      <c r="B456" s="4"/>
      <c r="C456" s="4"/>
      <c r="D456" s="4"/>
      <c r="E456" s="278"/>
      <c r="F456" s="4"/>
      <c r="G456" s="4"/>
      <c r="H456" s="4"/>
      <c r="I456" s="210"/>
      <c r="J456" s="210"/>
      <c r="K456" s="150"/>
      <c r="O456"/>
    </row>
    <row r="457" spans="2:15" x14ac:dyDescent="0.25">
      <c r="B457" s="4"/>
      <c r="C457" s="4"/>
      <c r="D457" s="4"/>
      <c r="E457" s="278"/>
      <c r="F457" s="4"/>
      <c r="G457" s="4"/>
      <c r="H457" s="4"/>
      <c r="I457" s="210"/>
      <c r="J457" s="210"/>
      <c r="K457" s="150"/>
      <c r="O457"/>
    </row>
    <row r="458" spans="2:15" x14ac:dyDescent="0.25">
      <c r="B458" s="4"/>
      <c r="C458" s="4"/>
      <c r="D458" s="4"/>
      <c r="E458" s="278"/>
      <c r="F458" s="4"/>
      <c r="G458" s="4"/>
      <c r="H458" s="4"/>
      <c r="I458" s="210"/>
      <c r="J458" s="210"/>
      <c r="K458" s="150"/>
      <c r="O458"/>
    </row>
    <row r="459" spans="2:15" x14ac:dyDescent="0.25">
      <c r="B459" s="4"/>
      <c r="C459" s="4"/>
      <c r="D459" s="4"/>
      <c r="E459" s="278"/>
      <c r="F459" s="4"/>
      <c r="G459" s="4"/>
      <c r="H459" s="4"/>
      <c r="I459" s="210"/>
      <c r="J459" s="210"/>
      <c r="K459" s="150"/>
      <c r="O459"/>
    </row>
    <row r="460" spans="2:15" x14ac:dyDescent="0.25">
      <c r="B460" s="4"/>
      <c r="C460" s="4"/>
      <c r="D460" s="4"/>
      <c r="E460" s="278"/>
      <c r="F460" s="4"/>
      <c r="G460" s="4"/>
      <c r="H460" s="4"/>
      <c r="I460" s="210"/>
      <c r="J460" s="210"/>
      <c r="K460" s="150"/>
      <c r="O460"/>
    </row>
    <row r="461" spans="2:15" x14ac:dyDescent="0.25">
      <c r="B461" s="4"/>
      <c r="C461" s="4"/>
      <c r="D461" s="4"/>
      <c r="E461" s="278"/>
      <c r="F461" s="4"/>
      <c r="G461" s="4"/>
      <c r="H461" s="4"/>
      <c r="I461" s="210"/>
      <c r="J461" s="210"/>
      <c r="K461" s="150"/>
      <c r="O461"/>
    </row>
    <row r="462" spans="2:15" x14ac:dyDescent="0.25">
      <c r="B462" s="4"/>
      <c r="C462" s="4"/>
      <c r="D462" s="4"/>
      <c r="E462" s="278"/>
      <c r="F462" s="4"/>
      <c r="G462" s="4"/>
      <c r="H462" s="4"/>
      <c r="I462" s="210"/>
      <c r="J462" s="210"/>
      <c r="K462" s="150"/>
      <c r="O462"/>
    </row>
    <row r="463" spans="2:15" x14ac:dyDescent="0.25">
      <c r="B463" s="4"/>
      <c r="C463" s="4"/>
      <c r="D463" s="4"/>
      <c r="E463" s="278"/>
      <c r="F463" s="4"/>
      <c r="G463" s="4"/>
      <c r="H463" s="4"/>
      <c r="I463" s="210"/>
      <c r="J463" s="210"/>
      <c r="K463" s="150"/>
      <c r="O463"/>
    </row>
    <row r="464" spans="2:15" x14ac:dyDescent="0.25">
      <c r="B464" s="4"/>
      <c r="C464" s="4"/>
      <c r="D464" s="4"/>
      <c r="E464" s="278"/>
      <c r="F464" s="4"/>
      <c r="G464" s="4"/>
      <c r="H464" s="4"/>
      <c r="I464" s="210"/>
      <c r="J464" s="210"/>
      <c r="K464" s="150"/>
      <c r="O464"/>
    </row>
    <row r="465" spans="2:15" x14ac:dyDescent="0.25">
      <c r="B465" s="4"/>
      <c r="C465" s="4"/>
      <c r="D465" s="4"/>
      <c r="E465" s="278"/>
      <c r="F465" s="4"/>
      <c r="G465" s="4"/>
      <c r="H465" s="4"/>
      <c r="I465" s="210"/>
      <c r="J465" s="210"/>
      <c r="K465" s="150"/>
      <c r="O465"/>
    </row>
    <row r="466" spans="2:15" x14ac:dyDescent="0.25">
      <c r="B466" s="4"/>
      <c r="C466" s="4"/>
      <c r="D466" s="4"/>
      <c r="E466" s="278"/>
      <c r="F466" s="4"/>
      <c r="G466" s="4"/>
      <c r="H466" s="4"/>
      <c r="I466" s="210"/>
      <c r="J466" s="210"/>
      <c r="K466" s="150"/>
      <c r="O466"/>
    </row>
    <row r="467" spans="2:15" x14ac:dyDescent="0.25">
      <c r="B467" s="4"/>
      <c r="C467" s="4"/>
      <c r="D467" s="4"/>
      <c r="E467" s="278"/>
      <c r="F467" s="4"/>
      <c r="G467" s="4"/>
      <c r="H467" s="4"/>
      <c r="I467" s="210"/>
      <c r="J467" s="210"/>
      <c r="K467" s="150"/>
      <c r="O467"/>
    </row>
    <row r="468" spans="2:15" x14ac:dyDescent="0.25">
      <c r="B468" s="4"/>
      <c r="C468" s="4"/>
      <c r="D468" s="4"/>
      <c r="E468" s="278"/>
      <c r="F468" s="4"/>
      <c r="G468" s="4"/>
      <c r="H468" s="4"/>
      <c r="I468" s="210"/>
      <c r="J468" s="210"/>
      <c r="K468" s="150"/>
      <c r="O468"/>
    </row>
    <row r="469" spans="2:15" x14ac:dyDescent="0.25">
      <c r="B469" s="4"/>
      <c r="C469" s="4"/>
      <c r="D469" s="4"/>
      <c r="E469" s="278"/>
      <c r="F469" s="4"/>
      <c r="G469" s="4"/>
      <c r="H469" s="4"/>
      <c r="I469" s="210"/>
      <c r="J469" s="210"/>
      <c r="K469" s="150"/>
      <c r="O469"/>
    </row>
    <row r="470" spans="2:15" x14ac:dyDescent="0.25">
      <c r="B470" s="4"/>
      <c r="C470" s="4"/>
      <c r="D470" s="4"/>
      <c r="E470" s="278"/>
      <c r="F470" s="4"/>
      <c r="G470" s="4"/>
      <c r="H470" s="4"/>
      <c r="I470" s="210"/>
      <c r="J470" s="210"/>
      <c r="K470" s="150"/>
      <c r="O470"/>
    </row>
    <row r="471" spans="2:15" x14ac:dyDescent="0.25">
      <c r="B471" s="4"/>
      <c r="C471" s="4"/>
      <c r="D471" s="4"/>
      <c r="E471" s="278"/>
      <c r="F471" s="4"/>
      <c r="G471" s="4"/>
      <c r="H471" s="4"/>
      <c r="I471" s="210"/>
      <c r="J471" s="210"/>
      <c r="K471" s="150"/>
      <c r="O471"/>
    </row>
    <row r="472" spans="2:15" x14ac:dyDescent="0.25">
      <c r="B472" s="4"/>
      <c r="C472" s="4"/>
      <c r="D472" s="4"/>
      <c r="E472" s="278"/>
      <c r="F472" s="4"/>
      <c r="G472" s="4"/>
      <c r="H472" s="4"/>
      <c r="I472" s="210"/>
      <c r="J472" s="210"/>
      <c r="K472" s="150"/>
      <c r="O472"/>
    </row>
    <row r="473" spans="2:15" x14ac:dyDescent="0.25">
      <c r="B473" s="4"/>
      <c r="C473" s="4"/>
      <c r="D473" s="4"/>
      <c r="E473" s="278"/>
      <c r="F473" s="4"/>
      <c r="G473" s="4"/>
      <c r="H473" s="4"/>
      <c r="I473" s="210"/>
      <c r="J473" s="210"/>
      <c r="K473" s="150"/>
      <c r="O473"/>
    </row>
    <row r="474" spans="2:15" x14ac:dyDescent="0.25">
      <c r="B474" s="4"/>
      <c r="C474" s="4"/>
      <c r="D474" s="4"/>
      <c r="E474" s="278"/>
      <c r="F474" s="4"/>
      <c r="G474" s="4"/>
      <c r="H474" s="4"/>
      <c r="I474" s="210"/>
      <c r="J474" s="210"/>
      <c r="K474" s="150"/>
      <c r="O474"/>
    </row>
    <row r="475" spans="2:15" x14ac:dyDescent="0.25">
      <c r="B475" s="4"/>
      <c r="C475" s="4"/>
      <c r="D475" s="4"/>
      <c r="E475" s="278"/>
      <c r="F475" s="4"/>
      <c r="G475" s="4"/>
      <c r="H475" s="4"/>
      <c r="I475" s="210"/>
      <c r="J475" s="210"/>
      <c r="K475" s="150"/>
      <c r="O475"/>
    </row>
    <row r="476" spans="2:15" x14ac:dyDescent="0.25">
      <c r="B476" s="4"/>
      <c r="C476" s="4"/>
      <c r="D476" s="4"/>
      <c r="E476" s="278"/>
      <c r="F476" s="4"/>
      <c r="G476" s="4"/>
      <c r="H476" s="4"/>
      <c r="I476" s="210"/>
      <c r="J476" s="210"/>
      <c r="K476" s="150"/>
      <c r="O476"/>
    </row>
    <row r="477" spans="2:15" x14ac:dyDescent="0.25">
      <c r="B477" s="4"/>
      <c r="C477" s="4"/>
      <c r="D477" s="4"/>
      <c r="E477" s="278"/>
      <c r="F477" s="4"/>
      <c r="G477" s="4"/>
      <c r="H477" s="4"/>
      <c r="I477" s="210"/>
      <c r="J477" s="210"/>
      <c r="K477" s="150"/>
      <c r="O477"/>
    </row>
    <row r="478" spans="2:15" x14ac:dyDescent="0.25">
      <c r="B478" s="4"/>
      <c r="C478" s="4"/>
      <c r="D478" s="4"/>
      <c r="E478" s="278"/>
      <c r="F478" s="4"/>
      <c r="G478" s="4"/>
      <c r="H478" s="4"/>
      <c r="I478" s="210"/>
      <c r="J478" s="210"/>
      <c r="K478" s="150"/>
      <c r="O478"/>
    </row>
    <row r="479" spans="2:15" x14ac:dyDescent="0.25">
      <c r="B479" s="4"/>
      <c r="C479" s="4"/>
      <c r="D479" s="4"/>
      <c r="E479" s="278"/>
      <c r="F479" s="4"/>
      <c r="G479" s="4"/>
      <c r="H479" s="4"/>
      <c r="I479" s="210"/>
      <c r="J479" s="210"/>
      <c r="K479" s="150"/>
      <c r="O479"/>
    </row>
    <row r="480" spans="2:15" x14ac:dyDescent="0.25">
      <c r="B480" s="4"/>
      <c r="C480" s="4"/>
      <c r="D480" s="4"/>
      <c r="E480" s="278"/>
      <c r="F480" s="4"/>
      <c r="G480" s="4"/>
      <c r="H480" s="4"/>
      <c r="I480" s="210"/>
      <c r="J480" s="210"/>
      <c r="K480" s="150"/>
      <c r="O480"/>
    </row>
    <row r="481" spans="2:15" x14ac:dyDescent="0.25">
      <c r="B481" s="4"/>
      <c r="C481" s="4"/>
      <c r="D481" s="4"/>
      <c r="E481" s="278"/>
      <c r="F481" s="4"/>
      <c r="G481" s="4"/>
      <c r="H481" s="4"/>
      <c r="I481" s="210"/>
      <c r="J481" s="210"/>
      <c r="K481" s="150"/>
      <c r="O481"/>
    </row>
    <row r="482" spans="2:15" x14ac:dyDescent="0.25">
      <c r="B482" s="4"/>
      <c r="C482" s="4"/>
      <c r="D482" s="4"/>
      <c r="E482" s="278"/>
      <c r="F482" s="4"/>
      <c r="G482" s="4"/>
      <c r="H482" s="4"/>
      <c r="I482" s="210"/>
      <c r="J482" s="210"/>
      <c r="K482" s="150"/>
      <c r="O482"/>
    </row>
    <row r="483" spans="2:15" x14ac:dyDescent="0.25">
      <c r="B483" s="4"/>
      <c r="C483" s="4"/>
      <c r="D483" s="4"/>
      <c r="E483" s="278"/>
      <c r="F483" s="4"/>
      <c r="G483" s="4"/>
      <c r="H483" s="4"/>
      <c r="I483" s="210"/>
      <c r="J483" s="210"/>
      <c r="K483" s="150"/>
      <c r="O483"/>
    </row>
    <row r="484" spans="2:15" x14ac:dyDescent="0.25">
      <c r="B484" s="4"/>
      <c r="C484" s="4"/>
      <c r="D484" s="4"/>
      <c r="E484" s="278"/>
      <c r="F484" s="4"/>
      <c r="G484" s="4"/>
      <c r="H484" s="4"/>
      <c r="I484" s="210"/>
      <c r="J484" s="210"/>
      <c r="K484" s="150"/>
      <c r="O484"/>
    </row>
    <row r="485" spans="2:15" x14ac:dyDescent="0.25">
      <c r="B485" s="4"/>
      <c r="C485" s="4"/>
      <c r="D485" s="4"/>
      <c r="E485" s="278"/>
      <c r="F485" s="4"/>
      <c r="G485" s="4"/>
      <c r="H485" s="4"/>
      <c r="I485" s="210"/>
      <c r="J485" s="210"/>
      <c r="K485" s="150"/>
      <c r="O485"/>
    </row>
    <row r="486" spans="2:15" x14ac:dyDescent="0.25">
      <c r="B486" s="4"/>
      <c r="C486" s="4"/>
      <c r="D486" s="4"/>
      <c r="E486" s="278"/>
      <c r="F486" s="4"/>
      <c r="G486" s="4"/>
      <c r="H486" s="4"/>
      <c r="I486" s="210"/>
      <c r="J486" s="210"/>
      <c r="K486" s="150"/>
      <c r="O486"/>
    </row>
    <row r="487" spans="2:15" x14ac:dyDescent="0.25">
      <c r="B487" s="4"/>
      <c r="C487" s="4"/>
      <c r="D487" s="4"/>
      <c r="E487" s="278"/>
      <c r="F487" s="4"/>
      <c r="G487" s="4"/>
      <c r="H487" s="4"/>
      <c r="I487" s="210"/>
      <c r="J487" s="210"/>
      <c r="K487" s="150"/>
      <c r="O487"/>
    </row>
    <row r="488" spans="2:15" x14ac:dyDescent="0.25">
      <c r="B488" s="4"/>
      <c r="C488" s="4"/>
      <c r="D488" s="4"/>
      <c r="E488" s="278"/>
      <c r="F488" s="4"/>
      <c r="G488" s="4"/>
      <c r="H488" s="4"/>
      <c r="I488" s="210"/>
      <c r="J488" s="210"/>
      <c r="K488" s="150"/>
      <c r="O488"/>
    </row>
    <row r="489" spans="2:15" x14ac:dyDescent="0.25">
      <c r="B489" s="4"/>
      <c r="C489" s="4"/>
      <c r="D489" s="4"/>
      <c r="E489" s="278"/>
      <c r="F489" s="4"/>
      <c r="G489" s="4"/>
      <c r="H489" s="4"/>
      <c r="I489" s="210"/>
      <c r="J489" s="210"/>
      <c r="K489" s="150"/>
      <c r="O489"/>
    </row>
    <row r="490" spans="2:15" x14ac:dyDescent="0.25">
      <c r="B490" s="4"/>
      <c r="C490" s="4"/>
      <c r="D490" s="4"/>
      <c r="E490" s="278"/>
      <c r="F490" s="4"/>
      <c r="G490" s="4"/>
      <c r="H490" s="4"/>
      <c r="I490" s="210"/>
      <c r="J490" s="210"/>
      <c r="K490" s="150"/>
      <c r="O490"/>
    </row>
    <row r="491" spans="2:15" x14ac:dyDescent="0.25">
      <c r="B491" s="4"/>
      <c r="C491" s="4"/>
      <c r="D491" s="4"/>
      <c r="E491" s="278"/>
      <c r="F491" s="4"/>
      <c r="G491" s="4"/>
      <c r="H491" s="4"/>
      <c r="I491" s="210"/>
      <c r="J491" s="210"/>
      <c r="K491" s="150"/>
      <c r="O491"/>
    </row>
    <row r="492" spans="2:15" x14ac:dyDescent="0.25">
      <c r="B492" s="4"/>
      <c r="C492" s="4"/>
      <c r="D492" s="4"/>
      <c r="E492" s="278"/>
      <c r="F492" s="4"/>
      <c r="G492" s="4"/>
      <c r="H492" s="4"/>
      <c r="I492" s="210"/>
      <c r="J492" s="210"/>
      <c r="K492" s="150"/>
      <c r="O492"/>
    </row>
    <row r="493" spans="2:15" x14ac:dyDescent="0.25">
      <c r="B493" s="4"/>
      <c r="C493" s="4"/>
      <c r="D493" s="4"/>
      <c r="E493" s="278"/>
      <c r="F493" s="4"/>
      <c r="G493" s="4"/>
      <c r="H493" s="4"/>
      <c r="I493" s="210"/>
      <c r="J493" s="210"/>
      <c r="K493" s="150"/>
      <c r="O493"/>
    </row>
    <row r="494" spans="2:15" x14ac:dyDescent="0.25">
      <c r="B494" s="4"/>
      <c r="C494" s="4"/>
      <c r="D494" s="4"/>
      <c r="E494" s="278"/>
      <c r="F494" s="4"/>
      <c r="G494" s="4"/>
      <c r="H494" s="4"/>
      <c r="I494" s="210"/>
      <c r="J494" s="210"/>
      <c r="K494" s="150"/>
      <c r="O494"/>
    </row>
    <row r="495" spans="2:15" x14ac:dyDescent="0.25">
      <c r="B495" s="4"/>
      <c r="C495" s="4"/>
      <c r="D495" s="4"/>
      <c r="E495" s="278"/>
      <c r="F495" s="4"/>
      <c r="G495" s="4"/>
      <c r="H495" s="4"/>
      <c r="I495" s="210"/>
      <c r="J495" s="210"/>
      <c r="K495" s="150"/>
      <c r="O495"/>
    </row>
    <row r="496" spans="2:15" x14ac:dyDescent="0.25">
      <c r="B496" s="4"/>
      <c r="C496" s="4"/>
      <c r="D496" s="4"/>
      <c r="E496" s="278"/>
      <c r="F496" s="4"/>
      <c r="G496" s="4"/>
      <c r="H496" s="4"/>
      <c r="I496" s="210"/>
      <c r="J496" s="210"/>
      <c r="K496" s="150"/>
      <c r="O496"/>
    </row>
    <row r="497" spans="2:15" x14ac:dyDescent="0.25">
      <c r="B497" s="4"/>
      <c r="C497" s="4"/>
      <c r="D497" s="4"/>
      <c r="E497" s="278"/>
      <c r="F497" s="4"/>
      <c r="G497" s="4"/>
      <c r="H497" s="4"/>
      <c r="I497" s="210"/>
      <c r="J497" s="210"/>
      <c r="K497" s="150"/>
      <c r="O497"/>
    </row>
    <row r="498" spans="2:15" x14ac:dyDescent="0.25">
      <c r="B498" s="4"/>
      <c r="C498" s="4"/>
      <c r="D498" s="4"/>
      <c r="E498" s="278"/>
      <c r="F498" s="4"/>
      <c r="G498" s="4"/>
      <c r="H498" s="4"/>
      <c r="I498" s="210"/>
      <c r="J498" s="210"/>
      <c r="K498" s="150"/>
      <c r="O498"/>
    </row>
    <row r="499" spans="2:15" x14ac:dyDescent="0.25">
      <c r="B499" s="4"/>
      <c r="C499" s="4"/>
      <c r="D499" s="4"/>
      <c r="E499" s="278"/>
      <c r="F499" s="4"/>
      <c r="G499" s="4"/>
      <c r="H499" s="4"/>
      <c r="I499" s="210"/>
      <c r="J499" s="210"/>
      <c r="K499" s="150"/>
      <c r="O499"/>
    </row>
    <row r="500" spans="2:15" x14ac:dyDescent="0.25">
      <c r="B500" s="4"/>
      <c r="C500" s="4"/>
      <c r="D500" s="4"/>
      <c r="E500" s="278"/>
      <c r="F500" s="4"/>
      <c r="G500" s="4"/>
      <c r="H500" s="4"/>
      <c r="I500" s="210"/>
      <c r="J500" s="210"/>
      <c r="K500" s="150"/>
      <c r="O500"/>
    </row>
    <row r="501" spans="2:15" x14ac:dyDescent="0.25">
      <c r="B501" s="4"/>
      <c r="C501" s="4"/>
      <c r="D501" s="4"/>
      <c r="E501" s="278"/>
      <c r="F501" s="4"/>
      <c r="G501" s="4"/>
      <c r="H501" s="4"/>
      <c r="I501" s="210"/>
      <c r="J501" s="210"/>
      <c r="K501" s="150"/>
      <c r="O501"/>
    </row>
    <row r="502" spans="2:15" x14ac:dyDescent="0.25">
      <c r="B502" s="4"/>
      <c r="C502" s="4"/>
      <c r="D502" s="4"/>
      <c r="E502" s="278"/>
      <c r="F502" s="4"/>
      <c r="G502" s="4"/>
      <c r="H502" s="4"/>
      <c r="I502" s="210"/>
      <c r="J502" s="210"/>
      <c r="K502" s="150"/>
      <c r="O502"/>
    </row>
    <row r="503" spans="2:15" x14ac:dyDescent="0.25">
      <c r="B503" s="4"/>
      <c r="C503" s="4"/>
      <c r="D503" s="4"/>
      <c r="E503" s="278"/>
      <c r="F503" s="4"/>
      <c r="G503" s="4"/>
      <c r="H503" s="4"/>
      <c r="I503" s="210"/>
      <c r="J503" s="210"/>
      <c r="K503" s="150"/>
      <c r="O503"/>
    </row>
    <row r="504" spans="2:15" x14ac:dyDescent="0.25">
      <c r="B504" s="4"/>
      <c r="C504" s="4"/>
      <c r="D504" s="4"/>
      <c r="E504" s="278"/>
      <c r="F504" s="4"/>
      <c r="G504" s="4"/>
      <c r="H504" s="4"/>
      <c r="I504" s="210"/>
      <c r="J504" s="210"/>
      <c r="K504" s="150"/>
      <c r="O504"/>
    </row>
    <row r="505" spans="2:15" x14ac:dyDescent="0.25">
      <c r="B505" s="4"/>
      <c r="C505" s="4"/>
      <c r="D505" s="4"/>
      <c r="E505" s="278"/>
      <c r="F505" s="4"/>
      <c r="G505" s="4"/>
      <c r="H505" s="4"/>
      <c r="I505" s="210"/>
      <c r="J505" s="210"/>
      <c r="K505" s="150"/>
      <c r="O505"/>
    </row>
    <row r="506" spans="2:15" x14ac:dyDescent="0.25">
      <c r="B506" s="4"/>
      <c r="C506" s="4"/>
      <c r="D506" s="4"/>
      <c r="E506" s="278"/>
      <c r="F506" s="4"/>
      <c r="G506" s="4"/>
      <c r="H506" s="4"/>
      <c r="I506" s="210"/>
      <c r="J506" s="210"/>
      <c r="K506" s="150"/>
      <c r="O506"/>
    </row>
    <row r="507" spans="2:15" x14ac:dyDescent="0.25">
      <c r="B507" s="4"/>
      <c r="C507" s="4"/>
      <c r="D507" s="4"/>
      <c r="E507" s="278"/>
      <c r="F507" s="4"/>
      <c r="G507" s="4"/>
      <c r="H507" s="4"/>
      <c r="I507" s="210"/>
      <c r="J507" s="210"/>
      <c r="K507" s="150"/>
      <c r="O507"/>
    </row>
    <row r="508" spans="2:15" x14ac:dyDescent="0.25">
      <c r="B508" s="4"/>
      <c r="C508" s="4"/>
      <c r="D508" s="4"/>
      <c r="E508" s="278"/>
      <c r="F508" s="4"/>
      <c r="G508" s="4"/>
      <c r="H508" s="4"/>
      <c r="I508" s="210"/>
      <c r="J508" s="210"/>
      <c r="K508" s="150"/>
      <c r="O508"/>
    </row>
    <row r="509" spans="2:15" x14ac:dyDescent="0.25">
      <c r="B509" s="4"/>
      <c r="C509" s="4"/>
      <c r="D509" s="4"/>
      <c r="E509" s="278"/>
      <c r="F509" s="4"/>
      <c r="G509" s="4"/>
      <c r="H509" s="4"/>
      <c r="I509" s="210"/>
      <c r="J509" s="210"/>
      <c r="K509" s="150"/>
      <c r="O509"/>
    </row>
    <row r="510" spans="2:15" x14ac:dyDescent="0.25">
      <c r="B510" s="4"/>
      <c r="C510" s="4"/>
      <c r="D510" s="4"/>
      <c r="E510" s="278"/>
      <c r="F510" s="4"/>
      <c r="G510" s="4"/>
      <c r="H510" s="4"/>
      <c r="I510" s="210"/>
      <c r="J510" s="210"/>
      <c r="K510" s="150"/>
      <c r="O510"/>
    </row>
    <row r="511" spans="2:15" x14ac:dyDescent="0.25">
      <c r="B511" s="4"/>
      <c r="C511" s="4"/>
      <c r="D511" s="4"/>
      <c r="E511" s="278"/>
      <c r="F511" s="4"/>
      <c r="G511" s="4"/>
      <c r="H511" s="4"/>
      <c r="I511" s="210"/>
      <c r="J511" s="210"/>
      <c r="K511" s="150"/>
      <c r="O511"/>
    </row>
    <row r="512" spans="2:15" x14ac:dyDescent="0.25">
      <c r="B512" s="4"/>
      <c r="C512" s="4"/>
      <c r="D512" s="4"/>
      <c r="E512" s="278"/>
      <c r="F512" s="4"/>
      <c r="G512" s="4"/>
      <c r="H512" s="4"/>
      <c r="I512" s="210"/>
      <c r="J512" s="210"/>
      <c r="K512" s="150"/>
      <c r="O512"/>
    </row>
    <row r="513" spans="2:15" x14ac:dyDescent="0.25">
      <c r="B513" s="4"/>
      <c r="C513" s="4"/>
      <c r="D513" s="4"/>
      <c r="E513" s="278"/>
      <c r="F513" s="4"/>
      <c r="G513" s="4"/>
      <c r="H513" s="4"/>
      <c r="I513" s="210"/>
      <c r="J513" s="210"/>
      <c r="K513" s="150"/>
      <c r="O513"/>
    </row>
    <row r="514" spans="2:15" x14ac:dyDescent="0.25">
      <c r="B514" s="4"/>
      <c r="C514" s="4"/>
      <c r="D514" s="4"/>
      <c r="E514" s="278"/>
      <c r="F514" s="4"/>
      <c r="G514" s="4"/>
      <c r="H514" s="4"/>
      <c r="I514" s="210"/>
      <c r="J514" s="210"/>
      <c r="K514" s="150"/>
      <c r="O514"/>
    </row>
    <row r="515" spans="2:15" x14ac:dyDescent="0.25">
      <c r="B515" s="4"/>
      <c r="C515" s="4"/>
      <c r="D515" s="4"/>
      <c r="E515" s="278"/>
      <c r="F515" s="4"/>
      <c r="G515" s="4"/>
      <c r="H515" s="4"/>
      <c r="I515" s="210"/>
      <c r="J515" s="210"/>
      <c r="K515" s="150"/>
      <c r="O515"/>
    </row>
    <row r="516" spans="2:15" x14ac:dyDescent="0.25">
      <c r="B516" s="4"/>
      <c r="C516" s="4"/>
      <c r="D516" s="4"/>
      <c r="E516" s="278"/>
      <c r="F516" s="4"/>
      <c r="G516" s="4"/>
      <c r="H516" s="4"/>
      <c r="I516" s="210"/>
      <c r="J516" s="210"/>
      <c r="K516" s="150"/>
      <c r="O516"/>
    </row>
    <row r="517" spans="2:15" x14ac:dyDescent="0.25">
      <c r="B517" s="4"/>
      <c r="C517" s="4"/>
      <c r="D517" s="4"/>
      <c r="E517" s="278"/>
      <c r="F517" s="4"/>
      <c r="G517" s="4"/>
      <c r="H517" s="4"/>
      <c r="I517" s="210"/>
      <c r="J517" s="210"/>
      <c r="K517" s="150"/>
      <c r="O517"/>
    </row>
    <row r="518" spans="2:15" x14ac:dyDescent="0.25">
      <c r="B518" s="4"/>
      <c r="C518" s="4"/>
      <c r="D518" s="4"/>
      <c r="E518" s="278"/>
      <c r="F518" s="4"/>
      <c r="G518" s="4"/>
      <c r="H518" s="4"/>
      <c r="I518" s="210"/>
      <c r="J518" s="210"/>
      <c r="K518" s="150"/>
      <c r="O518"/>
    </row>
    <row r="519" spans="2:15" x14ac:dyDescent="0.25">
      <c r="B519" s="4"/>
      <c r="C519" s="4"/>
      <c r="D519" s="4"/>
      <c r="E519" s="278"/>
      <c r="F519" s="4"/>
      <c r="G519" s="4"/>
      <c r="H519" s="4"/>
      <c r="I519" s="210"/>
      <c r="J519" s="210"/>
      <c r="K519" s="150"/>
      <c r="O519"/>
    </row>
    <row r="520" spans="2:15" x14ac:dyDescent="0.25">
      <c r="B520" s="4"/>
      <c r="C520" s="4"/>
      <c r="D520" s="4"/>
      <c r="E520" s="278"/>
      <c r="F520" s="4"/>
      <c r="G520" s="4"/>
      <c r="H520" s="4"/>
      <c r="I520" s="210"/>
      <c r="J520" s="210"/>
      <c r="K520" s="150"/>
      <c r="O520"/>
    </row>
    <row r="521" spans="2:15" x14ac:dyDescent="0.25">
      <c r="B521" s="4"/>
      <c r="C521" s="4"/>
      <c r="D521" s="4"/>
      <c r="E521" s="278"/>
      <c r="F521" s="4"/>
      <c r="G521" s="4"/>
      <c r="H521" s="4"/>
      <c r="I521" s="210"/>
      <c r="J521" s="210"/>
      <c r="K521" s="150"/>
      <c r="O521"/>
    </row>
    <row r="522" spans="2:15" x14ac:dyDescent="0.25">
      <c r="B522" s="4"/>
      <c r="C522" s="4"/>
      <c r="D522" s="4"/>
      <c r="E522" s="278"/>
      <c r="F522" s="4"/>
      <c r="G522" s="4"/>
      <c r="H522" s="4"/>
      <c r="I522" s="210"/>
      <c r="J522" s="210"/>
      <c r="K522" s="150"/>
      <c r="O522"/>
    </row>
    <row r="523" spans="2:15" x14ac:dyDescent="0.25">
      <c r="B523" s="4"/>
      <c r="C523" s="4"/>
      <c r="D523" s="4"/>
      <c r="E523" s="278"/>
      <c r="F523" s="4"/>
      <c r="G523" s="4"/>
      <c r="H523" s="4"/>
      <c r="I523" s="210"/>
      <c r="J523" s="210"/>
      <c r="K523" s="150"/>
      <c r="O523"/>
    </row>
    <row r="524" spans="2:15" x14ac:dyDescent="0.25">
      <c r="B524" s="4"/>
      <c r="C524" s="4"/>
      <c r="D524" s="4"/>
      <c r="E524" s="278"/>
      <c r="F524" s="4"/>
      <c r="G524" s="4"/>
      <c r="H524" s="4"/>
      <c r="I524" s="210"/>
      <c r="J524" s="210"/>
      <c r="K524" s="150"/>
      <c r="O524"/>
    </row>
    <row r="525" spans="2:15" x14ac:dyDescent="0.25">
      <c r="B525" s="4"/>
      <c r="C525" s="4"/>
      <c r="D525" s="4"/>
      <c r="E525" s="278"/>
      <c r="F525" s="4"/>
      <c r="G525" s="4"/>
      <c r="H525" s="4"/>
      <c r="I525" s="210"/>
      <c r="J525" s="210"/>
      <c r="K525" s="150"/>
      <c r="O525"/>
    </row>
    <row r="526" spans="2:15" x14ac:dyDescent="0.25">
      <c r="B526" s="4"/>
      <c r="C526" s="4"/>
      <c r="D526" s="4"/>
      <c r="E526" s="278"/>
      <c r="F526" s="4"/>
      <c r="G526" s="4"/>
      <c r="H526" s="4"/>
      <c r="I526" s="210"/>
      <c r="J526" s="210"/>
      <c r="K526" s="150"/>
      <c r="O526"/>
    </row>
    <row r="527" spans="2:15" x14ac:dyDescent="0.25">
      <c r="B527" s="4"/>
      <c r="C527" s="4"/>
      <c r="D527" s="4"/>
      <c r="E527" s="278"/>
      <c r="F527" s="4"/>
      <c r="G527" s="4"/>
      <c r="H527" s="4"/>
      <c r="I527" s="210"/>
      <c r="J527" s="210"/>
      <c r="K527" s="150"/>
      <c r="O527"/>
    </row>
    <row r="528" spans="2:15" x14ac:dyDescent="0.25">
      <c r="B528" s="4"/>
      <c r="C528" s="4"/>
      <c r="D528" s="4"/>
      <c r="E528" s="278"/>
      <c r="F528" s="4"/>
      <c r="G528" s="4"/>
      <c r="H528" s="4"/>
      <c r="I528" s="210"/>
      <c r="J528" s="210"/>
      <c r="K528" s="150"/>
      <c r="O528"/>
    </row>
    <row r="529" spans="2:15" x14ac:dyDescent="0.25">
      <c r="B529" s="4"/>
      <c r="C529" s="4"/>
      <c r="D529" s="4"/>
      <c r="E529" s="278"/>
      <c r="F529" s="4"/>
      <c r="G529" s="4"/>
      <c r="H529" s="4"/>
      <c r="I529" s="210"/>
      <c r="J529" s="210"/>
      <c r="K529" s="150"/>
      <c r="O529"/>
    </row>
    <row r="530" spans="2:15" x14ac:dyDescent="0.25">
      <c r="B530" s="4"/>
      <c r="C530" s="4"/>
      <c r="D530" s="4"/>
      <c r="E530" s="278"/>
      <c r="F530" s="4"/>
      <c r="G530" s="4"/>
      <c r="H530" s="4"/>
      <c r="I530" s="210"/>
      <c r="J530" s="210"/>
      <c r="K530" s="150"/>
      <c r="O530"/>
    </row>
    <row r="531" spans="2:15" x14ac:dyDescent="0.25">
      <c r="B531" s="4"/>
      <c r="C531" s="4"/>
      <c r="D531" s="4"/>
      <c r="E531" s="278"/>
      <c r="F531" s="4"/>
      <c r="G531" s="4"/>
      <c r="H531" s="4"/>
      <c r="I531" s="210"/>
      <c r="J531" s="210"/>
      <c r="K531" s="150"/>
      <c r="O531"/>
    </row>
    <row r="532" spans="2:15" x14ac:dyDescent="0.25">
      <c r="B532" s="4"/>
      <c r="C532" s="4"/>
      <c r="D532" s="4"/>
      <c r="E532" s="278"/>
      <c r="F532" s="4"/>
      <c r="G532" s="4"/>
      <c r="H532" s="4"/>
      <c r="I532" s="210"/>
      <c r="J532" s="210"/>
      <c r="K532" s="150"/>
      <c r="O532"/>
    </row>
    <row r="533" spans="2:15" x14ac:dyDescent="0.25">
      <c r="B533" s="4"/>
      <c r="C533" s="4"/>
      <c r="D533" s="4"/>
      <c r="E533" s="278"/>
      <c r="F533" s="4"/>
      <c r="G533" s="4"/>
      <c r="H533" s="4"/>
      <c r="I533" s="210"/>
      <c r="J533" s="210"/>
      <c r="K533" s="150"/>
      <c r="O533"/>
    </row>
    <row r="534" spans="2:15" x14ac:dyDescent="0.25">
      <c r="B534" s="4"/>
      <c r="C534" s="4"/>
      <c r="D534" s="4"/>
      <c r="E534" s="278"/>
      <c r="F534" s="4"/>
      <c r="G534" s="4"/>
      <c r="H534" s="4"/>
      <c r="I534" s="210"/>
      <c r="J534" s="210"/>
      <c r="K534" s="150"/>
      <c r="O534"/>
    </row>
    <row r="535" spans="2:15" x14ac:dyDescent="0.25">
      <c r="B535" s="4"/>
      <c r="C535" s="4"/>
      <c r="D535" s="4"/>
      <c r="E535" s="278"/>
      <c r="F535" s="4"/>
      <c r="G535" s="4"/>
      <c r="H535" s="4"/>
      <c r="I535" s="210"/>
      <c r="J535" s="210"/>
      <c r="K535" s="150"/>
      <c r="O535"/>
    </row>
    <row r="536" spans="2:15" x14ac:dyDescent="0.25">
      <c r="B536" s="4"/>
      <c r="C536" s="4"/>
      <c r="D536" s="4"/>
      <c r="E536" s="278"/>
      <c r="F536" s="4"/>
      <c r="G536" s="4"/>
      <c r="H536" s="4"/>
      <c r="I536" s="210"/>
      <c r="J536" s="210"/>
      <c r="K536" s="150"/>
      <c r="O536"/>
    </row>
    <row r="537" spans="2:15" x14ac:dyDescent="0.25">
      <c r="B537" s="4"/>
      <c r="C537" s="4"/>
      <c r="D537" s="4"/>
      <c r="E537" s="278"/>
      <c r="F537" s="4"/>
      <c r="G537" s="4"/>
      <c r="H537" s="4"/>
      <c r="I537" s="210"/>
      <c r="J537" s="210"/>
      <c r="K537" s="150"/>
      <c r="O537"/>
    </row>
    <row r="538" spans="2:15" x14ac:dyDescent="0.25">
      <c r="B538" s="4"/>
      <c r="C538" s="4"/>
      <c r="D538" s="4"/>
      <c r="E538" s="278"/>
      <c r="F538" s="4"/>
      <c r="G538" s="4"/>
      <c r="H538" s="4"/>
      <c r="I538" s="210"/>
      <c r="J538" s="210"/>
      <c r="K538" s="150"/>
      <c r="O538"/>
    </row>
    <row r="539" spans="2:15" x14ac:dyDescent="0.25">
      <c r="B539" s="4"/>
      <c r="C539" s="4"/>
      <c r="D539" s="4"/>
      <c r="E539" s="278"/>
      <c r="F539" s="4"/>
      <c r="G539" s="4"/>
      <c r="H539" s="4"/>
      <c r="I539" s="210"/>
      <c r="J539" s="210"/>
      <c r="K539" s="150"/>
      <c r="O539"/>
    </row>
    <row r="540" spans="2:15" x14ac:dyDescent="0.25">
      <c r="B540" s="4"/>
      <c r="C540" s="4"/>
      <c r="D540" s="4"/>
      <c r="E540" s="278"/>
      <c r="F540" s="4"/>
      <c r="G540" s="4"/>
      <c r="H540" s="4"/>
      <c r="I540" s="210"/>
      <c r="J540" s="210"/>
      <c r="K540" s="150"/>
      <c r="O540"/>
    </row>
    <row r="541" spans="2:15" x14ac:dyDescent="0.25">
      <c r="B541" s="4"/>
      <c r="C541" s="4"/>
      <c r="D541" s="4"/>
      <c r="E541" s="278"/>
      <c r="F541" s="4"/>
      <c r="G541" s="4"/>
      <c r="H541" s="4"/>
      <c r="I541" s="210"/>
      <c r="J541" s="210"/>
      <c r="K541" s="150"/>
      <c r="O541"/>
    </row>
    <row r="542" spans="2:15" x14ac:dyDescent="0.25">
      <c r="B542" s="4"/>
      <c r="C542" s="4"/>
      <c r="D542" s="4"/>
      <c r="E542" s="278"/>
      <c r="F542" s="4"/>
      <c r="G542" s="4"/>
      <c r="H542" s="4"/>
      <c r="I542" s="210"/>
      <c r="J542" s="210"/>
      <c r="K542" s="150"/>
      <c r="O542"/>
    </row>
    <row r="543" spans="2:15" x14ac:dyDescent="0.25">
      <c r="B543" s="4"/>
      <c r="C543" s="4"/>
      <c r="D543" s="4"/>
      <c r="E543" s="278"/>
      <c r="F543" s="4"/>
      <c r="G543" s="4"/>
      <c r="H543" s="4"/>
      <c r="I543" s="210"/>
      <c r="J543" s="210"/>
      <c r="K543" s="150"/>
      <c r="O543"/>
    </row>
    <row r="544" spans="2:15" x14ac:dyDescent="0.25">
      <c r="B544" s="4"/>
      <c r="C544" s="4"/>
      <c r="D544" s="4"/>
      <c r="E544" s="278"/>
      <c r="F544" s="4"/>
      <c r="G544" s="4"/>
      <c r="H544" s="4"/>
      <c r="I544" s="210"/>
      <c r="J544" s="210"/>
      <c r="K544" s="150"/>
      <c r="O544"/>
    </row>
    <row r="545" spans="2:15" x14ac:dyDescent="0.25">
      <c r="B545" s="4"/>
      <c r="C545" s="4"/>
      <c r="D545" s="4"/>
      <c r="E545" s="278"/>
      <c r="F545" s="4"/>
      <c r="G545" s="4"/>
      <c r="H545" s="4"/>
      <c r="I545" s="210"/>
      <c r="J545" s="210"/>
      <c r="K545" s="150"/>
      <c r="O545"/>
    </row>
    <row r="546" spans="2:15" x14ac:dyDescent="0.25">
      <c r="B546" s="4"/>
      <c r="C546" s="4"/>
      <c r="D546" s="4"/>
      <c r="E546" s="278"/>
      <c r="F546" s="4"/>
      <c r="G546" s="4"/>
      <c r="H546" s="4"/>
      <c r="I546" s="210"/>
      <c r="J546" s="210"/>
      <c r="K546" s="150"/>
      <c r="O546"/>
    </row>
    <row r="547" spans="2:15" x14ac:dyDescent="0.25">
      <c r="B547" s="4"/>
      <c r="C547" s="4"/>
      <c r="D547" s="4"/>
      <c r="E547" s="278"/>
      <c r="F547" s="4"/>
      <c r="G547" s="4"/>
      <c r="H547" s="4"/>
      <c r="I547" s="210"/>
      <c r="J547" s="210"/>
      <c r="K547" s="150"/>
      <c r="O547"/>
    </row>
    <row r="548" spans="2:15" x14ac:dyDescent="0.25">
      <c r="B548" s="4"/>
      <c r="C548" s="4"/>
      <c r="D548" s="4"/>
      <c r="E548" s="278"/>
      <c r="F548" s="4"/>
      <c r="G548" s="4"/>
      <c r="H548" s="4"/>
      <c r="I548" s="210"/>
      <c r="J548" s="210"/>
      <c r="K548" s="150"/>
      <c r="O548"/>
    </row>
    <row r="549" spans="2:15" x14ac:dyDescent="0.25">
      <c r="B549" s="4"/>
      <c r="C549" s="4"/>
      <c r="D549" s="4"/>
      <c r="E549" s="278"/>
      <c r="F549" s="4"/>
      <c r="G549" s="4"/>
      <c r="H549" s="4"/>
      <c r="I549" s="210"/>
      <c r="J549" s="210"/>
      <c r="K549" s="150"/>
      <c r="O549"/>
    </row>
    <row r="550" spans="2:15" x14ac:dyDescent="0.25">
      <c r="B550" s="4"/>
      <c r="C550" s="4"/>
      <c r="D550" s="4"/>
      <c r="E550" s="278"/>
      <c r="F550" s="4"/>
      <c r="G550" s="4"/>
      <c r="H550" s="4"/>
      <c r="I550" s="210"/>
      <c r="J550" s="210"/>
      <c r="K550" s="150"/>
      <c r="O550"/>
    </row>
    <row r="551" spans="2:15" x14ac:dyDescent="0.25">
      <c r="B551" s="4"/>
      <c r="C551" s="4"/>
      <c r="D551" s="4"/>
      <c r="E551" s="278"/>
      <c r="F551" s="4"/>
      <c r="G551" s="4"/>
      <c r="H551" s="4"/>
      <c r="I551" s="210"/>
      <c r="J551" s="210"/>
      <c r="K551" s="150"/>
      <c r="O551"/>
    </row>
    <row r="552" spans="2:15" x14ac:dyDescent="0.25">
      <c r="B552" s="4"/>
      <c r="C552" s="4"/>
      <c r="D552" s="4"/>
      <c r="E552" s="278"/>
      <c r="F552" s="4"/>
      <c r="G552" s="4"/>
      <c r="H552" s="4"/>
      <c r="I552" s="210"/>
      <c r="J552" s="210"/>
      <c r="K552" s="150"/>
      <c r="O552"/>
    </row>
    <row r="553" spans="2:15" x14ac:dyDescent="0.25">
      <c r="B553" s="4"/>
      <c r="C553" s="4"/>
      <c r="D553" s="4"/>
      <c r="E553" s="278"/>
      <c r="F553" s="4"/>
      <c r="G553" s="4"/>
      <c r="H553" s="4"/>
      <c r="I553" s="210"/>
      <c r="J553" s="210"/>
      <c r="K553" s="150"/>
      <c r="O553"/>
    </row>
    <row r="554" spans="2:15" x14ac:dyDescent="0.25">
      <c r="B554" s="4"/>
      <c r="C554" s="4"/>
      <c r="D554" s="4"/>
      <c r="E554" s="278"/>
      <c r="F554" s="4"/>
      <c r="G554" s="4"/>
      <c r="H554" s="4"/>
      <c r="I554" s="210"/>
      <c r="J554" s="210"/>
      <c r="K554" s="150"/>
      <c r="O554"/>
    </row>
    <row r="555" spans="2:15" x14ac:dyDescent="0.25">
      <c r="B555" s="4"/>
      <c r="C555" s="4"/>
      <c r="D555" s="4"/>
      <c r="E555" s="278"/>
      <c r="F555" s="4"/>
      <c r="G555" s="4"/>
      <c r="H555" s="4"/>
      <c r="I555" s="210"/>
      <c r="J555" s="210"/>
      <c r="K555" s="150"/>
      <c r="O555"/>
    </row>
    <row r="556" spans="2:15" x14ac:dyDescent="0.25">
      <c r="B556" s="4"/>
      <c r="C556" s="4"/>
      <c r="D556" s="4"/>
      <c r="E556" s="278"/>
      <c r="F556" s="4"/>
      <c r="G556" s="4"/>
      <c r="H556" s="4"/>
      <c r="I556" s="210"/>
      <c r="J556" s="210"/>
      <c r="K556" s="150"/>
      <c r="O556"/>
    </row>
    <row r="557" spans="2:15" x14ac:dyDescent="0.25">
      <c r="B557" s="4"/>
      <c r="C557" s="4"/>
      <c r="D557" s="4"/>
      <c r="E557" s="278"/>
      <c r="F557" s="4"/>
      <c r="G557" s="4"/>
      <c r="H557" s="4"/>
      <c r="I557" s="210"/>
      <c r="J557" s="210"/>
      <c r="K557" s="150"/>
      <c r="O557"/>
    </row>
    <row r="558" spans="2:15" x14ac:dyDescent="0.25">
      <c r="B558" s="4"/>
      <c r="C558" s="4"/>
      <c r="D558" s="4"/>
      <c r="E558" s="278"/>
      <c r="F558" s="4"/>
      <c r="G558" s="4"/>
      <c r="H558" s="4"/>
      <c r="I558" s="210"/>
      <c r="J558" s="210"/>
      <c r="K558" s="150"/>
      <c r="O558"/>
    </row>
    <row r="559" spans="2:15" x14ac:dyDescent="0.25">
      <c r="B559" s="4"/>
      <c r="C559" s="4"/>
      <c r="D559" s="4"/>
      <c r="E559" s="278"/>
      <c r="F559" s="4"/>
      <c r="G559" s="4"/>
      <c r="H559" s="4"/>
      <c r="I559" s="210"/>
      <c r="J559" s="210"/>
      <c r="K559" s="150"/>
      <c r="O559"/>
    </row>
    <row r="560" spans="2:15" x14ac:dyDescent="0.25">
      <c r="B560" s="4"/>
      <c r="C560" s="4"/>
      <c r="D560" s="4"/>
      <c r="E560" s="278"/>
      <c r="F560" s="4"/>
      <c r="G560" s="4"/>
      <c r="H560" s="4"/>
      <c r="I560" s="210"/>
      <c r="J560" s="210"/>
      <c r="K560" s="150"/>
      <c r="O560"/>
    </row>
    <row r="561" spans="2:15" x14ac:dyDescent="0.25">
      <c r="B561" s="4"/>
      <c r="C561" s="4"/>
      <c r="D561" s="4"/>
      <c r="E561" s="278"/>
      <c r="F561" s="4"/>
      <c r="G561" s="4"/>
      <c r="H561" s="4"/>
      <c r="I561" s="210"/>
      <c r="J561" s="210"/>
      <c r="K561" s="150"/>
      <c r="O561"/>
    </row>
    <row r="562" spans="2:15" x14ac:dyDescent="0.25">
      <c r="B562" s="4"/>
      <c r="C562" s="4"/>
      <c r="D562" s="4"/>
      <c r="E562" s="278"/>
      <c r="F562" s="4"/>
      <c r="G562" s="4"/>
      <c r="H562" s="4"/>
      <c r="I562" s="210"/>
      <c r="J562" s="210"/>
      <c r="K562" s="150"/>
      <c r="O562"/>
    </row>
    <row r="563" spans="2:15" x14ac:dyDescent="0.25">
      <c r="B563" s="4"/>
      <c r="C563" s="4"/>
      <c r="D563" s="4"/>
      <c r="E563" s="278"/>
      <c r="F563" s="4"/>
      <c r="G563" s="4"/>
      <c r="H563" s="4"/>
      <c r="I563" s="210"/>
      <c r="J563" s="210"/>
      <c r="K563" s="150"/>
      <c r="O563"/>
    </row>
    <row r="564" spans="2:15" x14ac:dyDescent="0.25">
      <c r="B564" s="4"/>
      <c r="C564" s="4"/>
      <c r="D564" s="4"/>
      <c r="E564" s="278"/>
      <c r="F564" s="4"/>
      <c r="G564" s="4"/>
      <c r="H564" s="4"/>
      <c r="I564" s="210"/>
      <c r="J564" s="210"/>
      <c r="K564" s="150"/>
      <c r="O564"/>
    </row>
    <row r="565" spans="2:15" x14ac:dyDescent="0.25">
      <c r="B565" s="4"/>
      <c r="C565" s="4"/>
      <c r="D565" s="4"/>
      <c r="E565" s="278"/>
      <c r="F565" s="4"/>
      <c r="G565" s="4"/>
      <c r="H565" s="4"/>
      <c r="I565" s="210"/>
      <c r="J565" s="210"/>
      <c r="K565" s="150"/>
      <c r="O565"/>
    </row>
    <row r="566" spans="2:15" x14ac:dyDescent="0.25">
      <c r="B566" s="4"/>
      <c r="C566" s="4"/>
      <c r="D566" s="4"/>
      <c r="E566" s="278"/>
      <c r="F566" s="4"/>
      <c r="G566" s="4"/>
      <c r="H566" s="4"/>
      <c r="I566" s="210"/>
      <c r="J566" s="210"/>
      <c r="K566" s="150"/>
      <c r="O566"/>
    </row>
    <row r="567" spans="2:15" x14ac:dyDescent="0.25">
      <c r="B567" s="4"/>
      <c r="C567" s="4"/>
      <c r="D567" s="4"/>
      <c r="E567" s="278"/>
      <c r="F567" s="4"/>
      <c r="G567" s="4"/>
      <c r="H567" s="4"/>
      <c r="I567" s="210"/>
      <c r="J567" s="210"/>
      <c r="K567" s="150"/>
      <c r="O567"/>
    </row>
    <row r="568" spans="2:15" x14ac:dyDescent="0.25">
      <c r="B568" s="4"/>
      <c r="C568" s="4"/>
      <c r="D568" s="4"/>
      <c r="E568" s="278"/>
      <c r="F568" s="4"/>
      <c r="G568" s="4"/>
      <c r="H568" s="4"/>
      <c r="I568" s="210"/>
      <c r="J568" s="210"/>
      <c r="K568" s="150"/>
      <c r="O568"/>
    </row>
    <row r="569" spans="2:15" x14ac:dyDescent="0.25">
      <c r="B569" s="4"/>
      <c r="C569" s="4"/>
      <c r="D569" s="4"/>
      <c r="E569" s="278"/>
      <c r="F569" s="4"/>
      <c r="G569" s="4"/>
      <c r="H569" s="4"/>
      <c r="I569" s="210"/>
      <c r="J569" s="210"/>
      <c r="K569" s="150"/>
      <c r="O569"/>
    </row>
    <row r="570" spans="2:15" x14ac:dyDescent="0.25">
      <c r="B570" s="4"/>
      <c r="C570" s="4"/>
      <c r="D570" s="4"/>
      <c r="E570" s="278"/>
      <c r="F570" s="4"/>
      <c r="G570" s="4"/>
      <c r="H570" s="4"/>
      <c r="I570" s="210"/>
      <c r="J570" s="210"/>
      <c r="K570" s="150"/>
      <c r="O570"/>
    </row>
    <row r="571" spans="2:15" x14ac:dyDescent="0.25">
      <c r="B571" s="4"/>
      <c r="C571" s="4"/>
      <c r="D571" s="4"/>
      <c r="E571" s="278"/>
      <c r="F571" s="4"/>
      <c r="G571" s="4"/>
      <c r="H571" s="4"/>
      <c r="I571" s="210"/>
      <c r="J571" s="210"/>
      <c r="K571" s="150"/>
      <c r="O571"/>
    </row>
    <row r="572" spans="2:15" x14ac:dyDescent="0.25">
      <c r="B572" s="4"/>
      <c r="C572" s="4"/>
      <c r="D572" s="4"/>
      <c r="E572" s="278"/>
      <c r="F572" s="4"/>
      <c r="G572" s="4"/>
      <c r="H572" s="4"/>
      <c r="I572" s="210"/>
      <c r="J572" s="210"/>
      <c r="K572" s="150"/>
      <c r="O572"/>
    </row>
    <row r="573" spans="2:15" x14ac:dyDescent="0.25">
      <c r="B573" s="4"/>
      <c r="C573" s="4"/>
      <c r="D573" s="4"/>
      <c r="E573" s="278"/>
      <c r="F573" s="4"/>
      <c r="G573" s="4"/>
      <c r="H573" s="4"/>
      <c r="I573" s="210"/>
      <c r="J573" s="210"/>
      <c r="K573" s="150"/>
      <c r="O573"/>
    </row>
    <row r="574" spans="2:15" x14ac:dyDescent="0.25">
      <c r="B574" s="4"/>
      <c r="C574" s="4"/>
      <c r="D574" s="4"/>
      <c r="E574" s="278"/>
      <c r="F574" s="4"/>
      <c r="G574" s="4"/>
      <c r="H574" s="4"/>
      <c r="I574" s="210"/>
      <c r="J574" s="210"/>
      <c r="K574" s="150"/>
      <c r="O574"/>
    </row>
    <row r="575" spans="2:15" x14ac:dyDescent="0.25">
      <c r="B575" s="4"/>
      <c r="C575" s="4"/>
      <c r="D575" s="4"/>
      <c r="E575" s="278"/>
      <c r="F575" s="4"/>
      <c r="G575" s="4"/>
      <c r="H575" s="4"/>
      <c r="I575" s="210"/>
      <c r="J575" s="210"/>
      <c r="K575" s="150"/>
      <c r="O575"/>
    </row>
    <row r="576" spans="2:15" x14ac:dyDescent="0.25">
      <c r="B576" s="4"/>
      <c r="C576" s="4"/>
      <c r="D576" s="4"/>
      <c r="E576" s="278"/>
      <c r="F576" s="4"/>
      <c r="G576" s="4"/>
      <c r="H576" s="4"/>
      <c r="I576" s="210"/>
      <c r="J576" s="210"/>
      <c r="K576" s="150"/>
      <c r="O576"/>
    </row>
    <row r="577" spans="2:15" x14ac:dyDescent="0.25">
      <c r="B577" s="4"/>
      <c r="C577" s="4"/>
      <c r="D577" s="4"/>
      <c r="E577" s="278"/>
      <c r="F577" s="4"/>
      <c r="G577" s="4"/>
      <c r="H577" s="4"/>
      <c r="I577" s="210"/>
      <c r="J577" s="210"/>
      <c r="K577" s="150"/>
      <c r="O577"/>
    </row>
    <row r="578" spans="2:15" x14ac:dyDescent="0.25">
      <c r="B578" s="4"/>
      <c r="C578" s="4"/>
      <c r="D578" s="4"/>
      <c r="E578" s="278"/>
      <c r="F578" s="4"/>
      <c r="G578" s="4"/>
      <c r="H578" s="4"/>
      <c r="I578" s="210"/>
      <c r="J578" s="210"/>
      <c r="K578" s="150"/>
      <c r="O578"/>
    </row>
    <row r="579" spans="2:15" x14ac:dyDescent="0.25">
      <c r="B579" s="4"/>
      <c r="C579" s="4"/>
      <c r="D579" s="4"/>
      <c r="E579" s="278"/>
      <c r="F579" s="4"/>
      <c r="G579" s="4"/>
      <c r="H579" s="4"/>
      <c r="I579" s="210"/>
      <c r="J579" s="210"/>
      <c r="K579" s="150"/>
      <c r="O579"/>
    </row>
    <row r="580" spans="2:15" x14ac:dyDescent="0.25">
      <c r="B580" s="4"/>
      <c r="C580" s="4"/>
      <c r="D580" s="4"/>
      <c r="E580" s="278"/>
      <c r="F580" s="4"/>
      <c r="G580" s="4"/>
      <c r="H580" s="4"/>
      <c r="I580" s="210"/>
      <c r="J580" s="210"/>
      <c r="K580" s="150"/>
      <c r="O580"/>
    </row>
    <row r="581" spans="2:15" x14ac:dyDescent="0.25">
      <c r="B581" s="4"/>
      <c r="C581" s="4"/>
      <c r="D581" s="4"/>
      <c r="E581" s="278"/>
      <c r="F581" s="4"/>
      <c r="G581" s="4"/>
      <c r="H581" s="4"/>
      <c r="I581" s="210"/>
      <c r="J581" s="210"/>
      <c r="K581" s="150"/>
      <c r="O581"/>
    </row>
    <row r="582" spans="2:15" x14ac:dyDescent="0.25">
      <c r="B582" s="4"/>
      <c r="C582" s="4"/>
      <c r="D582" s="4"/>
      <c r="E582" s="278"/>
      <c r="F582" s="4"/>
      <c r="G582" s="4"/>
      <c r="H582" s="4"/>
      <c r="I582" s="210"/>
      <c r="J582" s="210"/>
      <c r="K582" s="150"/>
      <c r="O582"/>
    </row>
    <row r="583" spans="2:15" x14ac:dyDescent="0.25">
      <c r="B583" s="4"/>
      <c r="C583" s="4"/>
      <c r="D583" s="4"/>
      <c r="E583" s="278"/>
      <c r="F583" s="4"/>
      <c r="G583" s="4"/>
      <c r="H583" s="4"/>
      <c r="I583" s="210"/>
      <c r="J583" s="210"/>
      <c r="K583" s="150"/>
      <c r="O583"/>
    </row>
    <row r="584" spans="2:15" x14ac:dyDescent="0.25">
      <c r="B584" s="4"/>
      <c r="C584" s="4"/>
      <c r="D584" s="4"/>
      <c r="E584" s="278"/>
      <c r="F584" s="4"/>
      <c r="G584" s="4"/>
      <c r="H584" s="4"/>
      <c r="I584" s="210"/>
      <c r="J584" s="210"/>
      <c r="K584" s="150"/>
      <c r="O584"/>
    </row>
    <row r="585" spans="2:15" x14ac:dyDescent="0.25">
      <c r="B585" s="4"/>
      <c r="C585" s="4"/>
      <c r="D585" s="4"/>
      <c r="E585" s="278"/>
      <c r="F585" s="4"/>
      <c r="G585" s="4"/>
      <c r="H585" s="4"/>
      <c r="I585" s="210"/>
      <c r="J585" s="210"/>
      <c r="K585" s="150"/>
      <c r="O585"/>
    </row>
    <row r="586" spans="2:15" x14ac:dyDescent="0.25">
      <c r="B586" s="4"/>
      <c r="C586" s="4"/>
      <c r="D586" s="4"/>
      <c r="E586" s="278"/>
      <c r="F586" s="4"/>
      <c r="G586" s="4"/>
      <c r="H586" s="4"/>
      <c r="I586" s="210"/>
      <c r="J586" s="210"/>
      <c r="K586" s="150"/>
      <c r="O586"/>
    </row>
    <row r="587" spans="2:15" x14ac:dyDescent="0.25">
      <c r="B587" s="4"/>
      <c r="C587" s="4"/>
      <c r="D587" s="4"/>
      <c r="E587" s="278"/>
      <c r="F587" s="4"/>
      <c r="G587" s="4"/>
      <c r="H587" s="4"/>
      <c r="I587" s="210"/>
      <c r="J587" s="210"/>
      <c r="K587" s="150"/>
      <c r="O587"/>
    </row>
    <row r="588" spans="2:15" x14ac:dyDescent="0.25">
      <c r="B588" s="4"/>
      <c r="C588" s="4"/>
      <c r="D588" s="4"/>
      <c r="E588" s="278"/>
      <c r="F588" s="4"/>
      <c r="G588" s="4"/>
      <c r="H588" s="4"/>
      <c r="I588" s="210"/>
      <c r="J588" s="210"/>
      <c r="K588" s="150"/>
      <c r="O588"/>
    </row>
    <row r="589" spans="2:15" x14ac:dyDescent="0.25">
      <c r="B589" s="4"/>
      <c r="C589" s="4"/>
      <c r="D589" s="4"/>
      <c r="E589" s="278"/>
      <c r="F589" s="4"/>
      <c r="G589" s="4"/>
      <c r="H589" s="4"/>
      <c r="I589" s="210"/>
      <c r="J589" s="210"/>
      <c r="K589" s="150"/>
      <c r="O589"/>
    </row>
    <row r="590" spans="2:15" x14ac:dyDescent="0.25">
      <c r="B590" s="4"/>
      <c r="C590" s="4"/>
      <c r="D590" s="4"/>
      <c r="E590" s="278"/>
      <c r="F590" s="4"/>
      <c r="G590" s="4"/>
      <c r="H590" s="4"/>
      <c r="I590" s="210"/>
      <c r="J590" s="210"/>
      <c r="K590" s="150"/>
      <c r="O590"/>
    </row>
    <row r="591" spans="2:15" x14ac:dyDescent="0.25">
      <c r="B591" s="4"/>
      <c r="C591" s="4"/>
      <c r="D591" s="4"/>
      <c r="E591" s="278"/>
      <c r="F591" s="4"/>
      <c r="G591" s="4"/>
      <c r="H591" s="4"/>
      <c r="I591" s="210"/>
      <c r="J591" s="210"/>
      <c r="K591" s="150"/>
      <c r="O591"/>
    </row>
    <row r="592" spans="2:15" x14ac:dyDescent="0.25">
      <c r="B592" s="4"/>
      <c r="C592" s="4"/>
      <c r="D592" s="4"/>
      <c r="E592" s="278"/>
      <c r="F592" s="4"/>
      <c r="G592" s="4"/>
      <c r="H592" s="4"/>
      <c r="I592" s="210"/>
      <c r="J592" s="210"/>
      <c r="K592" s="150"/>
      <c r="O592"/>
    </row>
    <row r="593" spans="2:15" x14ac:dyDescent="0.25">
      <c r="B593" s="4"/>
      <c r="C593" s="4"/>
      <c r="D593" s="4"/>
      <c r="E593" s="278"/>
      <c r="F593" s="4"/>
      <c r="G593" s="4"/>
      <c r="H593" s="4"/>
      <c r="I593" s="210"/>
      <c r="J593" s="210"/>
      <c r="K593" s="150"/>
      <c r="O593"/>
    </row>
    <row r="594" spans="2:15" x14ac:dyDescent="0.25">
      <c r="B594" s="4"/>
      <c r="C594" s="4"/>
      <c r="D594" s="4"/>
      <c r="E594" s="278"/>
      <c r="F594" s="4"/>
      <c r="G594" s="4"/>
      <c r="H594" s="4"/>
      <c r="I594" s="210"/>
      <c r="J594" s="210"/>
      <c r="K594" s="150"/>
      <c r="O594"/>
    </row>
    <row r="595" spans="2:15" x14ac:dyDescent="0.25">
      <c r="B595" s="4"/>
      <c r="C595" s="4"/>
      <c r="D595" s="4"/>
      <c r="E595" s="278"/>
      <c r="F595" s="4"/>
      <c r="G595" s="4"/>
      <c r="H595" s="4"/>
      <c r="I595" s="210"/>
      <c r="J595" s="210"/>
      <c r="K595" s="150"/>
      <c r="O595"/>
    </row>
    <row r="596" spans="2:15" x14ac:dyDescent="0.25">
      <c r="B596" s="4"/>
      <c r="C596" s="4"/>
      <c r="D596" s="4"/>
      <c r="E596" s="278"/>
      <c r="F596" s="4"/>
      <c r="G596" s="4"/>
      <c r="H596" s="4"/>
      <c r="I596" s="210"/>
      <c r="J596" s="210"/>
      <c r="K596" s="150"/>
      <c r="O596"/>
    </row>
    <row r="597" spans="2:15" x14ac:dyDescent="0.25">
      <c r="B597" s="4"/>
      <c r="C597" s="4"/>
      <c r="D597" s="4"/>
      <c r="E597" s="278"/>
      <c r="F597" s="4"/>
      <c r="G597" s="4"/>
      <c r="H597" s="4"/>
      <c r="I597" s="210"/>
      <c r="J597" s="210"/>
      <c r="K597" s="150"/>
      <c r="O597"/>
    </row>
    <row r="598" spans="2:15" x14ac:dyDescent="0.25">
      <c r="B598" s="4"/>
      <c r="C598" s="4"/>
      <c r="D598" s="4"/>
      <c r="E598" s="278"/>
      <c r="F598" s="4"/>
      <c r="G598" s="4"/>
      <c r="H598" s="4"/>
      <c r="I598" s="210"/>
      <c r="J598" s="210"/>
      <c r="K598" s="150"/>
      <c r="O598"/>
    </row>
    <row r="599" spans="2:15" x14ac:dyDescent="0.25">
      <c r="B599" s="4"/>
      <c r="C599" s="4"/>
      <c r="D599" s="4"/>
      <c r="E599" s="278"/>
      <c r="F599" s="4"/>
      <c r="G599" s="4"/>
      <c r="H599" s="4"/>
      <c r="I599" s="210"/>
      <c r="J599" s="210"/>
      <c r="K599" s="150"/>
      <c r="O599"/>
    </row>
    <row r="600" spans="2:15" x14ac:dyDescent="0.25">
      <c r="B600" s="4"/>
      <c r="C600" s="4"/>
      <c r="D600" s="4"/>
      <c r="E600" s="278"/>
      <c r="F600" s="4"/>
      <c r="G600" s="4"/>
      <c r="H600" s="4"/>
      <c r="I600" s="210"/>
      <c r="J600" s="210"/>
      <c r="K600" s="150"/>
      <c r="O600"/>
    </row>
    <row r="601" spans="2:15" x14ac:dyDescent="0.25">
      <c r="B601" s="4"/>
      <c r="C601" s="4"/>
      <c r="D601" s="4"/>
      <c r="E601" s="278"/>
      <c r="F601" s="4"/>
      <c r="G601" s="4"/>
      <c r="H601" s="4"/>
      <c r="I601" s="210"/>
      <c r="J601" s="210"/>
      <c r="K601" s="150"/>
      <c r="O601"/>
    </row>
    <row r="602" spans="2:15" x14ac:dyDescent="0.25">
      <c r="B602" s="4"/>
      <c r="C602" s="4"/>
      <c r="D602" s="4"/>
      <c r="E602" s="278"/>
      <c r="F602" s="4"/>
      <c r="G602" s="4"/>
      <c r="H602" s="4"/>
      <c r="I602" s="210"/>
      <c r="J602" s="210"/>
      <c r="K602" s="150"/>
      <c r="O602"/>
    </row>
    <row r="603" spans="2:15" x14ac:dyDescent="0.25">
      <c r="B603" s="4"/>
      <c r="C603" s="4"/>
      <c r="D603" s="4"/>
      <c r="E603" s="278"/>
      <c r="F603" s="4"/>
      <c r="G603" s="4"/>
      <c r="H603" s="4"/>
      <c r="I603" s="210"/>
      <c r="J603" s="210"/>
      <c r="K603" s="150"/>
      <c r="O603"/>
    </row>
    <row r="604" spans="2:15" x14ac:dyDescent="0.25">
      <c r="B604" s="4"/>
      <c r="C604" s="4"/>
      <c r="D604" s="4"/>
      <c r="E604" s="278"/>
      <c r="F604" s="4"/>
      <c r="G604" s="4"/>
      <c r="H604" s="4"/>
      <c r="I604" s="210"/>
      <c r="J604" s="210"/>
      <c r="K604" s="150"/>
      <c r="O604"/>
    </row>
    <row r="605" spans="2:15" x14ac:dyDescent="0.25">
      <c r="B605" s="4"/>
      <c r="C605" s="4"/>
      <c r="D605" s="4"/>
      <c r="E605" s="278"/>
      <c r="F605" s="4"/>
      <c r="G605" s="4"/>
      <c r="H605" s="4"/>
      <c r="I605" s="210"/>
      <c r="J605" s="210"/>
      <c r="K605" s="150"/>
      <c r="O605"/>
    </row>
    <row r="606" spans="2:15" x14ac:dyDescent="0.25">
      <c r="B606" s="4"/>
      <c r="C606" s="4"/>
      <c r="D606" s="4"/>
      <c r="E606" s="278"/>
      <c r="F606" s="4"/>
      <c r="G606" s="4"/>
      <c r="H606" s="4"/>
      <c r="I606" s="210"/>
      <c r="J606" s="210"/>
      <c r="K606" s="150"/>
      <c r="O606"/>
    </row>
    <row r="607" spans="2:15" x14ac:dyDescent="0.25">
      <c r="B607" s="4"/>
      <c r="C607" s="4"/>
      <c r="D607" s="4"/>
      <c r="E607" s="278"/>
      <c r="F607" s="4"/>
      <c r="G607" s="4"/>
      <c r="H607" s="4"/>
      <c r="I607" s="210"/>
      <c r="J607" s="210"/>
      <c r="K607" s="150"/>
      <c r="O607"/>
    </row>
    <row r="608" spans="2:15" x14ac:dyDescent="0.25">
      <c r="B608" s="4"/>
      <c r="C608" s="4"/>
      <c r="D608" s="4"/>
      <c r="E608" s="278"/>
      <c r="F608" s="4"/>
      <c r="G608" s="4"/>
      <c r="H608" s="4"/>
      <c r="I608" s="210"/>
      <c r="J608" s="210"/>
      <c r="K608" s="150"/>
      <c r="O608"/>
    </row>
    <row r="609" spans="2:15" x14ac:dyDescent="0.25">
      <c r="B609" s="4"/>
      <c r="C609" s="4"/>
      <c r="D609" s="4"/>
      <c r="E609" s="278"/>
      <c r="F609" s="4"/>
      <c r="G609" s="4"/>
      <c r="H609" s="4"/>
      <c r="I609" s="210"/>
      <c r="J609" s="210"/>
      <c r="K609" s="150"/>
      <c r="O609"/>
    </row>
    <row r="610" spans="2:15" x14ac:dyDescent="0.25">
      <c r="B610" s="4"/>
      <c r="C610" s="4"/>
      <c r="D610" s="4"/>
      <c r="E610" s="278"/>
      <c r="F610" s="4"/>
      <c r="G610" s="4"/>
      <c r="H610" s="4"/>
      <c r="I610" s="210"/>
      <c r="J610" s="210"/>
      <c r="K610" s="150"/>
      <c r="O610"/>
    </row>
    <row r="611" spans="2:15" x14ac:dyDescent="0.25">
      <c r="B611" s="4"/>
      <c r="C611" s="4"/>
      <c r="D611" s="4"/>
      <c r="E611" s="278"/>
      <c r="F611" s="4"/>
      <c r="G611" s="4"/>
      <c r="H611" s="4"/>
      <c r="I611" s="210"/>
      <c r="J611" s="210"/>
      <c r="K611" s="150"/>
      <c r="O611"/>
    </row>
    <row r="612" spans="2:15" x14ac:dyDescent="0.25">
      <c r="B612" s="4"/>
      <c r="C612" s="4"/>
      <c r="D612" s="4"/>
      <c r="E612" s="278"/>
      <c r="F612" s="4"/>
      <c r="G612" s="4"/>
      <c r="H612" s="4"/>
      <c r="I612" s="210"/>
      <c r="J612" s="210"/>
      <c r="K612" s="150"/>
      <c r="O612"/>
    </row>
    <row r="613" spans="2:15" x14ac:dyDescent="0.25">
      <c r="B613" s="4"/>
      <c r="C613" s="4"/>
      <c r="D613" s="4"/>
      <c r="E613" s="278"/>
      <c r="F613" s="4"/>
      <c r="G613" s="4"/>
      <c r="H613" s="4"/>
      <c r="I613" s="210"/>
      <c r="J613" s="210"/>
      <c r="K613" s="150"/>
      <c r="O613"/>
    </row>
    <row r="614" spans="2:15" x14ac:dyDescent="0.25">
      <c r="B614" s="4"/>
      <c r="C614" s="4"/>
      <c r="D614" s="4"/>
      <c r="E614" s="278"/>
      <c r="F614" s="4"/>
      <c r="G614" s="4"/>
      <c r="H614" s="4"/>
      <c r="I614" s="210"/>
      <c r="J614" s="210"/>
      <c r="K614" s="150"/>
      <c r="O614"/>
    </row>
    <row r="615" spans="2:15" x14ac:dyDescent="0.25">
      <c r="B615" s="4"/>
      <c r="C615" s="4"/>
      <c r="D615" s="4"/>
      <c r="E615" s="278"/>
      <c r="F615" s="4"/>
      <c r="G615" s="4"/>
      <c r="H615" s="4"/>
      <c r="I615" s="210"/>
      <c r="J615" s="210"/>
      <c r="K615" s="150"/>
      <c r="O615"/>
    </row>
    <row r="616" spans="2:15" x14ac:dyDescent="0.25">
      <c r="B616" s="4"/>
      <c r="C616" s="4"/>
      <c r="D616" s="4"/>
      <c r="E616" s="278"/>
      <c r="F616" s="4"/>
      <c r="G616" s="4"/>
      <c r="H616" s="4"/>
      <c r="I616" s="210"/>
      <c r="J616" s="210"/>
      <c r="K616" s="150"/>
      <c r="O616"/>
    </row>
    <row r="617" spans="2:15" x14ac:dyDescent="0.25">
      <c r="B617" s="4"/>
      <c r="C617" s="4"/>
      <c r="D617" s="4"/>
      <c r="E617" s="278"/>
      <c r="F617" s="4"/>
      <c r="G617" s="4"/>
      <c r="H617" s="4"/>
      <c r="I617" s="210"/>
      <c r="J617" s="210"/>
      <c r="K617" s="150"/>
      <c r="O617"/>
    </row>
    <row r="618" spans="2:15" x14ac:dyDescent="0.25">
      <c r="B618" s="4"/>
      <c r="C618" s="4"/>
      <c r="D618" s="4"/>
      <c r="E618" s="278"/>
      <c r="F618" s="4"/>
      <c r="G618" s="4"/>
      <c r="H618" s="4"/>
      <c r="I618" s="210"/>
      <c r="J618" s="210"/>
      <c r="K618" s="150"/>
      <c r="O618"/>
    </row>
    <row r="619" spans="2:15" x14ac:dyDescent="0.25">
      <c r="B619" s="4"/>
      <c r="C619" s="4"/>
      <c r="D619" s="4"/>
      <c r="E619" s="278"/>
      <c r="F619" s="4"/>
      <c r="G619" s="4"/>
      <c r="H619" s="4"/>
      <c r="I619" s="210"/>
      <c r="J619" s="210"/>
      <c r="K619" s="150"/>
      <c r="O619"/>
    </row>
    <row r="620" spans="2:15" x14ac:dyDescent="0.25">
      <c r="B620" s="4"/>
      <c r="C620" s="4"/>
      <c r="D620" s="4"/>
      <c r="E620" s="278"/>
      <c r="F620" s="4"/>
      <c r="G620" s="4"/>
      <c r="H620" s="4"/>
      <c r="I620" s="210"/>
      <c r="J620" s="210"/>
      <c r="K620" s="150"/>
      <c r="O620"/>
    </row>
    <row r="621" spans="2:15" x14ac:dyDescent="0.25">
      <c r="B621" s="4"/>
      <c r="C621" s="4"/>
      <c r="D621" s="4"/>
      <c r="E621" s="278"/>
      <c r="F621" s="4"/>
      <c r="G621" s="4"/>
      <c r="H621" s="4"/>
      <c r="I621" s="210"/>
      <c r="J621" s="210"/>
      <c r="K621" s="150"/>
      <c r="O621"/>
    </row>
    <row r="622" spans="2:15" x14ac:dyDescent="0.25">
      <c r="B622" s="4"/>
      <c r="C622" s="4"/>
      <c r="D622" s="4"/>
      <c r="E622" s="278"/>
      <c r="F622" s="4"/>
      <c r="G622" s="4"/>
      <c r="H622" s="4"/>
      <c r="I622" s="210"/>
      <c r="J622" s="210"/>
      <c r="K622" s="150"/>
      <c r="O622"/>
    </row>
    <row r="623" spans="2:15" x14ac:dyDescent="0.25">
      <c r="B623" s="4"/>
      <c r="C623" s="4"/>
      <c r="D623" s="4"/>
      <c r="E623" s="278"/>
      <c r="F623" s="4"/>
      <c r="G623" s="4"/>
      <c r="H623" s="4"/>
      <c r="I623" s="210"/>
      <c r="J623" s="210"/>
      <c r="K623" s="150"/>
      <c r="O623"/>
    </row>
    <row r="624" spans="2:15" x14ac:dyDescent="0.25">
      <c r="B624" s="4"/>
      <c r="C624" s="4"/>
      <c r="D624" s="4"/>
      <c r="E624" s="278"/>
      <c r="F624" s="4"/>
      <c r="G624" s="4"/>
      <c r="H624" s="4"/>
      <c r="I624" s="210"/>
      <c r="J624" s="210"/>
      <c r="K624" s="150"/>
      <c r="O624"/>
    </row>
    <row r="625" spans="2:15" x14ac:dyDescent="0.25">
      <c r="B625" s="4"/>
      <c r="C625" s="4"/>
      <c r="D625" s="4"/>
      <c r="E625" s="278"/>
      <c r="F625" s="4"/>
      <c r="G625" s="4"/>
      <c r="H625" s="4"/>
      <c r="I625" s="210"/>
      <c r="J625" s="210"/>
      <c r="K625" s="150"/>
      <c r="O625"/>
    </row>
    <row r="626" spans="2:15" x14ac:dyDescent="0.25">
      <c r="B626" s="4"/>
      <c r="C626" s="4"/>
      <c r="D626" s="4"/>
      <c r="E626" s="278"/>
      <c r="F626" s="4"/>
      <c r="G626" s="4"/>
      <c r="H626" s="4"/>
      <c r="I626" s="210"/>
      <c r="J626" s="210"/>
      <c r="K626" s="150"/>
      <c r="O626"/>
    </row>
    <row r="627" spans="2:15" x14ac:dyDescent="0.25">
      <c r="B627" s="4"/>
      <c r="C627" s="4"/>
      <c r="D627" s="4"/>
      <c r="E627" s="278"/>
      <c r="F627" s="4"/>
      <c r="G627" s="4"/>
      <c r="H627" s="4"/>
      <c r="I627" s="210"/>
      <c r="J627" s="210"/>
      <c r="K627" s="150"/>
      <c r="O627"/>
    </row>
    <row r="628" spans="2:15" x14ac:dyDescent="0.25">
      <c r="B628" s="4"/>
      <c r="C628" s="4"/>
      <c r="D628" s="4"/>
      <c r="E628" s="278"/>
      <c r="F628" s="4"/>
      <c r="G628" s="4"/>
      <c r="H628" s="4"/>
      <c r="I628" s="210"/>
      <c r="J628" s="210"/>
      <c r="K628" s="150"/>
      <c r="O628"/>
    </row>
    <row r="629" spans="2:15" x14ac:dyDescent="0.25">
      <c r="B629" s="4"/>
      <c r="C629" s="4"/>
      <c r="D629" s="4"/>
      <c r="E629" s="278"/>
      <c r="F629" s="4"/>
      <c r="G629" s="4"/>
      <c r="H629" s="4"/>
      <c r="I629" s="210"/>
      <c r="J629" s="210"/>
      <c r="K629" s="150"/>
      <c r="O629"/>
    </row>
    <row r="630" spans="2:15" x14ac:dyDescent="0.25">
      <c r="B630" s="4"/>
      <c r="C630" s="4"/>
      <c r="D630" s="4"/>
      <c r="E630" s="278"/>
      <c r="F630" s="4"/>
      <c r="G630" s="4"/>
      <c r="H630" s="4"/>
      <c r="I630" s="210"/>
      <c r="J630" s="210"/>
      <c r="K630" s="150"/>
      <c r="O630"/>
    </row>
    <row r="631" spans="2:15" x14ac:dyDescent="0.25">
      <c r="B631" s="4"/>
      <c r="C631" s="4"/>
      <c r="D631" s="4"/>
      <c r="E631" s="278"/>
      <c r="F631" s="4"/>
      <c r="G631" s="4"/>
      <c r="H631" s="4"/>
      <c r="I631" s="210"/>
      <c r="J631" s="210"/>
      <c r="K631" s="150"/>
      <c r="O631"/>
    </row>
    <row r="632" spans="2:15" x14ac:dyDescent="0.25">
      <c r="B632" s="4"/>
      <c r="C632" s="4"/>
      <c r="D632" s="4"/>
      <c r="E632" s="278"/>
      <c r="F632" s="4"/>
      <c r="G632" s="4"/>
      <c r="H632" s="4"/>
      <c r="I632" s="210"/>
      <c r="J632" s="210"/>
      <c r="K632" s="150"/>
      <c r="O632"/>
    </row>
    <row r="633" spans="2:15" x14ac:dyDescent="0.25">
      <c r="B633" s="4"/>
      <c r="C633" s="4"/>
      <c r="D633" s="4"/>
      <c r="E633" s="278"/>
      <c r="F633" s="4"/>
      <c r="G633" s="4"/>
      <c r="H633" s="4"/>
      <c r="I633" s="210"/>
      <c r="J633" s="210"/>
      <c r="K633" s="150"/>
      <c r="O633"/>
    </row>
    <row r="634" spans="2:15" x14ac:dyDescent="0.25">
      <c r="B634" s="4"/>
      <c r="C634" s="4"/>
      <c r="D634" s="4"/>
      <c r="E634" s="278"/>
      <c r="F634" s="4"/>
      <c r="G634" s="4"/>
      <c r="H634" s="4"/>
      <c r="I634" s="210"/>
      <c r="J634" s="210"/>
      <c r="K634" s="150"/>
      <c r="O634"/>
    </row>
    <row r="635" spans="2:15" x14ac:dyDescent="0.25">
      <c r="B635" s="4"/>
      <c r="C635" s="4"/>
      <c r="D635" s="4"/>
      <c r="E635" s="278"/>
      <c r="F635" s="4"/>
      <c r="G635" s="4"/>
      <c r="H635" s="4"/>
      <c r="I635" s="210"/>
      <c r="J635" s="210"/>
      <c r="K635" s="150"/>
      <c r="O635"/>
    </row>
    <row r="636" spans="2:15" x14ac:dyDescent="0.25">
      <c r="B636" s="4"/>
      <c r="C636" s="4"/>
      <c r="D636" s="4"/>
      <c r="E636" s="278"/>
      <c r="F636" s="4"/>
      <c r="G636" s="4"/>
      <c r="H636" s="4"/>
      <c r="I636" s="210"/>
      <c r="J636" s="210"/>
      <c r="K636" s="150"/>
      <c r="O636"/>
    </row>
    <row r="637" spans="2:15" x14ac:dyDescent="0.25">
      <c r="B637" s="4"/>
      <c r="C637" s="4"/>
      <c r="D637" s="4"/>
      <c r="E637" s="278"/>
      <c r="F637" s="4"/>
      <c r="G637" s="4"/>
      <c r="H637" s="4"/>
      <c r="I637" s="210"/>
      <c r="J637" s="210"/>
      <c r="K637" s="150"/>
      <c r="O637"/>
    </row>
    <row r="638" spans="2:15" x14ac:dyDescent="0.25">
      <c r="B638" s="4"/>
      <c r="C638" s="4"/>
      <c r="D638" s="4"/>
      <c r="E638" s="278"/>
      <c r="F638" s="4"/>
      <c r="G638" s="4"/>
      <c r="H638" s="4"/>
      <c r="I638" s="210"/>
      <c r="J638" s="210"/>
      <c r="K638" s="150"/>
      <c r="O638"/>
    </row>
    <row r="639" spans="2:15" x14ac:dyDescent="0.25">
      <c r="B639" s="4"/>
      <c r="C639" s="4"/>
      <c r="D639" s="4"/>
      <c r="E639" s="278"/>
      <c r="F639" s="4"/>
      <c r="G639" s="4"/>
      <c r="H639" s="4"/>
      <c r="I639" s="210"/>
      <c r="J639" s="210"/>
      <c r="K639" s="150"/>
      <c r="O639"/>
    </row>
    <row r="640" spans="2:15" x14ac:dyDescent="0.25">
      <c r="B640" s="4"/>
      <c r="C640" s="4"/>
      <c r="D640" s="4"/>
      <c r="E640" s="278"/>
      <c r="F640" s="4"/>
      <c r="G640" s="4"/>
      <c r="H640" s="4"/>
      <c r="I640" s="210"/>
      <c r="J640" s="210"/>
      <c r="K640" s="150"/>
      <c r="O640"/>
    </row>
    <row r="641" spans="2:15" x14ac:dyDescent="0.25">
      <c r="B641" s="4"/>
      <c r="C641" s="4"/>
      <c r="D641" s="4"/>
      <c r="E641" s="278"/>
      <c r="F641" s="4"/>
      <c r="G641" s="4"/>
      <c r="H641" s="4"/>
      <c r="I641" s="210"/>
      <c r="J641" s="210"/>
      <c r="K641" s="150"/>
      <c r="O641"/>
    </row>
    <row r="642" spans="2:15" x14ac:dyDescent="0.25">
      <c r="B642" s="4"/>
      <c r="C642" s="4"/>
      <c r="D642" s="4"/>
      <c r="E642" s="278"/>
      <c r="F642" s="4"/>
      <c r="G642" s="4"/>
      <c r="H642" s="4"/>
      <c r="I642" s="210"/>
      <c r="J642" s="210"/>
      <c r="K642" s="150"/>
      <c r="O642"/>
    </row>
    <row r="643" spans="2:15" x14ac:dyDescent="0.25">
      <c r="B643" s="4"/>
      <c r="C643" s="4"/>
      <c r="D643" s="4"/>
      <c r="E643" s="278"/>
      <c r="F643" s="4"/>
      <c r="G643" s="4"/>
      <c r="H643" s="4"/>
      <c r="I643" s="210"/>
      <c r="J643" s="210"/>
      <c r="K643" s="150"/>
      <c r="O643"/>
    </row>
    <row r="644" spans="2:15" x14ac:dyDescent="0.25">
      <c r="B644" s="4"/>
      <c r="C644" s="4"/>
      <c r="D644" s="4"/>
      <c r="E644" s="278"/>
      <c r="F644" s="4"/>
      <c r="G644" s="4"/>
      <c r="H644" s="4"/>
      <c r="I644" s="210"/>
      <c r="J644" s="210"/>
      <c r="K644" s="150"/>
      <c r="O644"/>
    </row>
    <row r="645" spans="2:15" x14ac:dyDescent="0.25">
      <c r="B645" s="4"/>
      <c r="C645" s="4"/>
      <c r="D645" s="4"/>
      <c r="E645" s="278"/>
      <c r="F645" s="4"/>
      <c r="G645" s="4"/>
      <c r="H645" s="4"/>
      <c r="I645" s="210"/>
      <c r="J645" s="210"/>
      <c r="K645" s="150"/>
      <c r="O645"/>
    </row>
    <row r="646" spans="2:15" x14ac:dyDescent="0.25">
      <c r="B646" s="4"/>
      <c r="C646" s="4"/>
      <c r="D646" s="4"/>
      <c r="E646" s="278"/>
      <c r="F646" s="4"/>
      <c r="G646" s="4"/>
      <c r="H646" s="4"/>
      <c r="I646" s="210"/>
      <c r="J646" s="210"/>
      <c r="K646" s="150"/>
      <c r="O646"/>
    </row>
    <row r="647" spans="2:15" x14ac:dyDescent="0.25">
      <c r="B647" s="4"/>
      <c r="C647" s="4"/>
      <c r="D647" s="4"/>
      <c r="E647" s="278"/>
      <c r="F647" s="4"/>
      <c r="G647" s="4"/>
      <c r="H647" s="4"/>
      <c r="I647" s="210"/>
      <c r="J647" s="210"/>
      <c r="K647" s="150"/>
      <c r="O647"/>
    </row>
    <row r="648" spans="2:15" x14ac:dyDescent="0.25">
      <c r="B648" s="4"/>
      <c r="C648" s="4"/>
      <c r="D648" s="4"/>
      <c r="E648" s="278"/>
      <c r="F648" s="4"/>
      <c r="G648" s="4"/>
      <c r="H648" s="4"/>
      <c r="I648" s="210"/>
      <c r="J648" s="210"/>
      <c r="K648" s="150"/>
      <c r="O648"/>
    </row>
    <row r="649" spans="2:15" x14ac:dyDescent="0.25">
      <c r="B649" s="4"/>
      <c r="C649" s="4"/>
      <c r="D649" s="4"/>
      <c r="E649" s="278"/>
      <c r="F649" s="4"/>
      <c r="G649" s="4"/>
      <c r="H649" s="4"/>
      <c r="I649" s="210"/>
      <c r="J649" s="210"/>
      <c r="K649" s="150"/>
      <c r="O649"/>
    </row>
    <row r="650" spans="2:15" x14ac:dyDescent="0.25">
      <c r="B650" s="4"/>
      <c r="C650" s="4"/>
      <c r="D650" s="4"/>
      <c r="E650" s="278"/>
      <c r="F650" s="4"/>
      <c r="G650" s="4"/>
      <c r="H650" s="4"/>
      <c r="I650" s="210"/>
      <c r="J650" s="210"/>
      <c r="K650" s="150"/>
      <c r="O650"/>
    </row>
    <row r="651" spans="2:15" x14ac:dyDescent="0.25">
      <c r="B651" s="4"/>
      <c r="C651" s="4"/>
      <c r="D651" s="4"/>
      <c r="E651" s="278"/>
      <c r="F651" s="4"/>
      <c r="G651" s="4"/>
      <c r="H651" s="4"/>
      <c r="I651" s="210"/>
      <c r="J651" s="210"/>
      <c r="K651" s="150"/>
      <c r="O651"/>
    </row>
    <row r="652" spans="2:15" x14ac:dyDescent="0.25">
      <c r="B652" s="4"/>
      <c r="C652" s="4"/>
      <c r="D652" s="4"/>
      <c r="E652" s="278"/>
      <c r="F652" s="4"/>
      <c r="G652" s="4"/>
      <c r="H652" s="4"/>
      <c r="I652" s="210"/>
      <c r="J652" s="210"/>
      <c r="K652" s="150"/>
      <c r="O652"/>
    </row>
    <row r="653" spans="2:15" x14ac:dyDescent="0.25">
      <c r="B653" s="4"/>
      <c r="C653" s="4"/>
      <c r="D653" s="4"/>
      <c r="E653" s="278"/>
      <c r="F653" s="4"/>
      <c r="G653" s="4"/>
      <c r="H653" s="4"/>
      <c r="I653" s="210"/>
      <c r="J653" s="210"/>
      <c r="K653" s="150"/>
      <c r="O653"/>
    </row>
    <row r="654" spans="2:15" x14ac:dyDescent="0.25">
      <c r="B654" s="4"/>
      <c r="C654" s="4"/>
      <c r="D654" s="4"/>
      <c r="E654" s="278"/>
      <c r="F654" s="4"/>
      <c r="G654" s="4"/>
      <c r="H654" s="4"/>
      <c r="I654" s="210"/>
      <c r="J654" s="210"/>
      <c r="K654" s="150"/>
      <c r="O654"/>
    </row>
    <row r="655" spans="2:15" x14ac:dyDescent="0.25">
      <c r="B655" s="4"/>
      <c r="C655" s="4"/>
      <c r="D655" s="4"/>
      <c r="E655" s="278"/>
      <c r="F655" s="4"/>
      <c r="G655" s="4"/>
      <c r="H655" s="4"/>
      <c r="I655" s="210"/>
      <c r="J655" s="210"/>
      <c r="K655" s="150"/>
      <c r="O655"/>
    </row>
    <row r="656" spans="2:15" x14ac:dyDescent="0.25">
      <c r="B656" s="4"/>
      <c r="C656" s="4"/>
      <c r="D656" s="4"/>
      <c r="E656" s="278"/>
      <c r="F656" s="4"/>
      <c r="G656" s="4"/>
      <c r="H656" s="4"/>
      <c r="I656" s="210"/>
      <c r="J656" s="210"/>
      <c r="K656" s="150"/>
      <c r="O656"/>
    </row>
    <row r="657" spans="2:15" x14ac:dyDescent="0.25">
      <c r="B657" s="4"/>
      <c r="C657" s="4"/>
      <c r="D657" s="4"/>
      <c r="E657" s="278"/>
      <c r="F657" s="4"/>
      <c r="G657" s="4"/>
      <c r="H657" s="4"/>
      <c r="I657" s="210"/>
      <c r="J657" s="210"/>
      <c r="K657" s="150"/>
      <c r="O657"/>
    </row>
    <row r="658" spans="2:15" x14ac:dyDescent="0.25">
      <c r="B658" s="4"/>
      <c r="C658" s="4"/>
      <c r="D658" s="4"/>
      <c r="E658" s="278"/>
      <c r="F658" s="4"/>
      <c r="G658" s="4"/>
      <c r="H658" s="4"/>
      <c r="I658" s="210"/>
      <c r="J658" s="210"/>
      <c r="K658" s="150"/>
      <c r="O658"/>
    </row>
    <row r="659" spans="2:15" x14ac:dyDescent="0.25">
      <c r="B659" s="4"/>
      <c r="C659" s="4"/>
      <c r="D659" s="4"/>
      <c r="E659" s="278"/>
      <c r="F659" s="4"/>
      <c r="G659" s="4"/>
      <c r="H659" s="4"/>
      <c r="I659" s="210"/>
      <c r="J659" s="210"/>
      <c r="K659" s="150"/>
      <c r="O659"/>
    </row>
    <row r="660" spans="2:15" x14ac:dyDescent="0.25">
      <c r="B660" s="4"/>
      <c r="C660" s="4"/>
      <c r="D660" s="4"/>
      <c r="E660" s="278"/>
      <c r="F660" s="4"/>
      <c r="G660" s="4"/>
      <c r="H660" s="4"/>
      <c r="I660" s="210"/>
      <c r="J660" s="210"/>
      <c r="K660" s="150"/>
      <c r="O660"/>
    </row>
    <row r="661" spans="2:15" x14ac:dyDescent="0.25">
      <c r="B661" s="4"/>
      <c r="C661" s="4"/>
      <c r="D661" s="4"/>
      <c r="E661" s="278"/>
      <c r="F661" s="4"/>
      <c r="G661" s="4"/>
      <c r="H661" s="4"/>
      <c r="I661" s="210"/>
      <c r="J661" s="210"/>
      <c r="K661" s="150"/>
      <c r="O661"/>
    </row>
    <row r="662" spans="2:15" x14ac:dyDescent="0.25">
      <c r="B662" s="4"/>
      <c r="C662" s="4"/>
      <c r="D662" s="4"/>
      <c r="E662" s="278"/>
      <c r="F662" s="4"/>
      <c r="G662" s="4"/>
      <c r="H662" s="4"/>
      <c r="I662" s="210"/>
      <c r="J662" s="210"/>
      <c r="K662" s="150"/>
      <c r="O662"/>
    </row>
    <row r="663" spans="2:15" x14ac:dyDescent="0.25">
      <c r="B663" s="4"/>
      <c r="C663" s="4"/>
      <c r="D663" s="4"/>
      <c r="E663" s="278"/>
      <c r="F663" s="4"/>
      <c r="G663" s="4"/>
      <c r="H663" s="4"/>
      <c r="I663" s="210"/>
      <c r="J663" s="210"/>
      <c r="K663" s="150"/>
      <c r="O663"/>
    </row>
    <row r="664" spans="2:15" x14ac:dyDescent="0.25">
      <c r="B664" s="4"/>
      <c r="C664" s="4"/>
      <c r="D664" s="4"/>
      <c r="E664" s="278"/>
      <c r="F664" s="4"/>
      <c r="G664" s="4"/>
      <c r="H664" s="4"/>
      <c r="I664" s="210"/>
      <c r="J664" s="210"/>
      <c r="K664" s="150"/>
      <c r="O664"/>
    </row>
    <row r="665" spans="2:15" x14ac:dyDescent="0.25">
      <c r="B665" s="4"/>
      <c r="C665" s="4"/>
      <c r="D665" s="4"/>
      <c r="E665" s="278"/>
      <c r="F665" s="4"/>
      <c r="G665" s="4"/>
      <c r="H665" s="4"/>
      <c r="I665" s="210"/>
      <c r="J665" s="210"/>
      <c r="K665" s="150"/>
      <c r="O665"/>
    </row>
    <row r="666" spans="2:15" x14ac:dyDescent="0.25">
      <c r="B666" s="4"/>
      <c r="C666" s="4"/>
      <c r="D666" s="4"/>
      <c r="E666" s="278"/>
      <c r="F666" s="4"/>
      <c r="G666" s="4"/>
      <c r="H666" s="4"/>
      <c r="I666" s="210"/>
      <c r="J666" s="210"/>
      <c r="K666" s="150"/>
      <c r="O666"/>
    </row>
    <row r="667" spans="2:15" x14ac:dyDescent="0.25">
      <c r="B667" s="4"/>
      <c r="C667" s="4"/>
      <c r="D667" s="4"/>
      <c r="E667" s="278"/>
      <c r="F667" s="4"/>
      <c r="G667" s="4"/>
      <c r="H667" s="4"/>
      <c r="I667" s="210"/>
      <c r="J667" s="210"/>
      <c r="K667" s="150"/>
      <c r="O667"/>
    </row>
    <row r="668" spans="2:15" x14ac:dyDescent="0.25">
      <c r="B668" s="4"/>
      <c r="C668" s="4"/>
      <c r="D668" s="4"/>
      <c r="E668" s="278"/>
      <c r="F668" s="4"/>
      <c r="G668" s="4"/>
      <c r="H668" s="4"/>
      <c r="I668" s="210"/>
      <c r="J668" s="210"/>
      <c r="K668" s="150"/>
      <c r="O668"/>
    </row>
    <row r="669" spans="2:15" x14ac:dyDescent="0.25">
      <c r="B669" s="4"/>
      <c r="C669" s="4"/>
      <c r="D669" s="4"/>
      <c r="E669" s="278"/>
      <c r="F669" s="4"/>
      <c r="G669" s="4"/>
      <c r="H669" s="4"/>
      <c r="I669" s="210"/>
      <c r="J669" s="210"/>
      <c r="K669" s="150"/>
      <c r="O669"/>
    </row>
    <row r="670" spans="2:15" x14ac:dyDescent="0.25">
      <c r="B670" s="4"/>
      <c r="C670" s="4"/>
      <c r="D670" s="4"/>
      <c r="E670" s="278"/>
      <c r="F670" s="4"/>
      <c r="G670" s="4"/>
      <c r="H670" s="4"/>
      <c r="I670" s="210"/>
      <c r="J670" s="210"/>
      <c r="K670" s="150"/>
      <c r="O670"/>
    </row>
    <row r="671" spans="2:15" x14ac:dyDescent="0.25">
      <c r="B671" s="4"/>
      <c r="C671" s="4"/>
      <c r="D671" s="4"/>
      <c r="E671" s="278"/>
      <c r="F671" s="4"/>
      <c r="G671" s="4"/>
      <c r="H671" s="4"/>
      <c r="I671" s="210"/>
      <c r="J671" s="210"/>
      <c r="K671" s="150"/>
      <c r="O671"/>
    </row>
    <row r="672" spans="2:15" x14ac:dyDescent="0.25">
      <c r="B672" s="4"/>
      <c r="C672" s="4"/>
      <c r="D672" s="4"/>
      <c r="E672" s="278"/>
      <c r="F672" s="4"/>
      <c r="G672" s="4"/>
      <c r="H672" s="4"/>
      <c r="I672" s="210"/>
      <c r="J672" s="210"/>
      <c r="K672" s="150"/>
      <c r="O672"/>
    </row>
    <row r="673" spans="2:15" x14ac:dyDescent="0.25">
      <c r="B673" s="4"/>
      <c r="C673" s="4"/>
      <c r="D673" s="4"/>
      <c r="E673" s="278"/>
      <c r="F673" s="4"/>
      <c r="G673" s="4"/>
      <c r="H673" s="4"/>
      <c r="I673" s="210"/>
      <c r="J673" s="210"/>
      <c r="K673" s="150"/>
      <c r="O673"/>
    </row>
    <row r="674" spans="2:15" x14ac:dyDescent="0.25">
      <c r="B674" s="4"/>
      <c r="C674" s="4"/>
      <c r="D674" s="4"/>
      <c r="E674" s="278"/>
      <c r="F674" s="4"/>
      <c r="G674" s="4"/>
      <c r="H674" s="4"/>
      <c r="I674" s="210"/>
      <c r="J674" s="210"/>
      <c r="K674" s="150"/>
      <c r="O674"/>
    </row>
    <row r="675" spans="2:15" x14ac:dyDescent="0.25">
      <c r="B675" s="4"/>
      <c r="C675" s="4"/>
      <c r="D675" s="4"/>
      <c r="E675" s="278"/>
      <c r="F675" s="4"/>
      <c r="G675" s="4"/>
      <c r="H675" s="4"/>
      <c r="I675" s="210"/>
      <c r="J675" s="210"/>
      <c r="K675" s="150"/>
      <c r="O675"/>
    </row>
    <row r="676" spans="2:15" x14ac:dyDescent="0.25">
      <c r="B676" s="4"/>
      <c r="C676" s="4"/>
      <c r="D676" s="4"/>
      <c r="E676" s="278"/>
      <c r="F676" s="4"/>
      <c r="G676" s="4"/>
      <c r="H676" s="4"/>
      <c r="I676" s="210"/>
      <c r="J676" s="210"/>
      <c r="K676" s="150"/>
      <c r="O676"/>
    </row>
    <row r="677" spans="2:15" x14ac:dyDescent="0.25">
      <c r="B677" s="4"/>
      <c r="C677" s="4"/>
      <c r="D677" s="4"/>
      <c r="E677" s="278"/>
      <c r="F677" s="4"/>
      <c r="G677" s="4"/>
      <c r="H677" s="4"/>
      <c r="I677" s="210"/>
      <c r="J677" s="210"/>
      <c r="K677" s="150"/>
      <c r="O677"/>
    </row>
    <row r="678" spans="2:15" x14ac:dyDescent="0.25">
      <c r="B678" s="4"/>
      <c r="C678" s="4"/>
      <c r="D678" s="4"/>
      <c r="E678" s="278"/>
      <c r="F678" s="4"/>
      <c r="G678" s="4"/>
      <c r="H678" s="4"/>
      <c r="I678" s="210"/>
      <c r="J678" s="210"/>
      <c r="K678" s="150"/>
      <c r="O678"/>
    </row>
    <row r="679" spans="2:15" x14ac:dyDescent="0.25">
      <c r="B679" s="4"/>
      <c r="C679" s="4"/>
      <c r="D679" s="4"/>
      <c r="E679" s="278"/>
      <c r="F679" s="4"/>
      <c r="G679" s="4"/>
      <c r="H679" s="4"/>
      <c r="I679" s="210"/>
      <c r="J679" s="210"/>
      <c r="K679" s="150"/>
      <c r="O679"/>
    </row>
    <row r="680" spans="2:15" x14ac:dyDescent="0.25">
      <c r="B680" s="4"/>
      <c r="C680" s="4"/>
      <c r="D680" s="4"/>
      <c r="E680" s="278"/>
      <c r="F680" s="4"/>
      <c r="G680" s="4"/>
      <c r="H680" s="4"/>
      <c r="I680" s="210"/>
      <c r="J680" s="210"/>
      <c r="K680" s="150"/>
      <c r="O680"/>
    </row>
    <row r="681" spans="2:15" x14ac:dyDescent="0.25">
      <c r="B681" s="4"/>
      <c r="C681" s="4"/>
      <c r="D681" s="4"/>
      <c r="E681" s="278"/>
      <c r="F681" s="4"/>
      <c r="G681" s="4"/>
      <c r="H681" s="4"/>
      <c r="I681" s="210"/>
      <c r="J681" s="210"/>
      <c r="K681" s="150"/>
      <c r="O681"/>
    </row>
    <row r="682" spans="2:15" x14ac:dyDescent="0.25">
      <c r="B682" s="4"/>
      <c r="C682" s="4"/>
      <c r="D682" s="4"/>
      <c r="E682" s="278"/>
      <c r="F682" s="4"/>
      <c r="G682" s="4"/>
      <c r="H682" s="4"/>
      <c r="I682" s="210"/>
      <c r="J682" s="210"/>
      <c r="K682" s="150"/>
      <c r="O682"/>
    </row>
    <row r="683" spans="2:15" x14ac:dyDescent="0.25">
      <c r="B683" s="4"/>
      <c r="C683" s="4"/>
      <c r="D683" s="4"/>
      <c r="E683" s="278"/>
      <c r="F683" s="4"/>
      <c r="G683" s="4"/>
      <c r="H683" s="4"/>
      <c r="I683" s="210"/>
      <c r="J683" s="210"/>
      <c r="K683" s="150"/>
      <c r="O683"/>
    </row>
    <row r="684" spans="2:15" x14ac:dyDescent="0.25">
      <c r="B684" s="4"/>
      <c r="C684" s="4"/>
      <c r="D684" s="4"/>
      <c r="E684" s="278"/>
      <c r="F684" s="4"/>
      <c r="G684" s="4"/>
      <c r="H684" s="4"/>
      <c r="I684" s="210"/>
      <c r="J684" s="210"/>
      <c r="K684" s="150"/>
      <c r="O684"/>
    </row>
    <row r="685" spans="2:15" x14ac:dyDescent="0.25">
      <c r="B685" s="4"/>
      <c r="C685" s="4"/>
      <c r="D685" s="4"/>
      <c r="E685" s="278"/>
      <c r="F685" s="4"/>
      <c r="G685" s="4"/>
      <c r="H685" s="4"/>
      <c r="I685" s="210"/>
      <c r="J685" s="210"/>
      <c r="K685" s="150"/>
      <c r="O685"/>
    </row>
    <row r="686" spans="2:15" x14ac:dyDescent="0.25">
      <c r="B686" s="4"/>
      <c r="C686" s="4"/>
      <c r="D686" s="4"/>
      <c r="E686" s="278"/>
      <c r="F686" s="4"/>
      <c r="G686" s="4"/>
      <c r="H686" s="4"/>
      <c r="I686" s="210"/>
      <c r="J686" s="210"/>
      <c r="K686" s="150"/>
      <c r="O686"/>
    </row>
    <row r="687" spans="2:15" x14ac:dyDescent="0.25">
      <c r="B687" s="4"/>
      <c r="C687" s="4"/>
      <c r="D687" s="4"/>
      <c r="E687" s="278"/>
      <c r="F687" s="4"/>
      <c r="G687" s="4"/>
      <c r="H687" s="4"/>
      <c r="I687" s="210"/>
      <c r="J687" s="210"/>
      <c r="K687" s="150"/>
      <c r="O687"/>
    </row>
    <row r="688" spans="2:15" x14ac:dyDescent="0.25">
      <c r="B688" s="4"/>
      <c r="C688" s="4"/>
      <c r="D688" s="4"/>
      <c r="E688" s="278"/>
      <c r="F688" s="4"/>
      <c r="G688" s="4"/>
      <c r="H688" s="4"/>
      <c r="I688" s="210"/>
      <c r="J688" s="210"/>
      <c r="K688" s="150"/>
      <c r="O688"/>
    </row>
    <row r="689" spans="2:15" x14ac:dyDescent="0.25">
      <c r="B689" s="4"/>
      <c r="C689" s="4"/>
      <c r="D689" s="4"/>
      <c r="E689" s="278"/>
      <c r="F689" s="4"/>
      <c r="G689" s="4"/>
      <c r="H689" s="4"/>
      <c r="I689" s="210"/>
      <c r="J689" s="210"/>
      <c r="K689" s="150"/>
      <c r="O689"/>
    </row>
    <row r="690" spans="2:15" x14ac:dyDescent="0.25">
      <c r="B690" s="4"/>
      <c r="C690" s="4"/>
      <c r="D690" s="4"/>
      <c r="E690" s="278"/>
      <c r="F690" s="4"/>
      <c r="G690" s="4"/>
      <c r="H690" s="4"/>
      <c r="I690" s="210"/>
      <c r="J690" s="210"/>
      <c r="K690" s="150"/>
      <c r="O690"/>
    </row>
    <row r="691" spans="2:15" x14ac:dyDescent="0.25">
      <c r="B691" s="4"/>
      <c r="C691" s="4"/>
      <c r="D691" s="4"/>
      <c r="E691" s="278"/>
      <c r="F691" s="4"/>
      <c r="G691" s="4"/>
      <c r="H691" s="4"/>
      <c r="I691" s="210"/>
      <c r="J691" s="210"/>
      <c r="K691" s="150"/>
      <c r="O691"/>
    </row>
    <row r="692" spans="2:15" x14ac:dyDescent="0.25">
      <c r="B692" s="4"/>
      <c r="C692" s="4"/>
      <c r="D692" s="4"/>
      <c r="E692" s="278"/>
      <c r="F692" s="4"/>
      <c r="G692" s="4"/>
      <c r="H692" s="4"/>
      <c r="I692" s="210"/>
      <c r="J692" s="210"/>
      <c r="K692" s="150"/>
      <c r="O692"/>
    </row>
    <row r="693" spans="2:15" x14ac:dyDescent="0.25">
      <c r="B693" s="4"/>
      <c r="C693" s="4"/>
      <c r="D693" s="4"/>
      <c r="E693" s="278"/>
      <c r="F693" s="4"/>
      <c r="G693" s="4"/>
      <c r="H693" s="4"/>
      <c r="I693" s="210"/>
      <c r="J693" s="210"/>
      <c r="K693" s="150"/>
      <c r="O693"/>
    </row>
    <row r="694" spans="2:15" x14ac:dyDescent="0.25">
      <c r="B694" s="4"/>
      <c r="C694" s="4"/>
      <c r="D694" s="4"/>
      <c r="E694" s="278"/>
      <c r="F694" s="4"/>
      <c r="G694" s="4"/>
      <c r="H694" s="4"/>
      <c r="I694" s="210"/>
      <c r="J694" s="210"/>
      <c r="K694" s="150"/>
      <c r="O694"/>
    </row>
    <row r="695" spans="2:15" x14ac:dyDescent="0.25">
      <c r="B695" s="4"/>
      <c r="C695" s="4"/>
      <c r="D695" s="4"/>
      <c r="E695" s="278"/>
      <c r="F695" s="4"/>
      <c r="G695" s="4"/>
      <c r="H695" s="4"/>
      <c r="I695" s="210"/>
      <c r="J695" s="210"/>
      <c r="K695" s="150"/>
      <c r="O695"/>
    </row>
    <row r="696" spans="2:15" x14ac:dyDescent="0.25">
      <c r="B696" s="4"/>
      <c r="C696" s="4"/>
      <c r="D696" s="4"/>
      <c r="E696" s="278"/>
      <c r="F696" s="4"/>
      <c r="G696" s="4"/>
      <c r="H696" s="4"/>
      <c r="I696" s="210"/>
      <c r="J696" s="210"/>
      <c r="K696" s="150"/>
      <c r="O696"/>
    </row>
    <row r="697" spans="2:15" x14ac:dyDescent="0.25">
      <c r="B697" s="4"/>
      <c r="C697" s="4"/>
      <c r="D697" s="4"/>
      <c r="E697" s="278"/>
      <c r="F697" s="4"/>
      <c r="G697" s="4"/>
      <c r="H697" s="4"/>
      <c r="I697" s="210"/>
      <c r="J697" s="210"/>
      <c r="K697" s="150"/>
      <c r="O697"/>
    </row>
    <row r="698" spans="2:15" x14ac:dyDescent="0.25">
      <c r="B698" s="4"/>
      <c r="C698" s="4"/>
      <c r="D698" s="4"/>
      <c r="E698" s="278"/>
      <c r="F698" s="4"/>
      <c r="G698" s="4"/>
      <c r="H698" s="4"/>
      <c r="I698" s="210"/>
      <c r="J698" s="210"/>
      <c r="K698" s="150"/>
      <c r="O698"/>
    </row>
    <row r="699" spans="2:15" x14ac:dyDescent="0.25">
      <c r="B699" s="4"/>
      <c r="C699" s="4"/>
      <c r="D699" s="4"/>
      <c r="E699" s="278"/>
      <c r="F699" s="4"/>
      <c r="G699" s="4"/>
      <c r="H699" s="4"/>
      <c r="I699" s="210"/>
      <c r="J699" s="210"/>
      <c r="K699" s="150"/>
      <c r="O699"/>
    </row>
    <row r="700" spans="2:15" x14ac:dyDescent="0.25">
      <c r="B700" s="4"/>
      <c r="C700" s="4"/>
      <c r="D700" s="4"/>
      <c r="E700" s="278"/>
      <c r="F700" s="4"/>
      <c r="G700" s="4"/>
      <c r="H700" s="4"/>
      <c r="I700" s="210"/>
      <c r="J700" s="210"/>
      <c r="K700" s="150"/>
      <c r="O700"/>
    </row>
    <row r="701" spans="2:15" x14ac:dyDescent="0.25">
      <c r="B701" s="4"/>
      <c r="C701" s="4"/>
      <c r="D701" s="4"/>
      <c r="E701" s="278"/>
      <c r="F701" s="4"/>
      <c r="G701" s="4"/>
      <c r="H701" s="4"/>
      <c r="I701" s="210"/>
      <c r="J701" s="210"/>
      <c r="K701" s="150"/>
      <c r="O701"/>
    </row>
    <row r="702" spans="2:15" x14ac:dyDescent="0.25">
      <c r="B702" s="4"/>
      <c r="C702" s="4"/>
      <c r="D702" s="4"/>
      <c r="E702" s="278"/>
      <c r="F702" s="4"/>
      <c r="G702" s="4"/>
      <c r="H702" s="4"/>
      <c r="I702" s="210"/>
      <c r="J702" s="210"/>
      <c r="K702" s="150"/>
      <c r="O702"/>
    </row>
    <row r="703" spans="2:15" x14ac:dyDescent="0.25">
      <c r="B703" s="4"/>
      <c r="C703" s="4"/>
      <c r="D703" s="4"/>
      <c r="E703" s="278"/>
      <c r="F703" s="4"/>
      <c r="G703" s="4"/>
      <c r="H703" s="4"/>
      <c r="I703" s="210"/>
      <c r="J703" s="210"/>
      <c r="K703" s="150"/>
      <c r="O703"/>
    </row>
    <row r="704" spans="2:15" x14ac:dyDescent="0.25">
      <c r="B704" s="4"/>
      <c r="C704" s="4"/>
      <c r="D704" s="4"/>
      <c r="E704" s="278"/>
      <c r="F704" s="4"/>
      <c r="G704" s="4"/>
      <c r="H704" s="4"/>
      <c r="I704" s="210"/>
      <c r="J704" s="210"/>
      <c r="K704" s="150"/>
      <c r="O704"/>
    </row>
    <row r="705" spans="2:15" x14ac:dyDescent="0.25">
      <c r="B705" s="4"/>
      <c r="C705" s="4"/>
      <c r="D705" s="4"/>
      <c r="E705" s="278"/>
      <c r="F705" s="4"/>
      <c r="G705" s="4"/>
      <c r="H705" s="4"/>
      <c r="I705" s="210"/>
      <c r="J705" s="210"/>
      <c r="K705" s="150"/>
      <c r="O705"/>
    </row>
    <row r="706" spans="2:15" x14ac:dyDescent="0.25">
      <c r="B706" s="4"/>
      <c r="C706" s="4"/>
      <c r="D706" s="4"/>
      <c r="E706" s="278"/>
      <c r="F706" s="4"/>
      <c r="G706" s="4"/>
      <c r="H706" s="4"/>
      <c r="I706" s="210"/>
      <c r="J706" s="210"/>
      <c r="K706" s="150"/>
      <c r="O706"/>
    </row>
    <row r="707" spans="2:15" x14ac:dyDescent="0.25">
      <c r="B707" s="4"/>
      <c r="C707" s="4"/>
      <c r="D707" s="4"/>
      <c r="E707" s="278"/>
      <c r="F707" s="4"/>
      <c r="G707" s="4"/>
      <c r="H707" s="4"/>
      <c r="I707" s="210"/>
      <c r="J707" s="210"/>
      <c r="K707" s="150"/>
      <c r="O707"/>
    </row>
    <row r="708" spans="2:15" x14ac:dyDescent="0.25">
      <c r="B708" s="4"/>
      <c r="C708" s="4"/>
      <c r="D708" s="4"/>
      <c r="E708" s="278"/>
      <c r="F708" s="4"/>
      <c r="G708" s="4"/>
      <c r="H708" s="4"/>
      <c r="I708" s="210"/>
      <c r="J708" s="210"/>
      <c r="K708" s="150"/>
      <c r="O708"/>
    </row>
    <row r="709" spans="2:15" x14ac:dyDescent="0.25">
      <c r="B709" s="4"/>
      <c r="C709" s="4"/>
      <c r="D709" s="4"/>
      <c r="E709" s="278"/>
      <c r="F709" s="4"/>
      <c r="G709" s="4"/>
      <c r="H709" s="4"/>
      <c r="I709" s="210"/>
      <c r="J709" s="210"/>
      <c r="K709" s="150"/>
      <c r="O709"/>
    </row>
    <row r="710" spans="2:15" x14ac:dyDescent="0.25">
      <c r="B710" s="4"/>
      <c r="C710" s="4"/>
      <c r="D710" s="4"/>
      <c r="E710" s="278"/>
      <c r="F710" s="4"/>
      <c r="G710" s="4"/>
      <c r="H710" s="4"/>
      <c r="I710" s="210"/>
      <c r="J710" s="210"/>
      <c r="K710" s="150"/>
      <c r="O710"/>
    </row>
    <row r="711" spans="2:15" x14ac:dyDescent="0.25">
      <c r="B711" s="4"/>
      <c r="C711" s="4"/>
      <c r="D711" s="4"/>
      <c r="E711" s="278"/>
      <c r="F711" s="4"/>
      <c r="G711" s="4"/>
      <c r="H711" s="4"/>
      <c r="I711" s="210"/>
      <c r="J711" s="210"/>
      <c r="K711" s="150"/>
      <c r="O711"/>
    </row>
    <row r="712" spans="2:15" x14ac:dyDescent="0.25">
      <c r="B712" s="4"/>
      <c r="C712" s="4"/>
      <c r="D712" s="4"/>
      <c r="E712" s="278"/>
      <c r="F712" s="4"/>
      <c r="G712" s="4"/>
      <c r="H712" s="4"/>
      <c r="I712" s="210"/>
      <c r="J712" s="210"/>
      <c r="K712" s="150"/>
      <c r="O712"/>
    </row>
    <row r="713" spans="2:15" x14ac:dyDescent="0.25">
      <c r="B713" s="4"/>
      <c r="C713" s="4"/>
      <c r="D713" s="4"/>
      <c r="E713" s="278"/>
      <c r="F713" s="4"/>
      <c r="G713" s="4"/>
      <c r="H713" s="4"/>
      <c r="I713" s="210"/>
      <c r="J713" s="210"/>
      <c r="K713" s="150"/>
      <c r="O713"/>
    </row>
    <row r="714" spans="2:15" x14ac:dyDescent="0.25">
      <c r="B714" s="4"/>
      <c r="C714" s="4"/>
      <c r="D714" s="4"/>
      <c r="E714" s="278"/>
      <c r="F714" s="4"/>
      <c r="G714" s="4"/>
      <c r="H714" s="4"/>
      <c r="I714" s="210"/>
      <c r="J714" s="210"/>
      <c r="K714" s="150"/>
      <c r="O714"/>
    </row>
    <row r="715" spans="2:15" x14ac:dyDescent="0.25">
      <c r="B715" s="4"/>
      <c r="C715" s="4"/>
      <c r="D715" s="4"/>
      <c r="E715" s="278"/>
      <c r="F715" s="4"/>
      <c r="G715" s="4"/>
      <c r="H715" s="4"/>
      <c r="I715" s="210"/>
      <c r="J715" s="210"/>
      <c r="K715" s="150"/>
      <c r="O715"/>
    </row>
    <row r="716" spans="2:15" x14ac:dyDescent="0.25">
      <c r="B716" s="4"/>
      <c r="C716" s="4"/>
      <c r="D716" s="4"/>
      <c r="E716" s="278"/>
      <c r="F716" s="4"/>
      <c r="G716" s="4"/>
      <c r="H716" s="4"/>
      <c r="I716" s="210"/>
      <c r="J716" s="210"/>
      <c r="K716" s="150"/>
      <c r="O716"/>
    </row>
    <row r="717" spans="2:15" x14ac:dyDescent="0.25">
      <c r="B717" s="4"/>
      <c r="C717" s="4"/>
      <c r="D717" s="4"/>
      <c r="E717" s="278"/>
      <c r="F717" s="4"/>
      <c r="G717" s="4"/>
      <c r="H717" s="4"/>
      <c r="I717" s="210"/>
      <c r="J717" s="210"/>
      <c r="K717" s="150"/>
      <c r="O717"/>
    </row>
    <row r="718" spans="2:15" x14ac:dyDescent="0.25">
      <c r="B718" s="4"/>
      <c r="C718" s="4"/>
      <c r="D718" s="4"/>
      <c r="E718" s="278"/>
      <c r="F718" s="4"/>
      <c r="G718" s="4"/>
      <c r="H718" s="4"/>
      <c r="I718" s="210"/>
      <c r="J718" s="210"/>
      <c r="K718" s="150"/>
      <c r="O718"/>
    </row>
    <row r="719" spans="2:15" x14ac:dyDescent="0.25">
      <c r="B719" s="4"/>
      <c r="C719" s="4"/>
      <c r="D719" s="4"/>
      <c r="E719" s="278"/>
      <c r="F719" s="4"/>
      <c r="G719" s="4"/>
      <c r="H719" s="4"/>
      <c r="I719" s="210"/>
      <c r="J719" s="210"/>
      <c r="K719" s="150"/>
      <c r="O719"/>
    </row>
    <row r="720" spans="2:15" x14ac:dyDescent="0.25">
      <c r="B720" s="4"/>
      <c r="C720" s="4"/>
      <c r="D720" s="4"/>
      <c r="E720" s="278"/>
      <c r="F720" s="4"/>
      <c r="G720" s="4"/>
      <c r="H720" s="4"/>
      <c r="I720" s="210"/>
      <c r="J720" s="210"/>
      <c r="K720" s="150"/>
      <c r="O720"/>
    </row>
    <row r="721" spans="2:15" x14ac:dyDescent="0.25">
      <c r="B721" s="4"/>
      <c r="C721" s="4"/>
      <c r="D721" s="4"/>
      <c r="E721" s="278"/>
      <c r="F721" s="4"/>
      <c r="G721" s="4"/>
      <c r="H721" s="4"/>
      <c r="I721" s="210"/>
      <c r="J721" s="210"/>
      <c r="K721" s="150"/>
      <c r="O721"/>
    </row>
    <row r="722" spans="2:15" x14ac:dyDescent="0.25">
      <c r="B722" s="4"/>
      <c r="C722" s="4"/>
      <c r="D722" s="4"/>
      <c r="E722" s="278"/>
      <c r="F722" s="4"/>
      <c r="G722" s="4"/>
      <c r="H722" s="4"/>
      <c r="I722" s="210"/>
      <c r="J722" s="210"/>
      <c r="K722" s="150"/>
      <c r="O722"/>
    </row>
    <row r="723" spans="2:15" x14ac:dyDescent="0.25">
      <c r="B723" s="4"/>
      <c r="C723" s="4"/>
      <c r="D723" s="4"/>
      <c r="E723" s="278"/>
      <c r="F723" s="4"/>
      <c r="G723" s="4"/>
      <c r="H723" s="4"/>
      <c r="I723" s="210"/>
      <c r="J723" s="210"/>
      <c r="K723" s="150"/>
      <c r="O723"/>
    </row>
    <row r="724" spans="2:15" x14ac:dyDescent="0.25">
      <c r="B724" s="4"/>
      <c r="C724" s="4"/>
      <c r="D724" s="4"/>
      <c r="E724" s="278"/>
      <c r="F724" s="4"/>
      <c r="G724" s="4"/>
      <c r="H724" s="4"/>
      <c r="I724" s="210"/>
      <c r="J724" s="210"/>
      <c r="K724" s="150"/>
      <c r="O724"/>
    </row>
    <row r="725" spans="2:15" x14ac:dyDescent="0.25">
      <c r="B725" s="4"/>
      <c r="C725" s="4"/>
      <c r="D725" s="4"/>
      <c r="E725" s="278"/>
      <c r="F725" s="4"/>
      <c r="G725" s="4"/>
      <c r="H725" s="4"/>
      <c r="I725" s="210"/>
      <c r="J725" s="210"/>
      <c r="K725" s="150"/>
      <c r="O725"/>
    </row>
    <row r="726" spans="2:15" x14ac:dyDescent="0.25">
      <c r="B726" s="4"/>
      <c r="C726" s="4"/>
      <c r="D726" s="4"/>
      <c r="E726" s="278"/>
      <c r="F726" s="4"/>
      <c r="G726" s="4"/>
      <c r="H726" s="4"/>
      <c r="I726" s="210"/>
      <c r="J726" s="210"/>
      <c r="K726" s="150"/>
      <c r="O726"/>
    </row>
    <row r="727" spans="2:15" x14ac:dyDescent="0.25">
      <c r="B727" s="4"/>
      <c r="C727" s="4"/>
      <c r="D727" s="4"/>
      <c r="E727" s="278"/>
      <c r="F727" s="4"/>
      <c r="G727" s="4"/>
      <c r="H727" s="4"/>
      <c r="I727" s="210"/>
      <c r="J727" s="210"/>
      <c r="K727" s="150"/>
      <c r="O727"/>
    </row>
    <row r="728" spans="2:15" x14ac:dyDescent="0.25">
      <c r="B728" s="4"/>
      <c r="C728" s="4"/>
      <c r="D728" s="4"/>
      <c r="E728" s="278"/>
      <c r="F728" s="4"/>
      <c r="G728" s="4"/>
      <c r="H728" s="4"/>
      <c r="I728" s="210"/>
      <c r="J728" s="210"/>
      <c r="K728" s="150"/>
      <c r="O728"/>
    </row>
    <row r="729" spans="2:15" x14ac:dyDescent="0.25">
      <c r="B729" s="4"/>
      <c r="C729" s="4"/>
      <c r="D729" s="4"/>
      <c r="E729" s="278"/>
      <c r="F729" s="4"/>
      <c r="G729" s="4"/>
      <c r="H729" s="4"/>
      <c r="I729" s="210"/>
      <c r="J729" s="210"/>
      <c r="K729" s="150"/>
      <c r="O729"/>
    </row>
    <row r="730" spans="2:15" x14ac:dyDescent="0.25">
      <c r="B730" s="4"/>
      <c r="C730" s="4"/>
      <c r="D730" s="4"/>
      <c r="E730" s="278"/>
      <c r="F730" s="4"/>
      <c r="G730" s="4"/>
      <c r="H730" s="4"/>
      <c r="I730" s="210"/>
      <c r="J730" s="210"/>
      <c r="K730" s="150"/>
      <c r="O730"/>
    </row>
    <row r="731" spans="2:15" x14ac:dyDescent="0.25">
      <c r="B731" s="4"/>
      <c r="C731" s="4"/>
      <c r="D731" s="4"/>
      <c r="E731" s="278"/>
      <c r="F731" s="4"/>
      <c r="G731" s="4"/>
      <c r="H731" s="4"/>
      <c r="I731" s="210"/>
      <c r="J731" s="210"/>
      <c r="K731" s="150"/>
      <c r="O731"/>
    </row>
    <row r="732" spans="2:15" x14ac:dyDescent="0.25">
      <c r="B732" s="4"/>
      <c r="C732" s="4"/>
      <c r="D732" s="4"/>
      <c r="E732" s="278"/>
      <c r="F732" s="4"/>
      <c r="G732" s="4"/>
      <c r="H732" s="4"/>
      <c r="I732" s="210"/>
      <c r="J732" s="210"/>
      <c r="K732" s="150"/>
      <c r="O732"/>
    </row>
    <row r="733" spans="2:15" x14ac:dyDescent="0.25">
      <c r="B733" s="4"/>
      <c r="C733" s="4"/>
      <c r="D733" s="4"/>
      <c r="E733" s="278"/>
      <c r="F733" s="4"/>
      <c r="G733" s="4"/>
      <c r="H733" s="4"/>
      <c r="I733" s="210"/>
      <c r="J733" s="210"/>
      <c r="K733" s="150"/>
      <c r="O733"/>
    </row>
    <row r="734" spans="2:15" x14ac:dyDescent="0.25">
      <c r="B734" s="4"/>
      <c r="C734" s="4"/>
      <c r="D734" s="4"/>
      <c r="E734" s="278"/>
      <c r="F734" s="4"/>
      <c r="G734" s="4"/>
      <c r="H734" s="4"/>
      <c r="I734" s="210"/>
      <c r="J734" s="210"/>
      <c r="K734" s="150"/>
      <c r="O734"/>
    </row>
    <row r="735" spans="2:15" x14ac:dyDescent="0.25">
      <c r="B735" s="4"/>
      <c r="C735" s="4"/>
      <c r="D735" s="4"/>
      <c r="E735" s="278"/>
      <c r="F735" s="4"/>
      <c r="G735" s="4"/>
      <c r="H735" s="4"/>
      <c r="I735" s="210"/>
      <c r="J735" s="210"/>
      <c r="K735" s="150"/>
      <c r="O735"/>
    </row>
    <row r="736" spans="2:15" x14ac:dyDescent="0.25">
      <c r="B736" s="4"/>
      <c r="C736" s="4"/>
      <c r="D736" s="4"/>
      <c r="E736" s="278"/>
      <c r="F736" s="4"/>
      <c r="G736" s="4"/>
      <c r="H736" s="4"/>
      <c r="I736" s="210"/>
      <c r="J736" s="210"/>
      <c r="K736" s="150"/>
      <c r="O736"/>
    </row>
    <row r="737" spans="2:15" x14ac:dyDescent="0.25">
      <c r="B737" s="4"/>
      <c r="C737" s="4"/>
      <c r="D737" s="4"/>
      <c r="E737" s="278"/>
      <c r="F737" s="4"/>
      <c r="G737" s="4"/>
      <c r="H737" s="4"/>
      <c r="I737" s="210"/>
      <c r="J737" s="210"/>
      <c r="K737" s="150"/>
      <c r="O737"/>
    </row>
    <row r="738" spans="2:15" x14ac:dyDescent="0.25">
      <c r="B738" s="4"/>
      <c r="C738" s="4"/>
      <c r="D738" s="4"/>
      <c r="E738" s="278"/>
      <c r="F738" s="4"/>
      <c r="G738" s="4"/>
      <c r="H738" s="4"/>
      <c r="I738" s="210"/>
      <c r="J738" s="210"/>
      <c r="K738" s="150"/>
      <c r="O738"/>
    </row>
    <row r="739" spans="2:15" x14ac:dyDescent="0.25">
      <c r="B739" s="4"/>
      <c r="C739" s="4"/>
      <c r="D739" s="4"/>
      <c r="E739" s="278"/>
      <c r="F739" s="4"/>
      <c r="G739" s="4"/>
      <c r="H739" s="4"/>
      <c r="I739" s="210"/>
      <c r="J739" s="210"/>
      <c r="K739" s="150"/>
      <c r="O739"/>
    </row>
    <row r="740" spans="2:15" x14ac:dyDescent="0.25">
      <c r="B740" s="4"/>
      <c r="C740" s="4"/>
      <c r="D740" s="4"/>
      <c r="E740" s="278"/>
      <c r="F740" s="4"/>
      <c r="G740" s="4"/>
      <c r="H740" s="4"/>
      <c r="I740" s="210"/>
      <c r="J740" s="210"/>
      <c r="K740" s="150"/>
      <c r="O740"/>
    </row>
    <row r="741" spans="2:15" x14ac:dyDescent="0.25">
      <c r="B741" s="4"/>
      <c r="C741" s="4"/>
      <c r="D741" s="4"/>
      <c r="E741" s="278"/>
      <c r="F741" s="4"/>
      <c r="G741" s="4"/>
      <c r="H741" s="4"/>
      <c r="I741" s="210"/>
      <c r="J741" s="210"/>
      <c r="K741" s="150"/>
      <c r="O741"/>
    </row>
    <row r="742" spans="2:15" x14ac:dyDescent="0.25">
      <c r="B742" s="4"/>
      <c r="C742" s="4"/>
      <c r="D742" s="4"/>
      <c r="E742" s="278"/>
      <c r="F742" s="4"/>
      <c r="G742" s="4"/>
      <c r="H742" s="4"/>
      <c r="I742" s="210"/>
      <c r="J742" s="210"/>
      <c r="K742" s="150"/>
      <c r="O742"/>
    </row>
    <row r="743" spans="2:15" x14ac:dyDescent="0.25">
      <c r="B743" s="4"/>
      <c r="C743" s="4"/>
      <c r="D743" s="4"/>
      <c r="E743" s="278"/>
      <c r="F743" s="4"/>
      <c r="G743" s="4"/>
      <c r="H743" s="4"/>
      <c r="I743" s="210"/>
      <c r="J743" s="210"/>
      <c r="K743" s="150"/>
      <c r="O743"/>
    </row>
    <row r="744" spans="2:15" x14ac:dyDescent="0.25">
      <c r="B744" s="4"/>
      <c r="C744" s="4"/>
      <c r="D744" s="4"/>
      <c r="E744" s="278"/>
      <c r="F744" s="4"/>
      <c r="G744" s="4"/>
      <c r="H744" s="4"/>
      <c r="I744" s="210"/>
      <c r="J744" s="210"/>
      <c r="K744" s="150"/>
      <c r="O744"/>
    </row>
    <row r="745" spans="2:15" x14ac:dyDescent="0.25">
      <c r="B745" s="4"/>
      <c r="C745" s="4"/>
      <c r="D745" s="4"/>
      <c r="E745" s="278"/>
      <c r="F745" s="4"/>
      <c r="G745" s="4"/>
      <c r="H745" s="4"/>
      <c r="I745" s="210"/>
      <c r="J745" s="210"/>
      <c r="K745" s="150"/>
      <c r="O745"/>
    </row>
    <row r="746" spans="2:15" x14ac:dyDescent="0.25">
      <c r="B746" s="4"/>
      <c r="C746" s="4"/>
      <c r="D746" s="4"/>
      <c r="E746" s="278"/>
      <c r="F746" s="4"/>
      <c r="G746" s="4"/>
      <c r="H746" s="4"/>
      <c r="I746" s="210"/>
      <c r="J746" s="210"/>
      <c r="K746" s="150"/>
      <c r="O746"/>
    </row>
    <row r="747" spans="2:15" x14ac:dyDescent="0.25">
      <c r="B747" s="4"/>
      <c r="C747" s="4"/>
      <c r="D747" s="4"/>
      <c r="E747" s="278"/>
      <c r="F747" s="4"/>
      <c r="G747" s="4"/>
      <c r="H747" s="4"/>
      <c r="I747" s="210"/>
      <c r="J747" s="210"/>
      <c r="K747" s="150"/>
      <c r="O747"/>
    </row>
    <row r="748" spans="2:15" x14ac:dyDescent="0.25">
      <c r="B748" s="4"/>
      <c r="C748" s="4"/>
      <c r="D748" s="4"/>
      <c r="E748" s="278"/>
      <c r="F748" s="4"/>
      <c r="G748" s="4"/>
      <c r="H748" s="4"/>
      <c r="I748" s="210"/>
      <c r="J748" s="210"/>
      <c r="K748" s="150"/>
      <c r="O748"/>
    </row>
    <row r="749" spans="2:15" x14ac:dyDescent="0.25">
      <c r="B749" s="4"/>
      <c r="C749" s="4"/>
      <c r="D749" s="4"/>
      <c r="E749" s="278"/>
      <c r="F749" s="4"/>
      <c r="G749" s="4"/>
      <c r="H749" s="4"/>
      <c r="I749" s="210"/>
      <c r="J749" s="210"/>
      <c r="K749" s="150"/>
      <c r="O749"/>
    </row>
    <row r="750" spans="2:15" x14ac:dyDescent="0.25">
      <c r="B750" s="4"/>
      <c r="C750" s="4"/>
      <c r="D750" s="4"/>
      <c r="E750" s="278"/>
      <c r="F750" s="4"/>
      <c r="G750" s="4"/>
      <c r="H750" s="4"/>
      <c r="I750" s="210"/>
      <c r="J750" s="210"/>
      <c r="K750" s="150"/>
      <c r="O750"/>
    </row>
    <row r="751" spans="2:15" x14ac:dyDescent="0.25">
      <c r="B751" s="4"/>
      <c r="C751" s="4"/>
      <c r="D751" s="4"/>
      <c r="E751" s="278"/>
      <c r="F751" s="4"/>
      <c r="G751" s="4"/>
      <c r="H751" s="4"/>
      <c r="I751" s="210"/>
      <c r="J751" s="210"/>
      <c r="K751" s="150"/>
      <c r="O751"/>
    </row>
    <row r="752" spans="2:15" x14ac:dyDescent="0.25">
      <c r="B752" s="4"/>
      <c r="C752" s="4"/>
      <c r="D752" s="4"/>
      <c r="E752" s="278"/>
      <c r="F752" s="4"/>
      <c r="G752" s="4"/>
      <c r="H752" s="4"/>
      <c r="I752" s="210"/>
      <c r="J752" s="210"/>
      <c r="K752" s="150"/>
      <c r="O752"/>
    </row>
    <row r="753" spans="2:15" x14ac:dyDescent="0.25">
      <c r="B753" s="4"/>
      <c r="C753" s="4"/>
      <c r="D753" s="4"/>
      <c r="E753" s="278"/>
      <c r="F753" s="4"/>
      <c r="G753" s="4"/>
      <c r="H753" s="4"/>
      <c r="I753" s="210"/>
      <c r="J753" s="210"/>
      <c r="K753" s="150"/>
      <c r="O753"/>
    </row>
    <row r="754" spans="2:15" x14ac:dyDescent="0.25">
      <c r="B754" s="4"/>
      <c r="C754" s="4"/>
      <c r="D754" s="4"/>
      <c r="E754" s="278"/>
      <c r="F754" s="4"/>
      <c r="G754" s="4"/>
      <c r="H754" s="4"/>
      <c r="I754" s="210"/>
      <c r="J754" s="210"/>
      <c r="K754" s="150"/>
      <c r="O754"/>
    </row>
    <row r="755" spans="2:15" x14ac:dyDescent="0.25">
      <c r="B755" s="4"/>
      <c r="C755" s="4"/>
      <c r="D755" s="4"/>
      <c r="E755" s="278"/>
      <c r="F755" s="4"/>
      <c r="G755" s="4"/>
      <c r="H755" s="4"/>
      <c r="I755" s="210"/>
      <c r="J755" s="210"/>
      <c r="K755" s="150"/>
      <c r="O755"/>
    </row>
    <row r="756" spans="2:15" x14ac:dyDescent="0.25">
      <c r="B756" s="4"/>
      <c r="C756" s="4"/>
      <c r="D756" s="4"/>
      <c r="E756" s="278"/>
      <c r="F756" s="4"/>
      <c r="G756" s="4"/>
      <c r="H756" s="4"/>
      <c r="I756" s="210"/>
      <c r="J756" s="210"/>
      <c r="K756" s="150"/>
      <c r="O756"/>
    </row>
    <row r="757" spans="2:15" x14ac:dyDescent="0.25">
      <c r="B757" s="4"/>
      <c r="C757" s="4"/>
      <c r="D757" s="4"/>
      <c r="E757" s="278"/>
      <c r="F757" s="4"/>
      <c r="G757" s="4"/>
      <c r="H757" s="4"/>
      <c r="I757" s="210"/>
      <c r="J757" s="210"/>
      <c r="K757" s="150"/>
      <c r="O757"/>
    </row>
    <row r="758" spans="2:15" x14ac:dyDescent="0.25">
      <c r="B758" s="4"/>
      <c r="C758" s="4"/>
      <c r="D758" s="4"/>
      <c r="E758" s="278"/>
      <c r="F758" s="4"/>
      <c r="G758" s="4"/>
      <c r="H758" s="4"/>
      <c r="I758" s="210"/>
      <c r="J758" s="210"/>
      <c r="K758" s="150"/>
      <c r="O758"/>
    </row>
    <row r="759" spans="2:15" x14ac:dyDescent="0.25">
      <c r="B759" s="4"/>
      <c r="C759" s="4"/>
      <c r="D759" s="4"/>
      <c r="E759" s="278"/>
      <c r="F759" s="4"/>
      <c r="G759" s="4"/>
      <c r="H759" s="4"/>
      <c r="I759" s="210"/>
      <c r="J759" s="210"/>
      <c r="K759" s="150"/>
      <c r="O759"/>
    </row>
    <row r="760" spans="2:15" x14ac:dyDescent="0.25">
      <c r="B760" s="4"/>
      <c r="C760" s="4"/>
      <c r="D760" s="4"/>
      <c r="E760" s="278"/>
      <c r="F760" s="4"/>
      <c r="G760" s="4"/>
      <c r="H760" s="4"/>
      <c r="I760" s="210"/>
      <c r="J760" s="210"/>
      <c r="K760" s="150"/>
      <c r="O760"/>
    </row>
    <row r="761" spans="2:15" x14ac:dyDescent="0.25">
      <c r="B761" s="4"/>
      <c r="C761" s="4"/>
      <c r="D761" s="4"/>
      <c r="E761" s="278"/>
      <c r="F761" s="4"/>
      <c r="G761" s="4"/>
      <c r="H761" s="4"/>
      <c r="I761" s="210"/>
      <c r="J761" s="210"/>
      <c r="K761" s="150"/>
      <c r="O761"/>
    </row>
    <row r="762" spans="2:15" x14ac:dyDescent="0.25">
      <c r="B762" s="4"/>
      <c r="C762" s="4"/>
      <c r="D762" s="4"/>
      <c r="E762" s="278"/>
      <c r="F762" s="4"/>
      <c r="G762" s="4"/>
      <c r="H762" s="4"/>
      <c r="I762" s="210"/>
      <c r="J762" s="210"/>
      <c r="K762" s="150"/>
      <c r="O762"/>
    </row>
    <row r="763" spans="2:15" x14ac:dyDescent="0.25">
      <c r="B763" s="4"/>
      <c r="C763" s="4"/>
      <c r="D763" s="4"/>
      <c r="E763" s="278"/>
      <c r="F763" s="4"/>
      <c r="G763" s="4"/>
      <c r="H763" s="4"/>
      <c r="I763" s="210"/>
      <c r="J763" s="210"/>
      <c r="K763" s="150"/>
      <c r="O763"/>
    </row>
    <row r="764" spans="2:15" x14ac:dyDescent="0.25">
      <c r="B764" s="4"/>
      <c r="C764" s="4"/>
      <c r="D764" s="4"/>
      <c r="E764" s="278"/>
      <c r="F764" s="4"/>
      <c r="G764" s="4"/>
      <c r="H764" s="4"/>
      <c r="I764" s="210"/>
      <c r="J764" s="210"/>
      <c r="K764" s="150"/>
      <c r="O764"/>
    </row>
    <row r="765" spans="2:15" x14ac:dyDescent="0.25">
      <c r="B765" s="4"/>
      <c r="C765" s="4"/>
      <c r="D765" s="4"/>
      <c r="E765" s="278"/>
      <c r="F765" s="4"/>
      <c r="G765" s="4"/>
      <c r="H765" s="4"/>
      <c r="I765" s="210"/>
      <c r="J765" s="210"/>
      <c r="K765" s="150"/>
      <c r="O765"/>
    </row>
    <row r="766" spans="2:15" x14ac:dyDescent="0.25">
      <c r="O766"/>
    </row>
    <row r="767" spans="2:15" x14ac:dyDescent="0.25">
      <c r="O767"/>
    </row>
    <row r="768" spans="2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  <row r="1030" spans="15:15" x14ac:dyDescent="0.25">
      <c r="O1030"/>
    </row>
    <row r="1031" spans="15:15" x14ac:dyDescent="0.25">
      <c r="O1031"/>
    </row>
    <row r="1032" spans="15:15" x14ac:dyDescent="0.25">
      <c r="O1032"/>
    </row>
    <row r="1033" spans="15:15" x14ac:dyDescent="0.25">
      <c r="O1033"/>
    </row>
    <row r="1034" spans="15:15" x14ac:dyDescent="0.25">
      <c r="O1034"/>
    </row>
    <row r="1035" spans="15:15" x14ac:dyDescent="0.25">
      <c r="O1035"/>
    </row>
    <row r="1036" spans="15:15" x14ac:dyDescent="0.25">
      <c r="O1036"/>
    </row>
    <row r="1037" spans="15:15" x14ac:dyDescent="0.25">
      <c r="O1037"/>
    </row>
    <row r="1038" spans="15:15" x14ac:dyDescent="0.25">
      <c r="O1038"/>
    </row>
    <row r="1039" spans="15:15" x14ac:dyDescent="0.25">
      <c r="O1039"/>
    </row>
    <row r="1040" spans="15:15" x14ac:dyDescent="0.25">
      <c r="O1040"/>
    </row>
    <row r="1041" spans="15:15" x14ac:dyDescent="0.25">
      <c r="O1041"/>
    </row>
    <row r="1042" spans="15:15" x14ac:dyDescent="0.25">
      <c r="O1042"/>
    </row>
    <row r="1043" spans="15:15" x14ac:dyDescent="0.25">
      <c r="O1043"/>
    </row>
    <row r="1044" spans="15:15" x14ac:dyDescent="0.25">
      <c r="O1044"/>
    </row>
    <row r="1045" spans="15:15" x14ac:dyDescent="0.25">
      <c r="O1045"/>
    </row>
    <row r="1046" spans="15:15" x14ac:dyDescent="0.25">
      <c r="O1046"/>
    </row>
    <row r="1047" spans="15:15" x14ac:dyDescent="0.25">
      <c r="O1047"/>
    </row>
    <row r="1048" spans="15:15" x14ac:dyDescent="0.25">
      <c r="O1048"/>
    </row>
    <row r="1049" spans="15:15" x14ac:dyDescent="0.25">
      <c r="O1049"/>
    </row>
    <row r="1050" spans="15:15" x14ac:dyDescent="0.25">
      <c r="O1050"/>
    </row>
    <row r="1051" spans="15:15" x14ac:dyDescent="0.25">
      <c r="O1051"/>
    </row>
    <row r="1052" spans="15:15" x14ac:dyDescent="0.25">
      <c r="O1052"/>
    </row>
    <row r="1053" spans="15:15" x14ac:dyDescent="0.25">
      <c r="O1053"/>
    </row>
    <row r="1054" spans="15:15" x14ac:dyDescent="0.25">
      <c r="O1054"/>
    </row>
    <row r="1055" spans="15:15" x14ac:dyDescent="0.25">
      <c r="O1055"/>
    </row>
    <row r="1056" spans="15:15" x14ac:dyDescent="0.25">
      <c r="O1056"/>
    </row>
    <row r="1057" spans="15:15" x14ac:dyDescent="0.25">
      <c r="O1057"/>
    </row>
    <row r="1058" spans="15:15" x14ac:dyDescent="0.25">
      <c r="O1058"/>
    </row>
    <row r="1059" spans="15:15" x14ac:dyDescent="0.25">
      <c r="O1059"/>
    </row>
    <row r="1060" spans="15:15" x14ac:dyDescent="0.25">
      <c r="O1060"/>
    </row>
    <row r="1061" spans="15:15" x14ac:dyDescent="0.25">
      <c r="O1061"/>
    </row>
    <row r="1062" spans="15:15" x14ac:dyDescent="0.25">
      <c r="O1062"/>
    </row>
    <row r="1063" spans="15:15" x14ac:dyDescent="0.25">
      <c r="O1063"/>
    </row>
    <row r="1064" spans="15:15" x14ac:dyDescent="0.25">
      <c r="O1064"/>
    </row>
    <row r="1065" spans="15:15" x14ac:dyDescent="0.25">
      <c r="O1065"/>
    </row>
    <row r="1066" spans="15:15" x14ac:dyDescent="0.25">
      <c r="O1066"/>
    </row>
    <row r="1067" spans="15:15" x14ac:dyDescent="0.25">
      <c r="O1067"/>
    </row>
    <row r="1068" spans="15:15" x14ac:dyDescent="0.25">
      <c r="O1068"/>
    </row>
    <row r="1069" spans="15:15" x14ac:dyDescent="0.25">
      <c r="O1069"/>
    </row>
    <row r="1070" spans="15:15" x14ac:dyDescent="0.25">
      <c r="O1070"/>
    </row>
    <row r="1071" spans="15:15" x14ac:dyDescent="0.25">
      <c r="O1071"/>
    </row>
    <row r="1072" spans="15:15" x14ac:dyDescent="0.25">
      <c r="O1072"/>
    </row>
    <row r="1073" spans="15:15" x14ac:dyDescent="0.25">
      <c r="O1073"/>
    </row>
    <row r="1074" spans="15:15" x14ac:dyDescent="0.25">
      <c r="O1074"/>
    </row>
    <row r="1075" spans="15:15" x14ac:dyDescent="0.25">
      <c r="O1075"/>
    </row>
    <row r="1076" spans="15:15" x14ac:dyDescent="0.25">
      <c r="O1076"/>
    </row>
    <row r="1077" spans="15:15" x14ac:dyDescent="0.25">
      <c r="O1077"/>
    </row>
    <row r="1078" spans="15:15" x14ac:dyDescent="0.25">
      <c r="O1078"/>
    </row>
    <row r="1079" spans="15:15" x14ac:dyDescent="0.25">
      <c r="O1079"/>
    </row>
    <row r="1080" spans="15:15" x14ac:dyDescent="0.25">
      <c r="O1080"/>
    </row>
    <row r="1081" spans="15:15" x14ac:dyDescent="0.25">
      <c r="O1081"/>
    </row>
    <row r="1082" spans="15:15" x14ac:dyDescent="0.25">
      <c r="O1082"/>
    </row>
    <row r="1083" spans="15:15" x14ac:dyDescent="0.25">
      <c r="O1083"/>
    </row>
    <row r="1084" spans="15:15" x14ac:dyDescent="0.25">
      <c r="O1084"/>
    </row>
    <row r="1085" spans="15:15" x14ac:dyDescent="0.25">
      <c r="O1085"/>
    </row>
    <row r="1086" spans="15:15" x14ac:dyDescent="0.25">
      <c r="O1086"/>
    </row>
    <row r="1087" spans="15:15" x14ac:dyDescent="0.25">
      <c r="O1087"/>
    </row>
    <row r="1088" spans="15:15" x14ac:dyDescent="0.25">
      <c r="O1088"/>
    </row>
    <row r="1089" spans="15:15" x14ac:dyDescent="0.25">
      <c r="O1089"/>
    </row>
    <row r="1090" spans="15:15" x14ac:dyDescent="0.25">
      <c r="O1090"/>
    </row>
    <row r="1091" spans="15:15" x14ac:dyDescent="0.25">
      <c r="O1091"/>
    </row>
    <row r="1092" spans="15:15" x14ac:dyDescent="0.25">
      <c r="O1092"/>
    </row>
    <row r="1093" spans="15:15" x14ac:dyDescent="0.25">
      <c r="O1093"/>
    </row>
    <row r="1094" spans="15:15" x14ac:dyDescent="0.25">
      <c r="O1094"/>
    </row>
    <row r="1095" spans="15:15" x14ac:dyDescent="0.25">
      <c r="O1095"/>
    </row>
    <row r="1096" spans="15:15" x14ac:dyDescent="0.25">
      <c r="O1096"/>
    </row>
    <row r="1097" spans="15:15" x14ac:dyDescent="0.25">
      <c r="O1097"/>
    </row>
    <row r="1098" spans="15:15" x14ac:dyDescent="0.25">
      <c r="O1098"/>
    </row>
    <row r="1099" spans="15:15" x14ac:dyDescent="0.25">
      <c r="O1099"/>
    </row>
    <row r="1100" spans="15:15" x14ac:dyDescent="0.25">
      <c r="O1100"/>
    </row>
    <row r="1101" spans="15:15" x14ac:dyDescent="0.25">
      <c r="O1101"/>
    </row>
    <row r="1102" spans="15:15" x14ac:dyDescent="0.25">
      <c r="O1102"/>
    </row>
    <row r="1103" spans="15:15" x14ac:dyDescent="0.25">
      <c r="O1103"/>
    </row>
    <row r="1104" spans="15:15" x14ac:dyDescent="0.25">
      <c r="O1104"/>
    </row>
    <row r="1105" spans="15:15" x14ac:dyDescent="0.25">
      <c r="O1105"/>
    </row>
    <row r="1106" spans="15:15" x14ac:dyDescent="0.25">
      <c r="O1106"/>
    </row>
    <row r="1107" spans="15:15" x14ac:dyDescent="0.25">
      <c r="O1107"/>
    </row>
    <row r="1108" spans="15:15" x14ac:dyDescent="0.25">
      <c r="O1108"/>
    </row>
    <row r="1109" spans="15:15" x14ac:dyDescent="0.25">
      <c r="O1109"/>
    </row>
    <row r="1110" spans="15:15" x14ac:dyDescent="0.25">
      <c r="O1110"/>
    </row>
    <row r="1111" spans="15:15" x14ac:dyDescent="0.25">
      <c r="O1111"/>
    </row>
    <row r="1112" spans="15:15" x14ac:dyDescent="0.25">
      <c r="O1112"/>
    </row>
    <row r="1113" spans="15:15" x14ac:dyDescent="0.25">
      <c r="O1113"/>
    </row>
    <row r="1114" spans="15:15" x14ac:dyDescent="0.25">
      <c r="O1114"/>
    </row>
    <row r="1115" spans="15:15" x14ac:dyDescent="0.25">
      <c r="O1115"/>
    </row>
    <row r="1116" spans="15:15" x14ac:dyDescent="0.25">
      <c r="O1116"/>
    </row>
    <row r="1117" spans="15:15" x14ac:dyDescent="0.25">
      <c r="O1117"/>
    </row>
    <row r="1118" spans="15:15" x14ac:dyDescent="0.25">
      <c r="O1118"/>
    </row>
    <row r="1119" spans="15:15" x14ac:dyDescent="0.25">
      <c r="O1119"/>
    </row>
    <row r="1120" spans="15:15" x14ac:dyDescent="0.25">
      <c r="O1120"/>
    </row>
    <row r="1121" spans="15:15" x14ac:dyDescent="0.25">
      <c r="O1121"/>
    </row>
    <row r="1122" spans="15:15" x14ac:dyDescent="0.25">
      <c r="O1122"/>
    </row>
    <row r="1123" spans="15:15" x14ac:dyDescent="0.25">
      <c r="O1123"/>
    </row>
    <row r="1124" spans="15:15" x14ac:dyDescent="0.25">
      <c r="O1124"/>
    </row>
    <row r="1125" spans="15:15" x14ac:dyDescent="0.25">
      <c r="O1125"/>
    </row>
    <row r="1126" spans="15:15" x14ac:dyDescent="0.25">
      <c r="O1126"/>
    </row>
    <row r="1127" spans="15:15" x14ac:dyDescent="0.25">
      <c r="O1127"/>
    </row>
    <row r="1128" spans="15:15" x14ac:dyDescent="0.25">
      <c r="O1128"/>
    </row>
    <row r="1129" spans="15:15" x14ac:dyDescent="0.25">
      <c r="O1129"/>
    </row>
    <row r="1130" spans="15:15" x14ac:dyDescent="0.25">
      <c r="O1130"/>
    </row>
    <row r="1131" spans="15:15" x14ac:dyDescent="0.25">
      <c r="O1131"/>
    </row>
    <row r="1132" spans="15:15" x14ac:dyDescent="0.25">
      <c r="O1132"/>
    </row>
    <row r="1133" spans="15:15" x14ac:dyDescent="0.25">
      <c r="O1133"/>
    </row>
    <row r="1134" spans="15:15" x14ac:dyDescent="0.25">
      <c r="O1134"/>
    </row>
    <row r="1135" spans="15:15" x14ac:dyDescent="0.25">
      <c r="O1135"/>
    </row>
    <row r="1136" spans="15:15" x14ac:dyDescent="0.25">
      <c r="O1136"/>
    </row>
    <row r="1137" spans="15:15" x14ac:dyDescent="0.25">
      <c r="O1137"/>
    </row>
    <row r="1138" spans="15:15" x14ac:dyDescent="0.25">
      <c r="O1138"/>
    </row>
    <row r="1139" spans="15:15" x14ac:dyDescent="0.25">
      <c r="O1139"/>
    </row>
    <row r="1140" spans="15:15" x14ac:dyDescent="0.25">
      <c r="O1140"/>
    </row>
    <row r="1141" spans="15:15" x14ac:dyDescent="0.25">
      <c r="O1141"/>
    </row>
    <row r="1142" spans="15:15" x14ac:dyDescent="0.25">
      <c r="O1142"/>
    </row>
    <row r="1143" spans="15:15" x14ac:dyDescent="0.25">
      <c r="O1143"/>
    </row>
    <row r="1144" spans="15:15" x14ac:dyDescent="0.25">
      <c r="O1144"/>
    </row>
    <row r="1145" spans="15:15" x14ac:dyDescent="0.25">
      <c r="O1145"/>
    </row>
    <row r="1146" spans="15:15" x14ac:dyDescent="0.25">
      <c r="O1146"/>
    </row>
    <row r="1147" spans="15:15" x14ac:dyDescent="0.25">
      <c r="O1147"/>
    </row>
    <row r="1148" spans="15:15" x14ac:dyDescent="0.25">
      <c r="O1148"/>
    </row>
    <row r="1149" spans="15:15" x14ac:dyDescent="0.25">
      <c r="O1149"/>
    </row>
    <row r="1150" spans="15:15" x14ac:dyDescent="0.25">
      <c r="O1150"/>
    </row>
    <row r="1151" spans="15:15" x14ac:dyDescent="0.25">
      <c r="O1151"/>
    </row>
    <row r="1152" spans="15:15" x14ac:dyDescent="0.25">
      <c r="O1152"/>
    </row>
    <row r="1153" spans="15:15" x14ac:dyDescent="0.25">
      <c r="O1153"/>
    </row>
    <row r="1154" spans="15:15" x14ac:dyDescent="0.25">
      <c r="O1154"/>
    </row>
    <row r="1155" spans="15:15" x14ac:dyDescent="0.25">
      <c r="O1155"/>
    </row>
    <row r="1156" spans="15:15" x14ac:dyDescent="0.25">
      <c r="O1156"/>
    </row>
    <row r="1157" spans="15:15" x14ac:dyDescent="0.25">
      <c r="O1157"/>
    </row>
    <row r="1158" spans="15:15" x14ac:dyDescent="0.25">
      <c r="O1158"/>
    </row>
    <row r="1159" spans="15:15" x14ac:dyDescent="0.25">
      <c r="O1159"/>
    </row>
    <row r="1160" spans="15:15" x14ac:dyDescent="0.25">
      <c r="O1160"/>
    </row>
    <row r="1161" spans="15:15" x14ac:dyDescent="0.25">
      <c r="O1161"/>
    </row>
    <row r="1162" spans="15:15" x14ac:dyDescent="0.25">
      <c r="O1162"/>
    </row>
    <row r="1163" spans="15:15" x14ac:dyDescent="0.25">
      <c r="O1163"/>
    </row>
    <row r="1164" spans="15:15" x14ac:dyDescent="0.25">
      <c r="O1164"/>
    </row>
    <row r="1165" spans="15:15" x14ac:dyDescent="0.25">
      <c r="O1165"/>
    </row>
    <row r="1166" spans="15:15" x14ac:dyDescent="0.25">
      <c r="O1166"/>
    </row>
    <row r="1167" spans="15:15" x14ac:dyDescent="0.25">
      <c r="O1167"/>
    </row>
    <row r="1168" spans="15:15" x14ac:dyDescent="0.25">
      <c r="O1168"/>
    </row>
    <row r="1169" spans="15:15" x14ac:dyDescent="0.25">
      <c r="O1169"/>
    </row>
    <row r="1170" spans="15:15" x14ac:dyDescent="0.25">
      <c r="O1170"/>
    </row>
    <row r="1171" spans="15:15" x14ac:dyDescent="0.25">
      <c r="O1171"/>
    </row>
    <row r="1172" spans="15:15" x14ac:dyDescent="0.25">
      <c r="O1172"/>
    </row>
    <row r="1173" spans="15:15" x14ac:dyDescent="0.25">
      <c r="O1173"/>
    </row>
    <row r="1174" spans="15:15" x14ac:dyDescent="0.25">
      <c r="O1174"/>
    </row>
    <row r="1175" spans="15:15" x14ac:dyDescent="0.25">
      <c r="O1175"/>
    </row>
    <row r="1176" spans="15:15" x14ac:dyDescent="0.25">
      <c r="O1176"/>
    </row>
    <row r="1177" spans="15:15" x14ac:dyDescent="0.25">
      <c r="O1177"/>
    </row>
    <row r="1178" spans="15:15" x14ac:dyDescent="0.25">
      <c r="O1178"/>
    </row>
    <row r="1179" spans="15:15" x14ac:dyDescent="0.25">
      <c r="O1179"/>
    </row>
    <row r="1180" spans="15:15" x14ac:dyDescent="0.25">
      <c r="O1180"/>
    </row>
    <row r="1181" spans="15:15" x14ac:dyDescent="0.25">
      <c r="O1181"/>
    </row>
    <row r="1182" spans="15:15" x14ac:dyDescent="0.25">
      <c r="O1182"/>
    </row>
    <row r="1183" spans="15:15" x14ac:dyDescent="0.25">
      <c r="O1183"/>
    </row>
    <row r="1184" spans="15:15" x14ac:dyDescent="0.25">
      <c r="O1184"/>
    </row>
    <row r="1185" spans="15:15" x14ac:dyDescent="0.25">
      <c r="O1185"/>
    </row>
    <row r="1186" spans="15:15" x14ac:dyDescent="0.25">
      <c r="O1186"/>
    </row>
    <row r="1187" spans="15:15" x14ac:dyDescent="0.25">
      <c r="O1187"/>
    </row>
    <row r="1188" spans="15:15" x14ac:dyDescent="0.25">
      <c r="O1188"/>
    </row>
    <row r="1189" spans="15:15" x14ac:dyDescent="0.25">
      <c r="O1189"/>
    </row>
    <row r="1190" spans="15:15" x14ac:dyDescent="0.25">
      <c r="O1190"/>
    </row>
    <row r="1191" spans="15:15" x14ac:dyDescent="0.25">
      <c r="O1191"/>
    </row>
    <row r="1192" spans="15:15" x14ac:dyDescent="0.25">
      <c r="O1192"/>
    </row>
    <row r="1193" spans="15:15" x14ac:dyDescent="0.25">
      <c r="O1193"/>
    </row>
    <row r="1194" spans="15:15" x14ac:dyDescent="0.25">
      <c r="O1194"/>
    </row>
    <row r="1195" spans="15:15" x14ac:dyDescent="0.25">
      <c r="O1195"/>
    </row>
    <row r="1196" spans="15:15" x14ac:dyDescent="0.25">
      <c r="O1196"/>
    </row>
    <row r="1197" spans="15:15" x14ac:dyDescent="0.25">
      <c r="O1197"/>
    </row>
    <row r="1198" spans="15:15" x14ac:dyDescent="0.25">
      <c r="O1198"/>
    </row>
    <row r="1199" spans="15:15" x14ac:dyDescent="0.25">
      <c r="O1199"/>
    </row>
    <row r="1200" spans="15:15" x14ac:dyDescent="0.25">
      <c r="O1200"/>
    </row>
    <row r="1201" spans="2:15" x14ac:dyDescent="0.25">
      <c r="O1201"/>
    </row>
    <row r="1202" spans="2:15" x14ac:dyDescent="0.25">
      <c r="O1202"/>
    </row>
    <row r="1203" spans="2:15" x14ac:dyDescent="0.25">
      <c r="B1203" s="4"/>
      <c r="C1203" s="4"/>
      <c r="D1203" s="4"/>
      <c r="E1203" s="4"/>
      <c r="F1203" s="4"/>
      <c r="G1203" s="4"/>
      <c r="H1203" s="4"/>
      <c r="I1203" s="210"/>
      <c r="J1203" s="210"/>
    </row>
    <row r="1204" spans="2:15" x14ac:dyDescent="0.25">
      <c r="B1204" s="4"/>
      <c r="C1204" s="4"/>
      <c r="D1204" s="4"/>
      <c r="E1204" s="4"/>
      <c r="F1204" s="4"/>
      <c r="G1204" s="4"/>
      <c r="H1204" s="4"/>
      <c r="I1204" s="210"/>
      <c r="J1204" s="210"/>
    </row>
    <row r="1205" spans="2:15" x14ac:dyDescent="0.25">
      <c r="B1205" s="4"/>
      <c r="C1205" s="4"/>
      <c r="D1205" s="4"/>
      <c r="E1205" s="4"/>
      <c r="F1205" s="4"/>
      <c r="G1205" s="4"/>
      <c r="H1205" s="4"/>
      <c r="I1205" s="210"/>
      <c r="J1205" s="210"/>
    </row>
    <row r="1206" spans="2:15" x14ac:dyDescent="0.25">
      <c r="B1206" s="4"/>
      <c r="C1206" s="4"/>
      <c r="D1206" s="4"/>
      <c r="E1206" s="4"/>
      <c r="F1206" s="4"/>
      <c r="G1206" s="4"/>
      <c r="H1206" s="4"/>
      <c r="I1206" s="210"/>
      <c r="J1206" s="210"/>
    </row>
    <row r="1207" spans="2:15" x14ac:dyDescent="0.25">
      <c r="B1207" s="4"/>
      <c r="C1207" s="4"/>
      <c r="D1207" s="4"/>
      <c r="E1207" s="4"/>
      <c r="F1207" s="4"/>
      <c r="G1207" s="4"/>
      <c r="H1207" s="4"/>
      <c r="I1207" s="210"/>
      <c r="J1207" s="210"/>
    </row>
    <row r="1208" spans="2:15" x14ac:dyDescent="0.25">
      <c r="B1208" s="4"/>
      <c r="C1208" s="4"/>
      <c r="D1208" s="4"/>
      <c r="E1208" s="4"/>
      <c r="F1208" s="4"/>
      <c r="G1208" s="4"/>
      <c r="H1208" s="4"/>
      <c r="I1208" s="210"/>
      <c r="J1208" s="210"/>
    </row>
    <row r="1209" spans="2:15" x14ac:dyDescent="0.25">
      <c r="B1209" s="4"/>
      <c r="C1209" s="4"/>
      <c r="D1209" s="4"/>
      <c r="E1209" s="4"/>
      <c r="F1209" s="4"/>
      <c r="G1209" s="4"/>
      <c r="H1209" s="4"/>
      <c r="I1209" s="210"/>
      <c r="J1209" s="210"/>
    </row>
    <row r="1210" spans="2:15" x14ac:dyDescent="0.25">
      <c r="B1210" s="4"/>
      <c r="C1210" s="4"/>
      <c r="D1210" s="4"/>
      <c r="E1210" s="4"/>
      <c r="F1210" s="4"/>
      <c r="G1210" s="4"/>
      <c r="H1210" s="4"/>
      <c r="I1210" s="210"/>
      <c r="J1210" s="210"/>
    </row>
    <row r="1211" spans="2:15" x14ac:dyDescent="0.25">
      <c r="B1211" s="4"/>
      <c r="C1211" s="4"/>
      <c r="D1211" s="4"/>
      <c r="E1211" s="4"/>
      <c r="F1211" s="4"/>
      <c r="G1211" s="4"/>
      <c r="H1211" s="4"/>
      <c r="I1211" s="210"/>
      <c r="J1211" s="210"/>
    </row>
    <row r="1212" spans="2:15" x14ac:dyDescent="0.25">
      <c r="B1212" s="4"/>
      <c r="C1212" s="4"/>
      <c r="D1212" s="4"/>
      <c r="E1212" s="4"/>
      <c r="F1212" s="4"/>
      <c r="G1212" s="4"/>
      <c r="H1212" s="4"/>
      <c r="I1212" s="210"/>
      <c r="J1212" s="210"/>
    </row>
    <row r="1213" spans="2:15" x14ac:dyDescent="0.25">
      <c r="B1213" s="4"/>
      <c r="C1213" s="4"/>
      <c r="D1213" s="4"/>
      <c r="E1213" s="4"/>
      <c r="F1213" s="4"/>
      <c r="G1213" s="4"/>
      <c r="H1213" s="4"/>
      <c r="I1213" s="210"/>
      <c r="J1213" s="210"/>
    </row>
    <row r="1214" spans="2:15" x14ac:dyDescent="0.25">
      <c r="B1214" s="4"/>
      <c r="C1214" s="4"/>
      <c r="D1214" s="4"/>
      <c r="E1214" s="4"/>
      <c r="F1214" s="4"/>
      <c r="G1214" s="4"/>
      <c r="H1214" s="4"/>
      <c r="I1214" s="210"/>
      <c r="J1214" s="210"/>
    </row>
    <row r="1215" spans="2:15" x14ac:dyDescent="0.25">
      <c r="B1215" s="4"/>
      <c r="C1215" s="4"/>
      <c r="D1215" s="4"/>
      <c r="E1215" s="4"/>
      <c r="F1215" s="4"/>
      <c r="G1215" s="4"/>
      <c r="H1215" s="4"/>
      <c r="I1215" s="210"/>
      <c r="J1215" s="210"/>
    </row>
    <row r="1216" spans="2:15" x14ac:dyDescent="0.25">
      <c r="B1216" s="4"/>
      <c r="C1216" s="4"/>
      <c r="D1216" s="4"/>
      <c r="E1216" s="4"/>
      <c r="F1216" s="4"/>
      <c r="G1216" s="4"/>
      <c r="H1216" s="4"/>
      <c r="I1216" s="210"/>
      <c r="J1216" s="210"/>
    </row>
    <row r="1217" spans="2:10" x14ac:dyDescent="0.25">
      <c r="B1217" s="4"/>
      <c r="C1217" s="4"/>
      <c r="D1217" s="4"/>
      <c r="E1217" s="4"/>
      <c r="F1217" s="4"/>
      <c r="G1217" s="4"/>
      <c r="H1217" s="4"/>
      <c r="I1217" s="210"/>
      <c r="J1217" s="210"/>
    </row>
    <row r="1218" spans="2:10" x14ac:dyDescent="0.25">
      <c r="B1218" s="4"/>
      <c r="C1218" s="4"/>
      <c r="D1218" s="4"/>
      <c r="E1218" s="4"/>
      <c r="F1218" s="4"/>
      <c r="G1218" s="4"/>
      <c r="H1218" s="4"/>
      <c r="I1218" s="210"/>
      <c r="J1218" s="210"/>
    </row>
    <row r="1219" spans="2:10" x14ac:dyDescent="0.25">
      <c r="B1219" s="4"/>
      <c r="C1219" s="4"/>
      <c r="D1219" s="4"/>
      <c r="E1219" s="4"/>
      <c r="F1219" s="4"/>
      <c r="G1219" s="4"/>
      <c r="H1219" s="4"/>
      <c r="I1219" s="210"/>
      <c r="J1219" s="210"/>
    </row>
    <row r="1220" spans="2:10" x14ac:dyDescent="0.25">
      <c r="B1220" s="4"/>
      <c r="C1220" s="4"/>
      <c r="D1220" s="4"/>
      <c r="E1220" s="4"/>
      <c r="F1220" s="4"/>
      <c r="G1220" s="4"/>
      <c r="H1220" s="4"/>
      <c r="I1220" s="210"/>
      <c r="J1220" s="210"/>
    </row>
    <row r="1221" spans="2:10" x14ac:dyDescent="0.25">
      <c r="B1221" s="4"/>
      <c r="C1221" s="4"/>
      <c r="D1221" s="4"/>
      <c r="E1221" s="4"/>
      <c r="F1221" s="4"/>
      <c r="G1221" s="4"/>
      <c r="H1221" s="4"/>
      <c r="I1221" s="210"/>
      <c r="J1221" s="210"/>
    </row>
    <row r="1222" spans="2:10" x14ac:dyDescent="0.25">
      <c r="B1222" s="4"/>
      <c r="C1222" s="4"/>
      <c r="D1222" s="4"/>
      <c r="E1222" s="4"/>
      <c r="F1222" s="4"/>
      <c r="G1222" s="4"/>
      <c r="H1222" s="4"/>
      <c r="I1222" s="210"/>
      <c r="J1222" s="210"/>
    </row>
    <row r="1223" spans="2:10" x14ac:dyDescent="0.25">
      <c r="B1223" s="4"/>
      <c r="C1223" s="4"/>
      <c r="D1223" s="4"/>
      <c r="E1223" s="4"/>
      <c r="F1223" s="4"/>
      <c r="G1223" s="4"/>
      <c r="H1223" s="4"/>
      <c r="I1223" s="210"/>
      <c r="J1223" s="210"/>
    </row>
    <row r="1224" spans="2:10" x14ac:dyDescent="0.25">
      <c r="B1224" s="4"/>
      <c r="C1224" s="4"/>
      <c r="D1224" s="4"/>
      <c r="E1224" s="4"/>
      <c r="F1224" s="4"/>
      <c r="G1224" s="4"/>
      <c r="H1224" s="4"/>
      <c r="I1224" s="210"/>
      <c r="J1224" s="210"/>
    </row>
    <row r="1225" spans="2:10" x14ac:dyDescent="0.25">
      <c r="B1225" s="4"/>
      <c r="C1225" s="4"/>
      <c r="D1225" s="4"/>
      <c r="E1225" s="4"/>
      <c r="F1225" s="4"/>
      <c r="G1225" s="4"/>
      <c r="H1225" s="4"/>
      <c r="I1225" s="210"/>
      <c r="J1225" s="210"/>
    </row>
    <row r="1226" spans="2:10" x14ac:dyDescent="0.25">
      <c r="B1226" s="4"/>
      <c r="C1226" s="4"/>
      <c r="D1226" s="4"/>
      <c r="E1226" s="4"/>
      <c r="F1226" s="4"/>
      <c r="G1226" s="4"/>
      <c r="H1226" s="4"/>
      <c r="I1226" s="210"/>
      <c r="J1226" s="210"/>
    </row>
    <row r="1227" spans="2:10" x14ac:dyDescent="0.25">
      <c r="B1227" s="4"/>
      <c r="C1227" s="4"/>
      <c r="D1227" s="4"/>
      <c r="E1227" s="4"/>
      <c r="F1227" s="4"/>
      <c r="G1227" s="4"/>
      <c r="H1227" s="4"/>
      <c r="I1227" s="210"/>
      <c r="J1227" s="210"/>
    </row>
    <row r="1228" spans="2:10" x14ac:dyDescent="0.25">
      <c r="B1228" s="4"/>
      <c r="C1228" s="4"/>
      <c r="D1228" s="4"/>
      <c r="E1228" s="4"/>
      <c r="F1228" s="4"/>
      <c r="G1228" s="4"/>
      <c r="H1228" s="4"/>
      <c r="I1228" s="210"/>
      <c r="J1228" s="210"/>
    </row>
    <row r="1229" spans="2:10" x14ac:dyDescent="0.25">
      <c r="B1229" s="4"/>
      <c r="C1229" s="4"/>
      <c r="D1229" s="4"/>
      <c r="E1229" s="4"/>
      <c r="F1229" s="4"/>
      <c r="G1229" s="4"/>
      <c r="H1229" s="4"/>
      <c r="I1229" s="210"/>
      <c r="J1229" s="210"/>
    </row>
    <row r="1230" spans="2:10" x14ac:dyDescent="0.25">
      <c r="B1230" s="4"/>
      <c r="C1230" s="4"/>
      <c r="D1230" s="4"/>
      <c r="E1230" s="4"/>
      <c r="F1230" s="4"/>
      <c r="G1230" s="4"/>
      <c r="H1230" s="4"/>
      <c r="I1230" s="210"/>
      <c r="J1230" s="210"/>
    </row>
    <row r="1231" spans="2:10" x14ac:dyDescent="0.25">
      <c r="B1231" s="4"/>
      <c r="C1231" s="4"/>
      <c r="D1231" s="4"/>
      <c r="E1231" s="4"/>
      <c r="F1231" s="4"/>
      <c r="G1231" s="4"/>
      <c r="H1231" s="4"/>
      <c r="I1231" s="210"/>
      <c r="J1231" s="210"/>
    </row>
    <row r="1232" spans="2:10" x14ac:dyDescent="0.25">
      <c r="B1232" s="4"/>
      <c r="C1232" s="4"/>
      <c r="D1232" s="4"/>
      <c r="E1232" s="4"/>
      <c r="F1232" s="4"/>
      <c r="G1232" s="4"/>
      <c r="H1232" s="4"/>
      <c r="I1232" s="210"/>
      <c r="J1232" s="210"/>
    </row>
    <row r="1233" spans="2:10" x14ac:dyDescent="0.25">
      <c r="B1233" s="4"/>
      <c r="C1233" s="4"/>
      <c r="D1233" s="4"/>
      <c r="E1233" s="4"/>
      <c r="F1233" s="4"/>
      <c r="G1233" s="4"/>
      <c r="H1233" s="4"/>
      <c r="I1233" s="210"/>
      <c r="J1233" s="210"/>
    </row>
    <row r="1234" spans="2:10" x14ac:dyDescent="0.25">
      <c r="B1234" s="4"/>
      <c r="C1234" s="4"/>
      <c r="D1234" s="4"/>
      <c r="E1234" s="4"/>
      <c r="F1234" s="4"/>
      <c r="G1234" s="4"/>
      <c r="H1234" s="4"/>
      <c r="I1234" s="210"/>
      <c r="J1234" s="210"/>
    </row>
    <row r="1235" spans="2:10" x14ac:dyDescent="0.25">
      <c r="B1235" s="4"/>
      <c r="C1235" s="4"/>
      <c r="D1235" s="4"/>
      <c r="E1235" s="4"/>
      <c r="F1235" s="4"/>
      <c r="G1235" s="4"/>
      <c r="H1235" s="4"/>
      <c r="I1235" s="210"/>
      <c r="J1235" s="210"/>
    </row>
    <row r="1236" spans="2:10" x14ac:dyDescent="0.25">
      <c r="B1236" s="4"/>
      <c r="C1236" s="4"/>
      <c r="D1236" s="4"/>
      <c r="E1236" s="4"/>
      <c r="F1236" s="4"/>
      <c r="G1236" s="4"/>
      <c r="H1236" s="4"/>
      <c r="I1236" s="210"/>
      <c r="J1236" s="210"/>
    </row>
    <row r="1237" spans="2:10" x14ac:dyDescent="0.25">
      <c r="B1237" s="4"/>
      <c r="C1237" s="4"/>
      <c r="D1237" s="4"/>
      <c r="E1237" s="4"/>
      <c r="F1237" s="4"/>
      <c r="G1237" s="4"/>
      <c r="H1237" s="4"/>
      <c r="I1237" s="210"/>
      <c r="J1237" s="210"/>
    </row>
    <row r="1238" spans="2:10" x14ac:dyDescent="0.25">
      <c r="B1238" s="4"/>
      <c r="C1238" s="4"/>
      <c r="D1238" s="4"/>
      <c r="E1238" s="4"/>
      <c r="F1238" s="4"/>
      <c r="G1238" s="4"/>
      <c r="H1238" s="4"/>
      <c r="I1238" s="210"/>
      <c r="J1238" s="210"/>
    </row>
    <row r="1239" spans="2:10" x14ac:dyDescent="0.25">
      <c r="B1239" s="4"/>
      <c r="C1239" s="4"/>
      <c r="D1239" s="4"/>
      <c r="E1239" s="4"/>
      <c r="F1239" s="4"/>
      <c r="G1239" s="4"/>
      <c r="H1239" s="4"/>
      <c r="I1239" s="210"/>
      <c r="J1239" s="210"/>
    </row>
    <row r="1240" spans="2:10" x14ac:dyDescent="0.25">
      <c r="B1240" s="4"/>
      <c r="C1240" s="4"/>
      <c r="D1240" s="4"/>
      <c r="E1240" s="4"/>
      <c r="F1240" s="4"/>
      <c r="G1240" s="4"/>
      <c r="H1240" s="4"/>
      <c r="I1240" s="210"/>
      <c r="J1240" s="210"/>
    </row>
    <row r="1241" spans="2:10" x14ac:dyDescent="0.25">
      <c r="B1241" s="4"/>
      <c r="C1241" s="4"/>
      <c r="D1241" s="4"/>
      <c r="E1241" s="4"/>
      <c r="F1241" s="4"/>
      <c r="G1241" s="4"/>
      <c r="H1241" s="4"/>
      <c r="I1241" s="210"/>
      <c r="J1241" s="210"/>
    </row>
    <row r="1242" spans="2:10" x14ac:dyDescent="0.25">
      <c r="B1242" s="4"/>
      <c r="C1242" s="4"/>
      <c r="D1242" s="4"/>
      <c r="E1242" s="4"/>
      <c r="F1242" s="4"/>
      <c r="G1242" s="4"/>
      <c r="H1242" s="4"/>
      <c r="I1242" s="210"/>
      <c r="J1242" s="210"/>
    </row>
    <row r="1243" spans="2:10" x14ac:dyDescent="0.25">
      <c r="B1243" s="4"/>
      <c r="C1243" s="4"/>
      <c r="D1243" s="4"/>
      <c r="E1243" s="4"/>
      <c r="F1243" s="4"/>
      <c r="G1243" s="4"/>
      <c r="H1243" s="4"/>
      <c r="I1243" s="210"/>
      <c r="J1243" s="210"/>
    </row>
    <row r="1244" spans="2:10" x14ac:dyDescent="0.25">
      <c r="B1244" s="4"/>
      <c r="C1244" s="4"/>
      <c r="D1244" s="4"/>
      <c r="E1244" s="4"/>
      <c r="F1244" s="4"/>
      <c r="G1244" s="4"/>
      <c r="H1244" s="4"/>
      <c r="I1244" s="210"/>
      <c r="J1244" s="210"/>
    </row>
    <row r="1245" spans="2:10" x14ac:dyDescent="0.25">
      <c r="B1245" s="4"/>
      <c r="C1245" s="4"/>
      <c r="D1245" s="4"/>
      <c r="E1245" s="4"/>
      <c r="F1245" s="4"/>
      <c r="G1245" s="4"/>
      <c r="H1245" s="4"/>
      <c r="I1245" s="210"/>
      <c r="J1245" s="210"/>
    </row>
    <row r="1246" spans="2:10" x14ac:dyDescent="0.25">
      <c r="B1246" s="4"/>
      <c r="C1246" s="4"/>
      <c r="D1246" s="4"/>
      <c r="E1246" s="4"/>
      <c r="F1246" s="4"/>
      <c r="G1246" s="4"/>
      <c r="H1246" s="4"/>
      <c r="I1246" s="210"/>
      <c r="J1246" s="210"/>
    </row>
    <row r="1247" spans="2:10" x14ac:dyDescent="0.25">
      <c r="B1247" s="4"/>
      <c r="C1247" s="4"/>
      <c r="D1247" s="4"/>
      <c r="E1247" s="4"/>
      <c r="F1247" s="4"/>
      <c r="G1247" s="4"/>
      <c r="H1247" s="4"/>
      <c r="I1247" s="210"/>
      <c r="J1247" s="210"/>
    </row>
    <row r="1248" spans="2:10" x14ac:dyDescent="0.25">
      <c r="B1248" s="4"/>
      <c r="C1248" s="4"/>
      <c r="D1248" s="4"/>
      <c r="E1248" s="4"/>
      <c r="F1248" s="4"/>
      <c r="G1248" s="4"/>
      <c r="H1248" s="4"/>
      <c r="I1248" s="210"/>
      <c r="J1248" s="210"/>
    </row>
    <row r="1249" spans="2:10" x14ac:dyDescent="0.25">
      <c r="B1249" s="4"/>
      <c r="C1249" s="4"/>
      <c r="D1249" s="4"/>
      <c r="E1249" s="4"/>
      <c r="F1249" s="4"/>
      <c r="G1249" s="4"/>
      <c r="H1249" s="4"/>
      <c r="I1249" s="210"/>
      <c r="J1249" s="210"/>
    </row>
    <row r="1250" spans="2:10" x14ac:dyDescent="0.25">
      <c r="B1250" s="4"/>
      <c r="C1250" s="4"/>
      <c r="D1250" s="4"/>
      <c r="E1250" s="4"/>
      <c r="F1250" s="4"/>
      <c r="G1250" s="4"/>
      <c r="H1250" s="4"/>
      <c r="I1250" s="210"/>
      <c r="J1250" s="210"/>
    </row>
    <row r="1251" spans="2:10" x14ac:dyDescent="0.25">
      <c r="B1251" s="4"/>
      <c r="C1251" s="4"/>
      <c r="D1251" s="4"/>
      <c r="E1251" s="4"/>
      <c r="F1251" s="4"/>
      <c r="G1251" s="4"/>
      <c r="H1251" s="4"/>
      <c r="I1251" s="210"/>
      <c r="J1251" s="210"/>
    </row>
    <row r="1252" spans="2:10" x14ac:dyDescent="0.25">
      <c r="B1252" s="4"/>
      <c r="C1252" s="4"/>
      <c r="D1252" s="4"/>
      <c r="E1252" s="4"/>
      <c r="F1252" s="4"/>
      <c r="G1252" s="4"/>
      <c r="H1252" s="4"/>
      <c r="I1252" s="210"/>
      <c r="J1252" s="210"/>
    </row>
    <row r="1253" spans="2:10" x14ac:dyDescent="0.25">
      <c r="B1253" s="4"/>
      <c r="C1253" s="4"/>
      <c r="D1253" s="4"/>
      <c r="E1253" s="4"/>
      <c r="F1253" s="4"/>
      <c r="G1253" s="4"/>
      <c r="H1253" s="4"/>
      <c r="I1253" s="210"/>
      <c r="J1253" s="210"/>
    </row>
    <row r="1254" spans="2:10" x14ac:dyDescent="0.25">
      <c r="B1254" s="4"/>
      <c r="C1254" s="4"/>
      <c r="D1254" s="4"/>
      <c r="E1254" s="4"/>
      <c r="F1254" s="4"/>
      <c r="G1254" s="4"/>
      <c r="H1254" s="4"/>
      <c r="I1254" s="210"/>
      <c r="J1254" s="210"/>
    </row>
    <row r="1255" spans="2:10" x14ac:dyDescent="0.25">
      <c r="B1255" s="4"/>
      <c r="C1255" s="4"/>
      <c r="D1255" s="4"/>
      <c r="E1255" s="4"/>
      <c r="F1255" s="4"/>
      <c r="G1255" s="4"/>
      <c r="H1255" s="4"/>
      <c r="I1255" s="210"/>
      <c r="J1255" s="210"/>
    </row>
    <row r="1256" spans="2:10" x14ac:dyDescent="0.25">
      <c r="B1256" s="4"/>
      <c r="C1256" s="4"/>
      <c r="D1256" s="4"/>
      <c r="E1256" s="4"/>
      <c r="F1256" s="4"/>
      <c r="G1256" s="4"/>
      <c r="H1256" s="4"/>
      <c r="I1256" s="210"/>
      <c r="J1256" s="210"/>
    </row>
    <row r="1257" spans="2:10" x14ac:dyDescent="0.25">
      <c r="B1257" s="4"/>
      <c r="C1257" s="4"/>
      <c r="D1257" s="4"/>
      <c r="E1257" s="4"/>
      <c r="F1257" s="4"/>
      <c r="G1257" s="4"/>
      <c r="H1257" s="4"/>
      <c r="I1257" s="210"/>
      <c r="J1257" s="210"/>
    </row>
    <row r="1258" spans="2:10" x14ac:dyDescent="0.25">
      <c r="B1258" s="4"/>
      <c r="C1258" s="4"/>
      <c r="D1258" s="4"/>
      <c r="E1258" s="4"/>
      <c r="F1258" s="4"/>
      <c r="G1258" s="4"/>
      <c r="H1258" s="4"/>
      <c r="I1258" s="210"/>
      <c r="J1258" s="210"/>
    </row>
    <row r="1259" spans="2:10" x14ac:dyDescent="0.25">
      <c r="B1259" s="4"/>
      <c r="C1259" s="4"/>
      <c r="D1259" s="4"/>
      <c r="E1259" s="4"/>
      <c r="F1259" s="4"/>
      <c r="G1259" s="4"/>
      <c r="H1259" s="4"/>
      <c r="I1259" s="210"/>
      <c r="J1259" s="210"/>
    </row>
    <row r="1260" spans="2:10" x14ac:dyDescent="0.25">
      <c r="B1260" s="4"/>
      <c r="C1260" s="4"/>
      <c r="D1260" s="4"/>
      <c r="E1260" s="4"/>
      <c r="F1260" s="4"/>
      <c r="G1260" s="4"/>
      <c r="H1260" s="4"/>
      <c r="I1260" s="210"/>
      <c r="J1260" s="210"/>
    </row>
    <row r="1261" spans="2:10" x14ac:dyDescent="0.25">
      <c r="B1261" s="4"/>
      <c r="C1261" s="4"/>
      <c r="D1261" s="4"/>
      <c r="E1261" s="4"/>
      <c r="F1261" s="4"/>
      <c r="G1261" s="4"/>
      <c r="H1261" s="4"/>
      <c r="I1261" s="210"/>
      <c r="J1261" s="210"/>
    </row>
    <row r="1262" spans="2:10" x14ac:dyDescent="0.25">
      <c r="B1262" s="4"/>
      <c r="C1262" s="4"/>
      <c r="D1262" s="4"/>
      <c r="E1262" s="4"/>
      <c r="F1262" s="4"/>
      <c r="G1262" s="4"/>
      <c r="H1262" s="4"/>
      <c r="I1262" s="210"/>
      <c r="J1262" s="210"/>
    </row>
    <row r="1263" spans="2:10" x14ac:dyDescent="0.25">
      <c r="B1263" s="4"/>
      <c r="C1263" s="4"/>
      <c r="D1263" s="4"/>
      <c r="E1263" s="4"/>
      <c r="F1263" s="4"/>
      <c r="G1263" s="4"/>
      <c r="H1263" s="4"/>
      <c r="I1263" s="210"/>
      <c r="J1263" s="210"/>
    </row>
    <row r="1264" spans="2:10" x14ac:dyDescent="0.25">
      <c r="B1264" s="4"/>
      <c r="C1264" s="4"/>
      <c r="D1264" s="4"/>
      <c r="E1264" s="4"/>
      <c r="F1264" s="4"/>
      <c r="G1264" s="4"/>
      <c r="H1264" s="4"/>
      <c r="I1264" s="210"/>
      <c r="J1264" s="210"/>
    </row>
    <row r="1265" spans="2:10" x14ac:dyDescent="0.25">
      <c r="B1265" s="4"/>
      <c r="C1265" s="4"/>
      <c r="D1265" s="4"/>
      <c r="E1265" s="4"/>
      <c r="F1265" s="4"/>
      <c r="G1265" s="4"/>
      <c r="H1265" s="4"/>
      <c r="I1265" s="210"/>
      <c r="J1265" s="210"/>
    </row>
    <row r="1266" spans="2:10" x14ac:dyDescent="0.25">
      <c r="B1266" s="4"/>
      <c r="C1266" s="4"/>
      <c r="D1266" s="4"/>
      <c r="E1266" s="4"/>
      <c r="F1266" s="4"/>
      <c r="G1266" s="4"/>
      <c r="H1266" s="4"/>
      <c r="I1266" s="210"/>
      <c r="J1266" s="210"/>
    </row>
    <row r="1267" spans="2:10" x14ac:dyDescent="0.25">
      <c r="B1267" s="4"/>
      <c r="C1267" s="4"/>
      <c r="D1267" s="4"/>
      <c r="E1267" s="4"/>
      <c r="F1267" s="4"/>
      <c r="G1267" s="4"/>
      <c r="H1267" s="4"/>
      <c r="I1267" s="210"/>
      <c r="J1267" s="210"/>
    </row>
    <row r="1268" spans="2:10" x14ac:dyDescent="0.25">
      <c r="B1268" s="4"/>
      <c r="C1268" s="4"/>
      <c r="D1268" s="4"/>
      <c r="E1268" s="4"/>
      <c r="F1268" s="4"/>
      <c r="G1268" s="4"/>
      <c r="H1268" s="4"/>
      <c r="I1268" s="210"/>
      <c r="J1268" s="210"/>
    </row>
    <row r="1269" spans="2:10" x14ac:dyDescent="0.25">
      <c r="B1269" s="4"/>
      <c r="C1269" s="4"/>
      <c r="D1269" s="4"/>
      <c r="E1269" s="4"/>
      <c r="F1269" s="4"/>
      <c r="G1269" s="4"/>
      <c r="H1269" s="4"/>
      <c r="I1269" s="210"/>
      <c r="J1269" s="210"/>
    </row>
    <row r="1270" spans="2:10" x14ac:dyDescent="0.25">
      <c r="B1270" s="4"/>
      <c r="C1270" s="4"/>
      <c r="D1270" s="4"/>
      <c r="E1270" s="4"/>
      <c r="F1270" s="4"/>
      <c r="G1270" s="4"/>
      <c r="H1270" s="4"/>
      <c r="I1270" s="210"/>
      <c r="J1270" s="210"/>
    </row>
    <row r="1271" spans="2:10" x14ac:dyDescent="0.25">
      <c r="B1271" s="4"/>
      <c r="C1271" s="4"/>
      <c r="D1271" s="4"/>
      <c r="E1271" s="4"/>
      <c r="F1271" s="4"/>
      <c r="G1271" s="4"/>
      <c r="H1271" s="4"/>
      <c r="I1271" s="210"/>
      <c r="J1271" s="210"/>
    </row>
    <row r="1272" spans="2:10" x14ac:dyDescent="0.25">
      <c r="B1272" s="4"/>
      <c r="C1272" s="4"/>
      <c r="D1272" s="4"/>
      <c r="E1272" s="4"/>
      <c r="F1272" s="4"/>
      <c r="G1272" s="4"/>
      <c r="H1272" s="4"/>
      <c r="I1272" s="210"/>
      <c r="J1272" s="210"/>
    </row>
    <row r="1273" spans="2:10" x14ac:dyDescent="0.25">
      <c r="B1273" s="4"/>
      <c r="C1273" s="4"/>
      <c r="D1273" s="4"/>
      <c r="E1273" s="4"/>
      <c r="F1273" s="4"/>
      <c r="G1273" s="4"/>
      <c r="H1273" s="4"/>
      <c r="I1273" s="210"/>
      <c r="J1273" s="210"/>
    </row>
    <row r="1274" spans="2:10" x14ac:dyDescent="0.25">
      <c r="B1274" s="4"/>
      <c r="C1274" s="4"/>
      <c r="D1274" s="4"/>
      <c r="E1274" s="4"/>
      <c r="F1274" s="4"/>
      <c r="G1274" s="4"/>
      <c r="H1274" s="4"/>
      <c r="I1274" s="210"/>
      <c r="J1274" s="210"/>
    </row>
    <row r="1275" spans="2:10" x14ac:dyDescent="0.25">
      <c r="B1275" s="4"/>
      <c r="C1275" s="4"/>
      <c r="D1275" s="4"/>
      <c r="E1275" s="4"/>
      <c r="F1275" s="4"/>
      <c r="G1275" s="4"/>
      <c r="H1275" s="4"/>
      <c r="I1275" s="210"/>
      <c r="J1275" s="210"/>
    </row>
    <row r="1276" spans="2:10" x14ac:dyDescent="0.25">
      <c r="B1276" s="4"/>
      <c r="C1276" s="4"/>
      <c r="D1276" s="4"/>
      <c r="E1276" s="4"/>
      <c r="F1276" s="4"/>
      <c r="G1276" s="4"/>
      <c r="H1276" s="4"/>
      <c r="I1276" s="210"/>
      <c r="J1276" s="210"/>
    </row>
    <row r="1277" spans="2:10" x14ac:dyDescent="0.25">
      <c r="B1277" s="4"/>
      <c r="C1277" s="4"/>
      <c r="D1277" s="4"/>
      <c r="E1277" s="4"/>
      <c r="F1277" s="4"/>
      <c r="G1277" s="4"/>
      <c r="H1277" s="4"/>
      <c r="I1277" s="210"/>
      <c r="J1277" s="210"/>
    </row>
    <row r="1278" spans="2:10" x14ac:dyDescent="0.25">
      <c r="B1278" s="4"/>
      <c r="C1278" s="4"/>
      <c r="D1278" s="4"/>
      <c r="E1278" s="4"/>
      <c r="F1278" s="4"/>
      <c r="G1278" s="4"/>
      <c r="H1278" s="4"/>
      <c r="I1278" s="210"/>
      <c r="J1278" s="210"/>
    </row>
    <row r="1279" spans="2:10" x14ac:dyDescent="0.25">
      <c r="B1279" s="4"/>
      <c r="C1279" s="4"/>
      <c r="D1279" s="4"/>
      <c r="E1279" s="4"/>
      <c r="F1279" s="4"/>
      <c r="G1279" s="4"/>
      <c r="H1279" s="4"/>
      <c r="I1279" s="210"/>
      <c r="J1279" s="210"/>
    </row>
    <row r="1280" spans="2:10" x14ac:dyDescent="0.25">
      <c r="B1280" s="4"/>
      <c r="C1280" s="4"/>
      <c r="D1280" s="4"/>
      <c r="E1280" s="4"/>
      <c r="F1280" s="4"/>
      <c r="G1280" s="4"/>
      <c r="H1280" s="4"/>
      <c r="I1280" s="210"/>
      <c r="J1280" s="210"/>
    </row>
    <row r="1281" spans="2:10" x14ac:dyDescent="0.25">
      <c r="B1281" s="4"/>
      <c r="C1281" s="4"/>
      <c r="D1281" s="4"/>
      <c r="E1281" s="4"/>
      <c r="F1281" s="4"/>
      <c r="G1281" s="4"/>
      <c r="H1281" s="4"/>
      <c r="I1281" s="210"/>
      <c r="J1281" s="210"/>
    </row>
    <row r="1282" spans="2:10" x14ac:dyDescent="0.25">
      <c r="B1282" s="4"/>
      <c r="C1282" s="4"/>
      <c r="D1282" s="4"/>
      <c r="E1282" s="4"/>
      <c r="F1282" s="4"/>
      <c r="G1282" s="4"/>
      <c r="H1282" s="4"/>
      <c r="I1282" s="210"/>
      <c r="J1282" s="210"/>
    </row>
    <row r="1283" spans="2:10" x14ac:dyDescent="0.25">
      <c r="B1283" s="4"/>
      <c r="C1283" s="4"/>
      <c r="D1283" s="4"/>
      <c r="E1283" s="4"/>
      <c r="F1283" s="4"/>
      <c r="G1283" s="4"/>
      <c r="H1283" s="4"/>
      <c r="I1283" s="210"/>
      <c r="J1283" s="210"/>
    </row>
    <row r="1284" spans="2:10" x14ac:dyDescent="0.25">
      <c r="B1284" s="4"/>
      <c r="C1284" s="4"/>
      <c r="D1284" s="4"/>
      <c r="E1284" s="4"/>
      <c r="F1284" s="4"/>
      <c r="G1284" s="4"/>
      <c r="H1284" s="4"/>
      <c r="I1284" s="210"/>
      <c r="J1284" s="210"/>
    </row>
    <row r="1285" spans="2:10" x14ac:dyDescent="0.25">
      <c r="B1285" s="4"/>
      <c r="C1285" s="4"/>
      <c r="D1285" s="4"/>
      <c r="E1285" s="4"/>
      <c r="F1285" s="4"/>
      <c r="G1285" s="4"/>
      <c r="H1285" s="4"/>
      <c r="I1285" s="210"/>
      <c r="J1285" s="210"/>
    </row>
    <row r="1286" spans="2:10" x14ac:dyDescent="0.25">
      <c r="B1286" s="4"/>
      <c r="C1286" s="4"/>
      <c r="D1286" s="4"/>
      <c r="E1286" s="4"/>
      <c r="F1286" s="4"/>
      <c r="G1286" s="4"/>
      <c r="H1286" s="4"/>
      <c r="I1286" s="210"/>
      <c r="J1286" s="210"/>
    </row>
    <row r="1287" spans="2:10" x14ac:dyDescent="0.25">
      <c r="B1287" s="4"/>
      <c r="C1287" s="4"/>
      <c r="D1287" s="4"/>
      <c r="E1287" s="4"/>
      <c r="F1287" s="4"/>
      <c r="G1287" s="4"/>
      <c r="H1287" s="4"/>
      <c r="I1287" s="210"/>
      <c r="J1287" s="210"/>
    </row>
    <row r="1288" spans="2:10" x14ac:dyDescent="0.25">
      <c r="B1288" s="4"/>
      <c r="C1288" s="4"/>
      <c r="D1288" s="4"/>
      <c r="E1288" s="4"/>
      <c r="F1288" s="4"/>
      <c r="G1288" s="4"/>
      <c r="H1288" s="4"/>
      <c r="I1288" s="210"/>
      <c r="J1288" s="210"/>
    </row>
    <row r="1289" spans="2:10" x14ac:dyDescent="0.25">
      <c r="B1289" s="4"/>
      <c r="C1289" s="4"/>
      <c r="D1289" s="4"/>
      <c r="E1289" s="4"/>
      <c r="F1289" s="4"/>
      <c r="G1289" s="4"/>
      <c r="H1289" s="4"/>
      <c r="I1289" s="210"/>
      <c r="J1289" s="210"/>
    </row>
    <row r="1290" spans="2:10" x14ac:dyDescent="0.25">
      <c r="B1290" s="4"/>
      <c r="C1290" s="4"/>
      <c r="D1290" s="4"/>
      <c r="E1290" s="4"/>
      <c r="F1290" s="4"/>
      <c r="G1290" s="4"/>
      <c r="H1290" s="4"/>
      <c r="I1290" s="210"/>
      <c r="J1290" s="210"/>
    </row>
    <row r="1291" spans="2:10" x14ac:dyDescent="0.25">
      <c r="B1291" s="4"/>
      <c r="C1291" s="4"/>
      <c r="D1291" s="4"/>
      <c r="E1291" s="4"/>
      <c r="F1291" s="4"/>
      <c r="G1291" s="4"/>
      <c r="H1291" s="4"/>
      <c r="I1291" s="210"/>
      <c r="J1291" s="210"/>
    </row>
    <row r="1292" spans="2:10" x14ac:dyDescent="0.25">
      <c r="B1292" s="4"/>
      <c r="C1292" s="4"/>
      <c r="D1292" s="4"/>
      <c r="E1292" s="4"/>
      <c r="F1292" s="4"/>
      <c r="G1292" s="4"/>
      <c r="H1292" s="4"/>
      <c r="I1292" s="210"/>
      <c r="J1292" s="210"/>
    </row>
    <row r="1293" spans="2:10" x14ac:dyDescent="0.25">
      <c r="B1293" s="4"/>
      <c r="C1293" s="4"/>
      <c r="D1293" s="4"/>
      <c r="E1293" s="4"/>
      <c r="F1293" s="4"/>
      <c r="G1293" s="4"/>
      <c r="H1293" s="4"/>
      <c r="I1293" s="210"/>
      <c r="J1293" s="210"/>
    </row>
    <row r="1294" spans="2:10" x14ac:dyDescent="0.25">
      <c r="B1294" s="4"/>
      <c r="C1294" s="4"/>
      <c r="D1294" s="4"/>
      <c r="E1294" s="4"/>
      <c r="F1294" s="4"/>
      <c r="G1294" s="4"/>
      <c r="H1294" s="4"/>
      <c r="I1294" s="210"/>
      <c r="J1294" s="210"/>
    </row>
    <row r="1295" spans="2:10" x14ac:dyDescent="0.25">
      <c r="B1295" s="4"/>
      <c r="C1295" s="4"/>
      <c r="D1295" s="4"/>
      <c r="E1295" s="4"/>
      <c r="F1295" s="4"/>
      <c r="G1295" s="4"/>
      <c r="H1295" s="4"/>
      <c r="I1295" s="210"/>
      <c r="J1295" s="210"/>
    </row>
    <row r="1296" spans="2:10" x14ac:dyDescent="0.25">
      <c r="B1296" s="4"/>
      <c r="C1296" s="4"/>
      <c r="D1296" s="4"/>
      <c r="E1296" s="4"/>
      <c r="F1296" s="4"/>
      <c r="G1296" s="4"/>
      <c r="H1296" s="4"/>
      <c r="I1296" s="210"/>
      <c r="J1296" s="210"/>
    </row>
    <row r="1297" spans="2:10" x14ac:dyDescent="0.25">
      <c r="B1297" s="4"/>
      <c r="C1297" s="4"/>
      <c r="D1297" s="4"/>
      <c r="E1297" s="4"/>
      <c r="F1297" s="4"/>
      <c r="G1297" s="4"/>
      <c r="H1297" s="4"/>
      <c r="I1297" s="210"/>
      <c r="J1297" s="210"/>
    </row>
    <row r="1298" spans="2:10" x14ac:dyDescent="0.25">
      <c r="B1298" s="4"/>
      <c r="C1298" s="4"/>
      <c r="D1298" s="4"/>
      <c r="E1298" s="4"/>
      <c r="F1298" s="4"/>
      <c r="G1298" s="4"/>
      <c r="H1298" s="4"/>
      <c r="I1298" s="210"/>
      <c r="J1298" s="210"/>
    </row>
    <row r="1299" spans="2:10" x14ac:dyDescent="0.25">
      <c r="B1299" s="4"/>
      <c r="C1299" s="4"/>
      <c r="D1299" s="4"/>
      <c r="E1299" s="4"/>
      <c r="F1299" s="4"/>
      <c r="G1299" s="4"/>
      <c r="H1299" s="4"/>
      <c r="I1299" s="210"/>
      <c r="J1299" s="210"/>
    </row>
    <row r="1300" spans="2:10" x14ac:dyDescent="0.25">
      <c r="B1300" s="4"/>
      <c r="C1300" s="4"/>
      <c r="D1300" s="4"/>
      <c r="E1300" s="4"/>
      <c r="F1300" s="4"/>
      <c r="G1300" s="4"/>
      <c r="H1300" s="4"/>
      <c r="I1300" s="210"/>
      <c r="J1300" s="210"/>
    </row>
    <row r="1301" spans="2:10" x14ac:dyDescent="0.25">
      <c r="B1301" s="4"/>
      <c r="C1301" s="4"/>
      <c r="D1301" s="4"/>
      <c r="E1301" s="4"/>
      <c r="F1301" s="4"/>
      <c r="G1301" s="4"/>
      <c r="H1301" s="4"/>
      <c r="I1301" s="210"/>
      <c r="J1301" s="210"/>
    </row>
    <row r="1302" spans="2:10" x14ac:dyDescent="0.25">
      <c r="B1302" s="4"/>
      <c r="C1302" s="4"/>
      <c r="D1302" s="4"/>
      <c r="E1302" s="4"/>
      <c r="F1302" s="4"/>
      <c r="G1302" s="4"/>
      <c r="H1302" s="4"/>
      <c r="I1302" s="210"/>
      <c r="J1302" s="210"/>
    </row>
    <row r="1303" spans="2:10" x14ac:dyDescent="0.25">
      <c r="B1303" s="4"/>
      <c r="C1303" s="4"/>
      <c r="D1303" s="4"/>
      <c r="E1303" s="4"/>
      <c r="F1303" s="4"/>
      <c r="G1303" s="4"/>
      <c r="H1303" s="4"/>
      <c r="I1303" s="210"/>
      <c r="J1303" s="210"/>
    </row>
    <row r="1304" spans="2:10" x14ac:dyDescent="0.25">
      <c r="B1304" s="4"/>
      <c r="C1304" s="4"/>
      <c r="D1304" s="4"/>
      <c r="E1304" s="4"/>
      <c r="F1304" s="4"/>
      <c r="G1304" s="4"/>
      <c r="H1304" s="4"/>
      <c r="I1304" s="210"/>
      <c r="J1304" s="210"/>
    </row>
    <row r="1305" spans="2:10" x14ac:dyDescent="0.25">
      <c r="B1305" s="4"/>
      <c r="C1305" s="4"/>
      <c r="D1305" s="4"/>
      <c r="E1305" s="4"/>
      <c r="F1305" s="4"/>
      <c r="G1305" s="4"/>
      <c r="H1305" s="4"/>
      <c r="I1305" s="210"/>
      <c r="J1305" s="210"/>
    </row>
    <row r="1306" spans="2:10" x14ac:dyDescent="0.25">
      <c r="B1306" s="4"/>
      <c r="C1306" s="4"/>
      <c r="D1306" s="4"/>
      <c r="E1306" s="4"/>
      <c r="F1306" s="4"/>
      <c r="G1306" s="4"/>
      <c r="H1306" s="4"/>
      <c r="I1306" s="210"/>
      <c r="J1306" s="210"/>
    </row>
    <row r="1307" spans="2:10" x14ac:dyDescent="0.25">
      <c r="B1307" s="4"/>
      <c r="C1307" s="4"/>
      <c r="D1307" s="4"/>
      <c r="E1307" s="4"/>
      <c r="F1307" s="4"/>
      <c r="G1307" s="4"/>
      <c r="H1307" s="4"/>
      <c r="I1307" s="210"/>
      <c r="J1307" s="210"/>
    </row>
    <row r="1308" spans="2:10" x14ac:dyDescent="0.25">
      <c r="B1308" s="4"/>
      <c r="C1308" s="4"/>
      <c r="D1308" s="4"/>
      <c r="E1308" s="4"/>
      <c r="F1308" s="4"/>
      <c r="G1308" s="4"/>
      <c r="H1308" s="4"/>
      <c r="I1308" s="210"/>
      <c r="J1308" s="210"/>
    </row>
    <row r="1309" spans="2:10" x14ac:dyDescent="0.25">
      <c r="B1309" s="4"/>
      <c r="C1309" s="4"/>
      <c r="D1309" s="4"/>
      <c r="E1309" s="4"/>
      <c r="F1309" s="4"/>
      <c r="G1309" s="4"/>
      <c r="H1309" s="4"/>
      <c r="I1309" s="210"/>
      <c r="J1309" s="210"/>
    </row>
    <row r="1310" spans="2:10" x14ac:dyDescent="0.25">
      <c r="B1310" s="4"/>
      <c r="C1310" s="4"/>
      <c r="D1310" s="4"/>
      <c r="E1310" s="4"/>
      <c r="F1310" s="4"/>
      <c r="G1310" s="4"/>
      <c r="H1310" s="4"/>
      <c r="I1310" s="210"/>
      <c r="J1310" s="210"/>
    </row>
    <row r="1311" spans="2:10" x14ac:dyDescent="0.25">
      <c r="B1311" s="4"/>
      <c r="C1311" s="4"/>
      <c r="D1311" s="4"/>
      <c r="E1311" s="4"/>
      <c r="F1311" s="4"/>
      <c r="G1311" s="4"/>
      <c r="H1311" s="4"/>
      <c r="I1311" s="210"/>
      <c r="J1311" s="210"/>
    </row>
    <row r="1312" spans="2:10" x14ac:dyDescent="0.25">
      <c r="B1312" s="4"/>
      <c r="C1312" s="4"/>
      <c r="D1312" s="4"/>
      <c r="E1312" s="4"/>
      <c r="F1312" s="4"/>
      <c r="G1312" s="4"/>
      <c r="H1312" s="4"/>
      <c r="I1312" s="210"/>
      <c r="J1312" s="210"/>
    </row>
    <row r="1313" spans="2:10" x14ac:dyDescent="0.25">
      <c r="B1313" s="4"/>
      <c r="C1313" s="4"/>
      <c r="D1313" s="4"/>
      <c r="E1313" s="4"/>
      <c r="F1313" s="4"/>
      <c r="G1313" s="4"/>
      <c r="H1313" s="4"/>
      <c r="I1313" s="210"/>
      <c r="J1313" s="210"/>
    </row>
    <row r="1314" spans="2:10" x14ac:dyDescent="0.25">
      <c r="B1314" s="4"/>
      <c r="C1314" s="4"/>
      <c r="D1314" s="4"/>
      <c r="E1314" s="4"/>
      <c r="F1314" s="4"/>
      <c r="G1314" s="4"/>
      <c r="H1314" s="4"/>
      <c r="I1314" s="210"/>
      <c r="J1314" s="210"/>
    </row>
    <row r="1315" spans="2:10" x14ac:dyDescent="0.25">
      <c r="B1315" s="4"/>
      <c r="C1315" s="4"/>
      <c r="D1315" s="4"/>
      <c r="E1315" s="4"/>
      <c r="F1315" s="4"/>
      <c r="G1315" s="4"/>
      <c r="H1315" s="4"/>
      <c r="I1315" s="210"/>
      <c r="J1315" s="210"/>
    </row>
    <row r="1316" spans="2:10" x14ac:dyDescent="0.25">
      <c r="B1316" s="4"/>
      <c r="C1316" s="4"/>
      <c r="D1316" s="4"/>
      <c r="E1316" s="4"/>
      <c r="F1316" s="4"/>
      <c r="G1316" s="4"/>
      <c r="H1316" s="4"/>
      <c r="I1316" s="210"/>
      <c r="J1316" s="210"/>
    </row>
    <row r="1317" spans="2:10" x14ac:dyDescent="0.25">
      <c r="B1317" s="4"/>
      <c r="C1317" s="4"/>
      <c r="D1317" s="4"/>
      <c r="E1317" s="4"/>
      <c r="F1317" s="4"/>
      <c r="G1317" s="4"/>
      <c r="H1317" s="4"/>
      <c r="I1317" s="210"/>
      <c r="J1317" s="210"/>
    </row>
    <row r="1318" spans="2:10" x14ac:dyDescent="0.25">
      <c r="B1318" s="4"/>
      <c r="C1318" s="4"/>
      <c r="D1318" s="4"/>
      <c r="E1318" s="4"/>
      <c r="F1318" s="4"/>
      <c r="G1318" s="4"/>
      <c r="H1318" s="4"/>
      <c r="I1318" s="210"/>
      <c r="J1318" s="210"/>
    </row>
    <row r="1319" spans="2:10" x14ac:dyDescent="0.25">
      <c r="B1319" s="4"/>
      <c r="C1319" s="4"/>
      <c r="D1319" s="4"/>
      <c r="E1319" s="4"/>
      <c r="F1319" s="4"/>
      <c r="G1319" s="4"/>
      <c r="H1319" s="4"/>
      <c r="I1319" s="210"/>
      <c r="J1319" s="210"/>
    </row>
    <row r="1320" spans="2:10" x14ac:dyDescent="0.25">
      <c r="B1320" s="4"/>
      <c r="C1320" s="4"/>
      <c r="D1320" s="4"/>
      <c r="E1320" s="4"/>
      <c r="F1320" s="4"/>
      <c r="G1320" s="4"/>
      <c r="H1320" s="4"/>
      <c r="I1320" s="210"/>
      <c r="J1320" s="210"/>
    </row>
    <row r="1321" spans="2:10" x14ac:dyDescent="0.25">
      <c r="B1321" s="4"/>
      <c r="C1321" s="4"/>
      <c r="D1321" s="4"/>
      <c r="E1321" s="4"/>
      <c r="F1321" s="4"/>
      <c r="G1321" s="4"/>
      <c r="H1321" s="4"/>
      <c r="I1321" s="210"/>
      <c r="J1321" s="210"/>
    </row>
    <row r="1322" spans="2:10" x14ac:dyDescent="0.25">
      <c r="B1322" s="4"/>
      <c r="C1322" s="4"/>
      <c r="D1322" s="4"/>
      <c r="E1322" s="4"/>
      <c r="F1322" s="4"/>
      <c r="G1322" s="4"/>
      <c r="H1322" s="4"/>
      <c r="I1322" s="210"/>
      <c r="J1322" s="210"/>
    </row>
    <row r="1323" spans="2:10" x14ac:dyDescent="0.25">
      <c r="B1323" s="4"/>
      <c r="C1323" s="4"/>
      <c r="D1323" s="4"/>
      <c r="E1323" s="4"/>
      <c r="F1323" s="4"/>
      <c r="G1323" s="4"/>
      <c r="H1323" s="4"/>
      <c r="I1323" s="210"/>
      <c r="J1323" s="210"/>
    </row>
    <row r="1324" spans="2:10" x14ac:dyDescent="0.25">
      <c r="B1324" s="4"/>
      <c r="C1324" s="4"/>
      <c r="D1324" s="4"/>
      <c r="E1324" s="4"/>
      <c r="F1324" s="4"/>
      <c r="G1324" s="4"/>
      <c r="H1324" s="4"/>
      <c r="I1324" s="210"/>
      <c r="J1324" s="210"/>
    </row>
    <row r="1325" spans="2:10" x14ac:dyDescent="0.25">
      <c r="B1325" s="4"/>
      <c r="C1325" s="4"/>
      <c r="D1325" s="4"/>
      <c r="E1325" s="4"/>
      <c r="F1325" s="4"/>
      <c r="G1325" s="4"/>
      <c r="H1325" s="4"/>
      <c r="I1325" s="210"/>
      <c r="J1325" s="210"/>
    </row>
    <row r="1326" spans="2:10" x14ac:dyDescent="0.25">
      <c r="B1326" s="4"/>
      <c r="C1326" s="4"/>
      <c r="D1326" s="4"/>
      <c r="E1326" s="4"/>
      <c r="F1326" s="4"/>
      <c r="G1326" s="4"/>
      <c r="H1326" s="4"/>
      <c r="I1326" s="210"/>
      <c r="J1326" s="210"/>
    </row>
    <row r="1327" spans="2:10" x14ac:dyDescent="0.25">
      <c r="B1327" s="4"/>
      <c r="C1327" s="4"/>
      <c r="D1327" s="4"/>
      <c r="E1327" s="4"/>
      <c r="F1327" s="4"/>
      <c r="G1327" s="4"/>
      <c r="H1327" s="4"/>
      <c r="I1327" s="210"/>
      <c r="J1327" s="210"/>
    </row>
    <row r="1328" spans="2:10" x14ac:dyDescent="0.25">
      <c r="B1328" s="4"/>
      <c r="C1328" s="4"/>
      <c r="D1328" s="4"/>
      <c r="E1328" s="4"/>
      <c r="F1328" s="4"/>
      <c r="G1328" s="4"/>
      <c r="H1328" s="4"/>
      <c r="I1328" s="210"/>
      <c r="J1328" s="210"/>
    </row>
    <row r="1329" spans="2:10" x14ac:dyDescent="0.25">
      <c r="B1329" s="4"/>
      <c r="C1329" s="4"/>
      <c r="D1329" s="4"/>
      <c r="E1329" s="4"/>
      <c r="F1329" s="4"/>
      <c r="G1329" s="4"/>
      <c r="H1329" s="4"/>
      <c r="I1329" s="210"/>
      <c r="J1329" s="210"/>
    </row>
    <row r="1330" spans="2:10" x14ac:dyDescent="0.25">
      <c r="B1330" s="4"/>
      <c r="C1330" s="4"/>
      <c r="D1330" s="4"/>
      <c r="E1330" s="4"/>
      <c r="F1330" s="4"/>
      <c r="G1330" s="4"/>
      <c r="H1330" s="4"/>
      <c r="I1330" s="210"/>
      <c r="J1330" s="210"/>
    </row>
    <row r="1331" spans="2:10" x14ac:dyDescent="0.25">
      <c r="B1331" s="4"/>
      <c r="C1331" s="4"/>
      <c r="D1331" s="4"/>
      <c r="E1331" s="4"/>
      <c r="F1331" s="4"/>
      <c r="G1331" s="4"/>
      <c r="H1331" s="4"/>
      <c r="I1331" s="210"/>
      <c r="J1331" s="210"/>
    </row>
    <row r="1332" spans="2:10" x14ac:dyDescent="0.25">
      <c r="B1332" s="4"/>
      <c r="C1332" s="4"/>
      <c r="D1332" s="4"/>
      <c r="E1332" s="4"/>
      <c r="F1332" s="4"/>
      <c r="G1332" s="4"/>
      <c r="H1332" s="4"/>
      <c r="I1332" s="210"/>
      <c r="J1332" s="210"/>
    </row>
    <row r="1333" spans="2:10" x14ac:dyDescent="0.25">
      <c r="B1333" s="4"/>
      <c r="C1333" s="4"/>
      <c r="D1333" s="4"/>
      <c r="E1333" s="4"/>
      <c r="F1333" s="4"/>
      <c r="G1333" s="4"/>
      <c r="H1333" s="4"/>
      <c r="I1333" s="210"/>
      <c r="J1333" s="210"/>
    </row>
    <row r="1334" spans="2:10" x14ac:dyDescent="0.25">
      <c r="B1334" s="4"/>
      <c r="C1334" s="4"/>
      <c r="D1334" s="4"/>
      <c r="E1334" s="4"/>
      <c r="F1334" s="4"/>
      <c r="G1334" s="4"/>
      <c r="H1334" s="4"/>
      <c r="I1334" s="210"/>
      <c r="J1334" s="210"/>
    </row>
    <row r="1335" spans="2:10" x14ac:dyDescent="0.25">
      <c r="B1335" s="4"/>
      <c r="C1335" s="4"/>
      <c r="D1335" s="4"/>
      <c r="E1335" s="4"/>
      <c r="F1335" s="4"/>
      <c r="G1335" s="4"/>
      <c r="H1335" s="4"/>
      <c r="I1335" s="210"/>
      <c r="J1335" s="210"/>
    </row>
    <row r="1336" spans="2:10" x14ac:dyDescent="0.25">
      <c r="B1336" s="4"/>
      <c r="C1336" s="4"/>
      <c r="D1336" s="4"/>
      <c r="E1336" s="4"/>
      <c r="F1336" s="4"/>
      <c r="G1336" s="4"/>
      <c r="H1336" s="4"/>
      <c r="I1336" s="210"/>
      <c r="J1336" s="210"/>
    </row>
    <row r="1337" spans="2:10" x14ac:dyDescent="0.25">
      <c r="B1337" s="4"/>
      <c r="C1337" s="4"/>
      <c r="D1337" s="4"/>
      <c r="E1337" s="4"/>
      <c r="F1337" s="4"/>
      <c r="G1337" s="4"/>
      <c r="H1337" s="4"/>
      <c r="I1337" s="210"/>
      <c r="J1337" s="210"/>
    </row>
    <row r="1338" spans="2:10" x14ac:dyDescent="0.25">
      <c r="B1338" s="4"/>
      <c r="C1338" s="4"/>
      <c r="D1338" s="4"/>
      <c r="E1338" s="4"/>
      <c r="F1338" s="4"/>
      <c r="G1338" s="4"/>
      <c r="H1338" s="4"/>
      <c r="I1338" s="210"/>
      <c r="J1338" s="210"/>
    </row>
    <row r="1339" spans="2:10" x14ac:dyDescent="0.25">
      <c r="B1339" s="4"/>
      <c r="C1339" s="4"/>
      <c r="D1339" s="4"/>
      <c r="E1339" s="4"/>
      <c r="F1339" s="4"/>
      <c r="G1339" s="4"/>
      <c r="H1339" s="4"/>
      <c r="I1339" s="210"/>
      <c r="J1339" s="210"/>
    </row>
    <row r="1340" spans="2:10" x14ac:dyDescent="0.25">
      <c r="B1340" s="4"/>
      <c r="C1340" s="4"/>
      <c r="D1340" s="4"/>
      <c r="E1340" s="4"/>
      <c r="F1340" s="4"/>
      <c r="G1340" s="4"/>
      <c r="H1340" s="4"/>
      <c r="I1340" s="210"/>
      <c r="J1340" s="210"/>
    </row>
    <row r="1341" spans="2:10" x14ac:dyDescent="0.25">
      <c r="B1341" s="4"/>
      <c r="C1341" s="4"/>
      <c r="D1341" s="4"/>
      <c r="E1341" s="4"/>
      <c r="F1341" s="4"/>
      <c r="G1341" s="4"/>
      <c r="H1341" s="4"/>
      <c r="I1341" s="210"/>
      <c r="J1341" s="210"/>
    </row>
    <row r="1342" spans="2:10" x14ac:dyDescent="0.25">
      <c r="B1342" s="4"/>
      <c r="C1342" s="4"/>
      <c r="D1342" s="4"/>
      <c r="E1342" s="4"/>
      <c r="F1342" s="4"/>
      <c r="G1342" s="4"/>
      <c r="H1342" s="4"/>
      <c r="I1342" s="210"/>
      <c r="J1342" s="210"/>
    </row>
    <row r="1343" spans="2:10" x14ac:dyDescent="0.25">
      <c r="B1343" s="4"/>
      <c r="C1343" s="4"/>
      <c r="D1343" s="4"/>
      <c r="E1343" s="4"/>
      <c r="F1343" s="4"/>
      <c r="G1343" s="4"/>
      <c r="H1343" s="4"/>
      <c r="I1343" s="210"/>
      <c r="J1343" s="210"/>
    </row>
    <row r="1344" spans="2:10" x14ac:dyDescent="0.25">
      <c r="B1344" s="4"/>
      <c r="C1344" s="4"/>
      <c r="D1344" s="4"/>
      <c r="E1344" s="4"/>
      <c r="F1344" s="4"/>
      <c r="G1344" s="4"/>
      <c r="H1344" s="4"/>
      <c r="I1344" s="210"/>
      <c r="J1344" s="210"/>
    </row>
    <row r="1345" spans="2:10" x14ac:dyDescent="0.25">
      <c r="B1345" s="4"/>
      <c r="C1345" s="4"/>
      <c r="D1345" s="4"/>
      <c r="E1345" s="4"/>
      <c r="F1345" s="4"/>
      <c r="G1345" s="4"/>
      <c r="H1345" s="4"/>
      <c r="I1345" s="210"/>
      <c r="J1345" s="210"/>
    </row>
    <row r="1346" spans="2:10" x14ac:dyDescent="0.25">
      <c r="B1346" s="4"/>
      <c r="C1346" s="4"/>
      <c r="D1346" s="4"/>
      <c r="E1346" s="4"/>
      <c r="F1346" s="4"/>
      <c r="G1346" s="4"/>
      <c r="H1346" s="4"/>
      <c r="I1346" s="210"/>
      <c r="J1346" s="210"/>
    </row>
    <row r="1347" spans="2:10" x14ac:dyDescent="0.25">
      <c r="B1347" s="4"/>
      <c r="C1347" s="4"/>
      <c r="D1347" s="4"/>
      <c r="E1347" s="4"/>
      <c r="F1347" s="4"/>
      <c r="G1347" s="4"/>
      <c r="H1347" s="4"/>
      <c r="I1347" s="210"/>
      <c r="J1347" s="210"/>
    </row>
    <row r="1348" spans="2:10" x14ac:dyDescent="0.25">
      <c r="B1348" s="4"/>
      <c r="C1348" s="4"/>
      <c r="D1348" s="4"/>
      <c r="E1348" s="4"/>
      <c r="F1348" s="4"/>
      <c r="G1348" s="4"/>
      <c r="H1348" s="4"/>
      <c r="I1348" s="210"/>
      <c r="J1348" s="210"/>
    </row>
    <row r="1349" spans="2:10" x14ac:dyDescent="0.25">
      <c r="B1349" s="4"/>
      <c r="C1349" s="4"/>
      <c r="D1349" s="4"/>
      <c r="E1349" s="4"/>
      <c r="F1349" s="4"/>
      <c r="G1349" s="4"/>
      <c r="H1349" s="4"/>
      <c r="I1349" s="210"/>
      <c r="J1349" s="210"/>
    </row>
    <row r="1350" spans="2:10" x14ac:dyDescent="0.25">
      <c r="B1350" s="4"/>
      <c r="C1350" s="4"/>
      <c r="D1350" s="4"/>
      <c r="E1350" s="4"/>
      <c r="F1350" s="4"/>
      <c r="G1350" s="4"/>
      <c r="H1350" s="4"/>
      <c r="I1350" s="210"/>
      <c r="J1350" s="210"/>
    </row>
    <row r="1351" spans="2:10" x14ac:dyDescent="0.25">
      <c r="B1351" s="4"/>
      <c r="C1351" s="4"/>
      <c r="D1351" s="4"/>
      <c r="E1351" s="4"/>
      <c r="F1351" s="4"/>
      <c r="G1351" s="4"/>
      <c r="H1351" s="4"/>
      <c r="I1351" s="210"/>
      <c r="J1351" s="210"/>
    </row>
    <row r="1352" spans="2:10" x14ac:dyDescent="0.25">
      <c r="B1352" s="4"/>
      <c r="C1352" s="4"/>
      <c r="D1352" s="4"/>
      <c r="E1352" s="4"/>
      <c r="F1352" s="4"/>
      <c r="G1352" s="4"/>
      <c r="H1352" s="4"/>
      <c r="I1352" s="210"/>
      <c r="J1352" s="210"/>
    </row>
    <row r="1353" spans="2:10" x14ac:dyDescent="0.25">
      <c r="B1353" s="4"/>
      <c r="C1353" s="4"/>
      <c r="D1353" s="4"/>
      <c r="E1353" s="4"/>
      <c r="F1353" s="4"/>
      <c r="G1353" s="4"/>
      <c r="H1353" s="4"/>
      <c r="I1353" s="210"/>
      <c r="J1353" s="210"/>
    </row>
    <row r="1354" spans="2:10" x14ac:dyDescent="0.25">
      <c r="B1354" s="4"/>
      <c r="C1354" s="4"/>
      <c r="D1354" s="4"/>
      <c r="E1354" s="4"/>
      <c r="F1354" s="4"/>
      <c r="G1354" s="4"/>
      <c r="H1354" s="4"/>
      <c r="I1354" s="210"/>
      <c r="J1354" s="210"/>
    </row>
    <row r="1355" spans="2:10" x14ac:dyDescent="0.25">
      <c r="B1355" s="4"/>
      <c r="C1355" s="4"/>
      <c r="D1355" s="4"/>
      <c r="E1355" s="4"/>
      <c r="F1355" s="4"/>
      <c r="G1355" s="4"/>
      <c r="H1355" s="4"/>
      <c r="I1355" s="210"/>
      <c r="J1355" s="210"/>
    </row>
    <row r="1356" spans="2:10" x14ac:dyDescent="0.25">
      <c r="B1356" s="4"/>
      <c r="C1356" s="4"/>
      <c r="D1356" s="4"/>
      <c r="E1356" s="4"/>
      <c r="F1356" s="4"/>
      <c r="G1356" s="4"/>
      <c r="H1356" s="4"/>
      <c r="I1356" s="210"/>
      <c r="J1356" s="210"/>
    </row>
    <row r="1357" spans="2:10" x14ac:dyDescent="0.25">
      <c r="B1357" s="4"/>
      <c r="C1357" s="4"/>
      <c r="D1357" s="4"/>
      <c r="E1357" s="4"/>
      <c r="F1357" s="4"/>
      <c r="G1357" s="4"/>
      <c r="H1357" s="4"/>
      <c r="I1357" s="210"/>
      <c r="J1357" s="210"/>
    </row>
    <row r="1358" spans="2:10" x14ac:dyDescent="0.25">
      <c r="B1358" s="4"/>
      <c r="C1358" s="4"/>
      <c r="D1358" s="4"/>
      <c r="E1358" s="4"/>
      <c r="F1358" s="4"/>
      <c r="G1358" s="4"/>
      <c r="H1358" s="4"/>
      <c r="I1358" s="210"/>
      <c r="J1358" s="210"/>
    </row>
    <row r="1359" spans="2:10" x14ac:dyDescent="0.25">
      <c r="B1359" s="4"/>
      <c r="C1359" s="4"/>
      <c r="D1359" s="4"/>
      <c r="E1359" s="4"/>
      <c r="F1359" s="4"/>
      <c r="G1359" s="4"/>
      <c r="H1359" s="4"/>
      <c r="I1359" s="210"/>
      <c r="J1359" s="210"/>
    </row>
    <row r="1360" spans="2:10" x14ac:dyDescent="0.25">
      <c r="B1360" s="4"/>
      <c r="C1360" s="4"/>
      <c r="D1360" s="4"/>
      <c r="E1360" s="4"/>
      <c r="F1360" s="4"/>
      <c r="G1360" s="4"/>
      <c r="H1360" s="4"/>
      <c r="I1360" s="210"/>
      <c r="J1360" s="210"/>
    </row>
    <row r="1361" spans="2:10" x14ac:dyDescent="0.25">
      <c r="B1361" s="4"/>
      <c r="C1361" s="4"/>
      <c r="D1361" s="4"/>
      <c r="E1361" s="4"/>
      <c r="F1361" s="4"/>
      <c r="G1361" s="4"/>
      <c r="H1361" s="4"/>
      <c r="I1361" s="210"/>
      <c r="J1361" s="210"/>
    </row>
    <row r="1362" spans="2:10" x14ac:dyDescent="0.25">
      <c r="B1362" s="4"/>
      <c r="C1362" s="4"/>
      <c r="D1362" s="4"/>
      <c r="E1362" s="4"/>
      <c r="F1362" s="4"/>
      <c r="G1362" s="4"/>
      <c r="H1362" s="4"/>
      <c r="I1362" s="210"/>
      <c r="J1362" s="210"/>
    </row>
    <row r="1363" spans="2:10" x14ac:dyDescent="0.25">
      <c r="B1363" s="4"/>
      <c r="C1363" s="4"/>
      <c r="D1363" s="4"/>
      <c r="E1363" s="4"/>
      <c r="F1363" s="4"/>
      <c r="G1363" s="4"/>
      <c r="H1363" s="4"/>
      <c r="I1363" s="210"/>
      <c r="J1363" s="210"/>
    </row>
    <row r="1364" spans="2:10" x14ac:dyDescent="0.25">
      <c r="B1364" s="4"/>
      <c r="C1364" s="4"/>
      <c r="D1364" s="4"/>
      <c r="E1364" s="4"/>
      <c r="F1364" s="4"/>
      <c r="G1364" s="4"/>
      <c r="H1364" s="4"/>
      <c r="I1364" s="210"/>
      <c r="J1364" s="210"/>
    </row>
    <row r="1365" spans="2:10" x14ac:dyDescent="0.25">
      <c r="B1365" s="4"/>
      <c r="C1365" s="4"/>
      <c r="D1365" s="4"/>
      <c r="E1365" s="4"/>
      <c r="F1365" s="4"/>
      <c r="G1365" s="4"/>
      <c r="H1365" s="4"/>
      <c r="I1365" s="210"/>
      <c r="J1365" s="210"/>
    </row>
    <row r="1366" spans="2:10" x14ac:dyDescent="0.25">
      <c r="B1366" s="4"/>
      <c r="C1366" s="4"/>
      <c r="D1366" s="4"/>
      <c r="E1366" s="4"/>
      <c r="F1366" s="4"/>
      <c r="G1366" s="4"/>
      <c r="H1366" s="4"/>
      <c r="I1366" s="210"/>
      <c r="J1366" s="210"/>
    </row>
    <row r="1367" spans="2:10" x14ac:dyDescent="0.25">
      <c r="B1367" s="4"/>
      <c r="C1367" s="4"/>
      <c r="D1367" s="4"/>
      <c r="E1367" s="4"/>
      <c r="F1367" s="4"/>
      <c r="G1367" s="4"/>
      <c r="H1367" s="4"/>
      <c r="I1367" s="210"/>
      <c r="J1367" s="210"/>
    </row>
    <row r="1368" spans="2:10" x14ac:dyDescent="0.25">
      <c r="B1368" s="4"/>
      <c r="C1368" s="4"/>
      <c r="D1368" s="4"/>
      <c r="E1368" s="4"/>
      <c r="F1368" s="4"/>
      <c r="G1368" s="4"/>
      <c r="H1368" s="4"/>
      <c r="I1368" s="210"/>
      <c r="J1368" s="210"/>
    </row>
    <row r="1369" spans="2:10" x14ac:dyDescent="0.25">
      <c r="B1369" s="4"/>
      <c r="C1369" s="4"/>
      <c r="D1369" s="4"/>
      <c r="E1369" s="4"/>
      <c r="F1369" s="4"/>
      <c r="G1369" s="4"/>
      <c r="H1369" s="4"/>
      <c r="I1369" s="210"/>
      <c r="J1369" s="210"/>
    </row>
    <row r="1370" spans="2:10" x14ac:dyDescent="0.25">
      <c r="B1370" s="4"/>
      <c r="C1370" s="4"/>
      <c r="D1370" s="4"/>
      <c r="E1370" s="4"/>
      <c r="F1370" s="4"/>
      <c r="G1370" s="4"/>
      <c r="H1370" s="4"/>
      <c r="I1370" s="210"/>
      <c r="J1370" s="210"/>
    </row>
    <row r="1371" spans="2:10" x14ac:dyDescent="0.25">
      <c r="B1371" s="4"/>
      <c r="C1371" s="4"/>
      <c r="D1371" s="4"/>
      <c r="E1371" s="4"/>
      <c r="F1371" s="4"/>
      <c r="G1371" s="4"/>
      <c r="H1371" s="4"/>
      <c r="I1371" s="210"/>
      <c r="J1371" s="210"/>
    </row>
    <row r="1372" spans="2:10" x14ac:dyDescent="0.25">
      <c r="B1372" s="4"/>
      <c r="C1372" s="4"/>
      <c r="D1372" s="4"/>
      <c r="E1372" s="4"/>
      <c r="F1372" s="4"/>
      <c r="G1372" s="4"/>
      <c r="H1372" s="4"/>
      <c r="I1372" s="210"/>
      <c r="J1372" s="210"/>
    </row>
    <row r="1373" spans="2:10" x14ac:dyDescent="0.25">
      <c r="B1373" s="4"/>
      <c r="C1373" s="4"/>
      <c r="D1373" s="4"/>
      <c r="E1373" s="4"/>
      <c r="F1373" s="4"/>
      <c r="G1373" s="4"/>
      <c r="H1373" s="4"/>
      <c r="I1373" s="210"/>
      <c r="J1373" s="210"/>
    </row>
    <row r="1374" spans="2:10" x14ac:dyDescent="0.25">
      <c r="B1374" s="4"/>
      <c r="C1374" s="4"/>
      <c r="D1374" s="4"/>
      <c r="E1374" s="4"/>
      <c r="F1374" s="4"/>
      <c r="G1374" s="4"/>
      <c r="H1374" s="4"/>
      <c r="I1374" s="210"/>
      <c r="J1374" s="210"/>
    </row>
    <row r="1375" spans="2:10" x14ac:dyDescent="0.25">
      <c r="B1375" s="4"/>
      <c r="C1375" s="4"/>
      <c r="D1375" s="4"/>
      <c r="E1375" s="4"/>
      <c r="F1375" s="4"/>
      <c r="G1375" s="4"/>
      <c r="H1375" s="4"/>
      <c r="I1375" s="210"/>
      <c r="J1375" s="210"/>
    </row>
    <row r="1376" spans="2:10" x14ac:dyDescent="0.25">
      <c r="B1376" s="4"/>
      <c r="C1376" s="4"/>
      <c r="D1376" s="4"/>
      <c r="E1376" s="4"/>
      <c r="F1376" s="4"/>
      <c r="G1376" s="4"/>
      <c r="H1376" s="4"/>
      <c r="I1376" s="210"/>
      <c r="J1376" s="210"/>
    </row>
    <row r="1377" spans="2:10" x14ac:dyDescent="0.25">
      <c r="B1377" s="4"/>
      <c r="C1377" s="4"/>
      <c r="D1377" s="4"/>
      <c r="E1377" s="4"/>
      <c r="F1377" s="4"/>
      <c r="G1377" s="4"/>
      <c r="H1377" s="4"/>
      <c r="I1377" s="210"/>
      <c r="J1377" s="210"/>
    </row>
    <row r="1378" spans="2:10" x14ac:dyDescent="0.25">
      <c r="B1378" s="4"/>
      <c r="C1378" s="4"/>
      <c r="D1378" s="4"/>
      <c r="E1378" s="4"/>
      <c r="F1378" s="4"/>
      <c r="G1378" s="4"/>
      <c r="H1378" s="4"/>
      <c r="I1378" s="210"/>
      <c r="J1378" s="210"/>
    </row>
    <row r="1379" spans="2:10" x14ac:dyDescent="0.25">
      <c r="B1379" s="4"/>
      <c r="C1379" s="4"/>
      <c r="D1379" s="4"/>
      <c r="E1379" s="4"/>
      <c r="F1379" s="4"/>
      <c r="G1379" s="4"/>
      <c r="H1379" s="4"/>
      <c r="I1379" s="210"/>
      <c r="J1379" s="210"/>
    </row>
    <row r="1380" spans="2:10" x14ac:dyDescent="0.25">
      <c r="B1380" s="4"/>
      <c r="C1380" s="4"/>
      <c r="D1380" s="4"/>
      <c r="E1380" s="4"/>
      <c r="F1380" s="4"/>
      <c r="G1380" s="4"/>
      <c r="H1380" s="4"/>
      <c r="I1380" s="210"/>
      <c r="J1380" s="210"/>
    </row>
    <row r="1381" spans="2:10" x14ac:dyDescent="0.25">
      <c r="B1381" s="4"/>
      <c r="C1381" s="4"/>
      <c r="D1381" s="4"/>
      <c r="E1381" s="4"/>
      <c r="F1381" s="4"/>
      <c r="G1381" s="4"/>
      <c r="H1381" s="4"/>
      <c r="I1381" s="210"/>
      <c r="J1381" s="210"/>
    </row>
    <row r="1382" spans="2:10" x14ac:dyDescent="0.25">
      <c r="B1382" s="4"/>
      <c r="C1382" s="4"/>
      <c r="D1382" s="4"/>
      <c r="E1382" s="4"/>
      <c r="F1382" s="4"/>
      <c r="G1382" s="4"/>
      <c r="H1382" s="4"/>
      <c r="I1382" s="210"/>
      <c r="J1382" s="210"/>
    </row>
    <row r="1383" spans="2:10" x14ac:dyDescent="0.25">
      <c r="B1383" s="4"/>
      <c r="C1383" s="4"/>
      <c r="D1383" s="4"/>
      <c r="E1383" s="4"/>
      <c r="F1383" s="4"/>
      <c r="G1383" s="4"/>
      <c r="H1383" s="4"/>
      <c r="I1383" s="210"/>
      <c r="J1383" s="210"/>
    </row>
    <row r="1384" spans="2:10" x14ac:dyDescent="0.25">
      <c r="B1384" s="4"/>
      <c r="C1384" s="4"/>
      <c r="D1384" s="4"/>
      <c r="E1384" s="4"/>
      <c r="F1384" s="4"/>
      <c r="G1384" s="4"/>
      <c r="H1384" s="4"/>
      <c r="I1384" s="210"/>
      <c r="J1384" s="210"/>
    </row>
    <row r="1385" spans="2:10" x14ac:dyDescent="0.25">
      <c r="B1385" s="4"/>
      <c r="C1385" s="4"/>
      <c r="D1385" s="4"/>
      <c r="E1385" s="4"/>
      <c r="F1385" s="4"/>
      <c r="G1385" s="4"/>
      <c r="H1385" s="4"/>
      <c r="I1385" s="210"/>
      <c r="J1385" s="210"/>
    </row>
    <row r="1386" spans="2:10" x14ac:dyDescent="0.25">
      <c r="B1386" s="4"/>
      <c r="C1386" s="4"/>
      <c r="D1386" s="4"/>
      <c r="E1386" s="4"/>
      <c r="F1386" s="4"/>
      <c r="G1386" s="4"/>
      <c r="H1386" s="4"/>
      <c r="I1386" s="210"/>
      <c r="J1386" s="210"/>
    </row>
    <row r="1387" spans="2:10" x14ac:dyDescent="0.25">
      <c r="B1387" s="4"/>
      <c r="C1387" s="4"/>
      <c r="D1387" s="4"/>
      <c r="E1387" s="4"/>
      <c r="F1387" s="4"/>
      <c r="G1387" s="4"/>
      <c r="H1387" s="4"/>
      <c r="I1387" s="210"/>
      <c r="J1387" s="210"/>
    </row>
    <row r="1388" spans="2:10" x14ac:dyDescent="0.25">
      <c r="B1388" s="4"/>
      <c r="C1388" s="4"/>
      <c r="D1388" s="4"/>
      <c r="E1388" s="4"/>
      <c r="F1388" s="4"/>
      <c r="G1388" s="4"/>
      <c r="H1388" s="4"/>
      <c r="I1388" s="210"/>
      <c r="J1388" s="210"/>
    </row>
    <row r="1389" spans="2:10" x14ac:dyDescent="0.25">
      <c r="B1389" s="4"/>
      <c r="C1389" s="4"/>
      <c r="D1389" s="4"/>
      <c r="E1389" s="4"/>
      <c r="F1389" s="4"/>
      <c r="G1389" s="4"/>
      <c r="H1389" s="4"/>
      <c r="I1389" s="210"/>
      <c r="J1389" s="210"/>
    </row>
    <row r="1390" spans="2:10" x14ac:dyDescent="0.25">
      <c r="B1390" s="4"/>
      <c r="C1390" s="4"/>
      <c r="D1390" s="4"/>
      <c r="E1390" s="4"/>
      <c r="F1390" s="4"/>
      <c r="G1390" s="4"/>
      <c r="H1390" s="4"/>
      <c r="I1390" s="210"/>
      <c r="J1390" s="210"/>
    </row>
    <row r="1391" spans="2:10" x14ac:dyDescent="0.25">
      <c r="B1391" s="4"/>
      <c r="C1391" s="4"/>
      <c r="D1391" s="4"/>
      <c r="E1391" s="4"/>
      <c r="F1391" s="4"/>
      <c r="G1391" s="4"/>
      <c r="H1391" s="4"/>
      <c r="I1391" s="210"/>
      <c r="J1391" s="210"/>
    </row>
    <row r="1392" spans="2:10" x14ac:dyDescent="0.25">
      <c r="B1392" s="4"/>
      <c r="C1392" s="4"/>
      <c r="D1392" s="4"/>
      <c r="E1392" s="4"/>
      <c r="F1392" s="4"/>
      <c r="G1392" s="4"/>
      <c r="H1392" s="4"/>
      <c r="I1392" s="210"/>
      <c r="J1392" s="210"/>
    </row>
    <row r="1393" spans="2:10" x14ac:dyDescent="0.25">
      <c r="B1393" s="4"/>
      <c r="C1393" s="4"/>
      <c r="D1393" s="4"/>
      <c r="E1393" s="4"/>
      <c r="F1393" s="4"/>
      <c r="G1393" s="4"/>
      <c r="H1393" s="4"/>
      <c r="I1393" s="210"/>
      <c r="J1393" s="210"/>
    </row>
    <row r="1394" spans="2:10" x14ac:dyDescent="0.25">
      <c r="B1394" s="4"/>
      <c r="C1394" s="4"/>
      <c r="D1394" s="4"/>
      <c r="E1394" s="4"/>
      <c r="F1394" s="4"/>
      <c r="G1394" s="4"/>
      <c r="H1394" s="4"/>
      <c r="I1394" s="210"/>
      <c r="J1394" s="210"/>
    </row>
    <row r="1395" spans="2:10" x14ac:dyDescent="0.25">
      <c r="B1395" s="4"/>
      <c r="C1395" s="4"/>
      <c r="D1395" s="4"/>
      <c r="E1395" s="4"/>
      <c r="F1395" s="4"/>
      <c r="G1395" s="4"/>
      <c r="H1395" s="4"/>
      <c r="I1395" s="210"/>
      <c r="J1395" s="210"/>
    </row>
    <row r="1396" spans="2:10" x14ac:dyDescent="0.25">
      <c r="B1396" s="4"/>
      <c r="C1396" s="4"/>
      <c r="D1396" s="4"/>
      <c r="E1396" s="4"/>
      <c r="F1396" s="4"/>
      <c r="G1396" s="4"/>
      <c r="H1396" s="4"/>
      <c r="I1396" s="210"/>
      <c r="J1396" s="210"/>
    </row>
    <row r="1397" spans="2:10" x14ac:dyDescent="0.25">
      <c r="B1397" s="4"/>
      <c r="C1397" s="4"/>
      <c r="D1397" s="4"/>
      <c r="E1397" s="4"/>
      <c r="F1397" s="4"/>
      <c r="G1397" s="4"/>
      <c r="H1397" s="4"/>
      <c r="I1397" s="210"/>
      <c r="J1397" s="210"/>
    </row>
    <row r="1398" spans="2:10" x14ac:dyDescent="0.25">
      <c r="B1398" s="4"/>
      <c r="C1398" s="4"/>
      <c r="D1398" s="4"/>
      <c r="E1398" s="4"/>
      <c r="F1398" s="4"/>
      <c r="G1398" s="4"/>
      <c r="H1398" s="4"/>
      <c r="I1398" s="210"/>
      <c r="J1398" s="210"/>
    </row>
    <row r="1399" spans="2:10" x14ac:dyDescent="0.25">
      <c r="B1399" s="4"/>
      <c r="C1399" s="4"/>
      <c r="D1399" s="4"/>
      <c r="E1399" s="4"/>
      <c r="F1399" s="4"/>
      <c r="G1399" s="4"/>
      <c r="H1399" s="4"/>
      <c r="I1399" s="210"/>
      <c r="J1399" s="210"/>
    </row>
    <row r="1400" spans="2:10" x14ac:dyDescent="0.25">
      <c r="B1400" s="4"/>
      <c r="C1400" s="4"/>
      <c r="D1400" s="4"/>
      <c r="E1400" s="4"/>
      <c r="F1400" s="4"/>
      <c r="G1400" s="4"/>
      <c r="H1400" s="4"/>
      <c r="I1400" s="210"/>
      <c r="J1400" s="210"/>
    </row>
    <row r="1401" spans="2:10" x14ac:dyDescent="0.25">
      <c r="B1401" s="4"/>
      <c r="C1401" s="4"/>
      <c r="D1401" s="4"/>
      <c r="E1401" s="4"/>
      <c r="F1401" s="4"/>
      <c r="G1401" s="4"/>
      <c r="H1401" s="4"/>
      <c r="I1401" s="210"/>
      <c r="J1401" s="210"/>
    </row>
    <row r="1402" spans="2:10" x14ac:dyDescent="0.25">
      <c r="B1402" s="4"/>
      <c r="C1402" s="4"/>
      <c r="D1402" s="4"/>
      <c r="E1402" s="4"/>
      <c r="F1402" s="4"/>
      <c r="G1402" s="4"/>
      <c r="H1402" s="4"/>
      <c r="I1402" s="210"/>
      <c r="J1402" s="210"/>
    </row>
    <row r="1403" spans="2:10" x14ac:dyDescent="0.25">
      <c r="B1403" s="4"/>
      <c r="C1403" s="4"/>
      <c r="D1403" s="4"/>
      <c r="E1403" s="4"/>
      <c r="F1403" s="4"/>
      <c r="G1403" s="4"/>
      <c r="H1403" s="4"/>
      <c r="I1403" s="210"/>
      <c r="J1403" s="210"/>
    </row>
    <row r="1404" spans="2:10" x14ac:dyDescent="0.25">
      <c r="B1404" s="4"/>
      <c r="C1404" s="4"/>
      <c r="D1404" s="4"/>
      <c r="E1404" s="4"/>
      <c r="F1404" s="4"/>
      <c r="G1404" s="4"/>
      <c r="H1404" s="4"/>
      <c r="I1404" s="210"/>
      <c r="J1404" s="210"/>
    </row>
    <row r="1405" spans="2:10" x14ac:dyDescent="0.25">
      <c r="B1405" s="4"/>
      <c r="C1405" s="4"/>
      <c r="D1405" s="4"/>
      <c r="E1405" s="4"/>
      <c r="F1405" s="4"/>
      <c r="G1405" s="4"/>
      <c r="H1405" s="4"/>
      <c r="I1405" s="210"/>
      <c r="J1405" s="210"/>
    </row>
    <row r="1406" spans="2:10" x14ac:dyDescent="0.25">
      <c r="B1406" s="4"/>
      <c r="C1406" s="4"/>
      <c r="D1406" s="4"/>
      <c r="E1406" s="4"/>
      <c r="F1406" s="4"/>
      <c r="G1406" s="4"/>
      <c r="H1406" s="4"/>
      <c r="I1406" s="210"/>
      <c r="J1406" s="210"/>
    </row>
    <row r="1407" spans="2:10" x14ac:dyDescent="0.25">
      <c r="B1407" s="4"/>
      <c r="C1407" s="4"/>
      <c r="D1407" s="4"/>
      <c r="E1407" s="4"/>
      <c r="F1407" s="4"/>
      <c r="G1407" s="4"/>
      <c r="H1407" s="4"/>
      <c r="I1407" s="210"/>
      <c r="J1407" s="210"/>
    </row>
    <row r="1408" spans="2:10" x14ac:dyDescent="0.25">
      <c r="B1408" s="4"/>
      <c r="C1408" s="4"/>
      <c r="D1408" s="4"/>
      <c r="E1408" s="4"/>
      <c r="F1408" s="4"/>
      <c r="G1408" s="4"/>
      <c r="H1408" s="4"/>
      <c r="I1408" s="210"/>
      <c r="J1408" s="210"/>
    </row>
    <row r="1409" spans="2:10" x14ac:dyDescent="0.25">
      <c r="B1409" s="4"/>
      <c r="C1409" s="4"/>
      <c r="D1409" s="4"/>
      <c r="E1409" s="4"/>
      <c r="F1409" s="4"/>
      <c r="G1409" s="4"/>
      <c r="H1409" s="4"/>
      <c r="I1409" s="210"/>
      <c r="J1409" s="210"/>
    </row>
    <row r="1410" spans="2:10" x14ac:dyDescent="0.25">
      <c r="B1410" s="4"/>
      <c r="C1410" s="4"/>
      <c r="D1410" s="4"/>
      <c r="E1410" s="4"/>
      <c r="F1410" s="4"/>
      <c r="G1410" s="4"/>
      <c r="H1410" s="4"/>
      <c r="I1410" s="210"/>
      <c r="J1410" s="210"/>
    </row>
    <row r="1411" spans="2:10" x14ac:dyDescent="0.25">
      <c r="B1411" s="4"/>
      <c r="C1411" s="4"/>
      <c r="D1411" s="4"/>
      <c r="E1411" s="4"/>
      <c r="F1411" s="4"/>
      <c r="G1411" s="4"/>
      <c r="H1411" s="4"/>
      <c r="I1411" s="210"/>
      <c r="J1411" s="210"/>
    </row>
    <row r="1412" spans="2:10" x14ac:dyDescent="0.25">
      <c r="B1412" s="4"/>
      <c r="C1412" s="4"/>
      <c r="D1412" s="4"/>
      <c r="E1412" s="4"/>
      <c r="F1412" s="4"/>
      <c r="G1412" s="4"/>
      <c r="H1412" s="4"/>
      <c r="I1412" s="210"/>
      <c r="J1412" s="210"/>
    </row>
    <row r="1413" spans="2:10" x14ac:dyDescent="0.25">
      <c r="B1413" s="4"/>
      <c r="C1413" s="4"/>
      <c r="D1413" s="4"/>
      <c r="E1413" s="4"/>
      <c r="F1413" s="4"/>
      <c r="G1413" s="4"/>
      <c r="H1413" s="4"/>
      <c r="I1413" s="210"/>
      <c r="J1413" s="210"/>
    </row>
    <row r="1414" spans="2:10" x14ac:dyDescent="0.25">
      <c r="B1414" s="4"/>
      <c r="C1414" s="4"/>
      <c r="D1414" s="4"/>
      <c r="E1414" s="4"/>
      <c r="F1414" s="4"/>
      <c r="G1414" s="4"/>
      <c r="H1414" s="4"/>
      <c r="I1414" s="210"/>
      <c r="J1414" s="210"/>
    </row>
    <row r="1415" spans="2:10" x14ac:dyDescent="0.25">
      <c r="B1415" s="4"/>
      <c r="C1415" s="4"/>
      <c r="D1415" s="4"/>
      <c r="E1415" s="4"/>
      <c r="F1415" s="4"/>
      <c r="G1415" s="4"/>
      <c r="H1415" s="4"/>
      <c r="I1415" s="210"/>
      <c r="J1415" s="210"/>
    </row>
    <row r="1416" spans="2:10" x14ac:dyDescent="0.25">
      <c r="B1416" s="4"/>
      <c r="C1416" s="4"/>
      <c r="D1416" s="4"/>
      <c r="E1416" s="4"/>
      <c r="F1416" s="4"/>
      <c r="G1416" s="4"/>
      <c r="H1416" s="4"/>
      <c r="I1416" s="210"/>
      <c r="J1416" s="210"/>
    </row>
    <row r="1417" spans="2:10" x14ac:dyDescent="0.25">
      <c r="B1417" s="4"/>
      <c r="C1417" s="4"/>
      <c r="D1417" s="4"/>
      <c r="E1417" s="4"/>
      <c r="F1417" s="4"/>
      <c r="G1417" s="4"/>
      <c r="H1417" s="4"/>
      <c r="I1417" s="210"/>
      <c r="J1417" s="210"/>
    </row>
    <row r="1418" spans="2:10" x14ac:dyDescent="0.25">
      <c r="B1418" s="4"/>
      <c r="C1418" s="4"/>
      <c r="D1418" s="4"/>
      <c r="E1418" s="4"/>
      <c r="F1418" s="4"/>
      <c r="G1418" s="4"/>
      <c r="H1418" s="4"/>
      <c r="I1418" s="210"/>
      <c r="J1418" s="210"/>
    </row>
    <row r="1419" spans="2:10" x14ac:dyDescent="0.25">
      <c r="B1419" s="4"/>
      <c r="C1419" s="4"/>
      <c r="D1419" s="4"/>
      <c r="E1419" s="4"/>
      <c r="F1419" s="4"/>
      <c r="G1419" s="4"/>
      <c r="H1419" s="4"/>
      <c r="I1419" s="210"/>
      <c r="J1419" s="210"/>
    </row>
    <row r="1420" spans="2:10" x14ac:dyDescent="0.25">
      <c r="B1420" s="4"/>
      <c r="C1420" s="4"/>
      <c r="D1420" s="4"/>
      <c r="E1420" s="4"/>
      <c r="F1420" s="4"/>
      <c r="G1420" s="4"/>
      <c r="H1420" s="4"/>
      <c r="I1420" s="210"/>
      <c r="J1420" s="210"/>
    </row>
    <row r="1421" spans="2:10" x14ac:dyDescent="0.25">
      <c r="B1421" s="4"/>
      <c r="C1421" s="4"/>
      <c r="D1421" s="4"/>
      <c r="E1421" s="4"/>
      <c r="F1421" s="4"/>
      <c r="G1421" s="4"/>
      <c r="H1421" s="4"/>
      <c r="I1421" s="210"/>
      <c r="J1421" s="210"/>
    </row>
    <row r="1422" spans="2:10" x14ac:dyDescent="0.25">
      <c r="B1422" s="4"/>
      <c r="C1422" s="4"/>
      <c r="D1422" s="4"/>
      <c r="E1422" s="4"/>
      <c r="F1422" s="4"/>
      <c r="G1422" s="4"/>
      <c r="H1422" s="4"/>
      <c r="I1422" s="210"/>
      <c r="J1422" s="210"/>
    </row>
    <row r="1423" spans="2:10" x14ac:dyDescent="0.25">
      <c r="B1423" s="4"/>
      <c r="C1423" s="4"/>
      <c r="D1423" s="4"/>
      <c r="E1423" s="4"/>
      <c r="F1423" s="4"/>
      <c r="G1423" s="4"/>
      <c r="H1423" s="4"/>
      <c r="I1423" s="210"/>
      <c r="J1423" s="210"/>
    </row>
    <row r="1424" spans="2:10" x14ac:dyDescent="0.25">
      <c r="B1424" s="4"/>
      <c r="C1424" s="4"/>
      <c r="D1424" s="4"/>
      <c r="E1424" s="4"/>
      <c r="F1424" s="4"/>
      <c r="G1424" s="4"/>
      <c r="H1424" s="4"/>
      <c r="I1424" s="210"/>
      <c r="J1424" s="210"/>
    </row>
    <row r="1425" spans="2:10" x14ac:dyDescent="0.25">
      <c r="B1425" s="4"/>
      <c r="C1425" s="4"/>
      <c r="D1425" s="4"/>
      <c r="E1425" s="4"/>
      <c r="F1425" s="4"/>
      <c r="G1425" s="4"/>
      <c r="H1425" s="4"/>
      <c r="I1425" s="210"/>
      <c r="J1425" s="210"/>
    </row>
    <row r="1426" spans="2:10" x14ac:dyDescent="0.25">
      <c r="B1426" s="4"/>
      <c r="C1426" s="4"/>
      <c r="D1426" s="4"/>
      <c r="E1426" s="4"/>
      <c r="F1426" s="4"/>
      <c r="G1426" s="4"/>
      <c r="H1426" s="4"/>
      <c r="I1426" s="210"/>
      <c r="J1426" s="210"/>
    </row>
    <row r="1427" spans="2:10" x14ac:dyDescent="0.25">
      <c r="B1427" s="4"/>
      <c r="C1427" s="4"/>
      <c r="D1427" s="4"/>
      <c r="E1427" s="4"/>
      <c r="F1427" s="4"/>
      <c r="G1427" s="4"/>
      <c r="H1427" s="4"/>
      <c r="I1427" s="210"/>
      <c r="J1427" s="210"/>
    </row>
    <row r="1428" spans="2:10" x14ac:dyDescent="0.25">
      <c r="B1428" s="4"/>
      <c r="C1428" s="4"/>
      <c r="D1428" s="4"/>
      <c r="E1428" s="4"/>
      <c r="F1428" s="4"/>
      <c r="G1428" s="4"/>
      <c r="H1428" s="4"/>
      <c r="I1428" s="210"/>
      <c r="J1428" s="210"/>
    </row>
    <row r="1429" spans="2:10" x14ac:dyDescent="0.25">
      <c r="B1429" s="4"/>
      <c r="C1429" s="4"/>
      <c r="D1429" s="4"/>
      <c r="E1429" s="4"/>
      <c r="F1429" s="4"/>
      <c r="G1429" s="4"/>
      <c r="H1429" s="4"/>
      <c r="I1429" s="210"/>
      <c r="J1429" s="210"/>
    </row>
    <row r="1430" spans="2:10" x14ac:dyDescent="0.25">
      <c r="B1430" s="4"/>
      <c r="C1430" s="4"/>
      <c r="D1430" s="4"/>
      <c r="E1430" s="4"/>
      <c r="F1430" s="4"/>
      <c r="G1430" s="4"/>
      <c r="H1430" s="4"/>
      <c r="I1430" s="210"/>
      <c r="J1430" s="210"/>
    </row>
    <row r="1431" spans="2:10" x14ac:dyDescent="0.25">
      <c r="B1431" s="4"/>
      <c r="C1431" s="4"/>
      <c r="D1431" s="4"/>
      <c r="E1431" s="4"/>
      <c r="F1431" s="4"/>
      <c r="G1431" s="4"/>
      <c r="H1431" s="4"/>
      <c r="I1431" s="210"/>
      <c r="J1431" s="210"/>
    </row>
    <row r="1432" spans="2:10" x14ac:dyDescent="0.25">
      <c r="B1432" s="4"/>
      <c r="C1432" s="4"/>
      <c r="D1432" s="4"/>
      <c r="E1432" s="4"/>
      <c r="F1432" s="4"/>
      <c r="G1432" s="4"/>
      <c r="H1432" s="4"/>
      <c r="I1432" s="210"/>
      <c r="J1432" s="210"/>
    </row>
    <row r="1433" spans="2:10" x14ac:dyDescent="0.25">
      <c r="B1433" s="4"/>
      <c r="C1433" s="4"/>
      <c r="D1433" s="4"/>
      <c r="E1433" s="4"/>
      <c r="F1433" s="4"/>
      <c r="G1433" s="4"/>
      <c r="H1433" s="4"/>
      <c r="I1433" s="210"/>
      <c r="J1433" s="210"/>
    </row>
    <row r="1434" spans="2:10" x14ac:dyDescent="0.25">
      <c r="B1434" s="4"/>
      <c r="C1434" s="4"/>
      <c r="D1434" s="4"/>
      <c r="E1434" s="4"/>
      <c r="F1434" s="4"/>
      <c r="G1434" s="4"/>
      <c r="H1434" s="4"/>
      <c r="I1434" s="210"/>
      <c r="J1434" s="210"/>
    </row>
    <row r="1435" spans="2:10" x14ac:dyDescent="0.25">
      <c r="B1435" s="4"/>
      <c r="C1435" s="4"/>
      <c r="D1435" s="4"/>
      <c r="E1435" s="4"/>
      <c r="F1435" s="4"/>
      <c r="G1435" s="4"/>
      <c r="H1435" s="4"/>
      <c r="I1435" s="210"/>
      <c r="J1435" s="210"/>
    </row>
    <row r="1436" spans="2:10" x14ac:dyDescent="0.25">
      <c r="B1436" s="4"/>
      <c r="C1436" s="4"/>
      <c r="D1436" s="4"/>
      <c r="E1436" s="4"/>
      <c r="F1436" s="4"/>
      <c r="G1436" s="4"/>
      <c r="H1436" s="4"/>
      <c r="I1436" s="210"/>
      <c r="J1436" s="210"/>
    </row>
    <row r="1437" spans="2:10" x14ac:dyDescent="0.25">
      <c r="B1437" s="4"/>
      <c r="C1437" s="4"/>
      <c r="D1437" s="4"/>
      <c r="E1437" s="4"/>
      <c r="F1437" s="4"/>
      <c r="G1437" s="4"/>
      <c r="H1437" s="4"/>
      <c r="I1437" s="210"/>
      <c r="J1437" s="210"/>
    </row>
    <row r="1438" spans="2:10" x14ac:dyDescent="0.25">
      <c r="B1438" s="4"/>
      <c r="C1438" s="4"/>
      <c r="D1438" s="4"/>
      <c r="E1438" s="4"/>
      <c r="F1438" s="4"/>
      <c r="G1438" s="4"/>
      <c r="H1438" s="4"/>
      <c r="I1438" s="210"/>
      <c r="J1438" s="210"/>
    </row>
    <row r="1439" spans="2:10" x14ac:dyDescent="0.25">
      <c r="B1439" s="4"/>
      <c r="C1439" s="4"/>
      <c r="D1439" s="4"/>
      <c r="E1439" s="4"/>
      <c r="F1439" s="4"/>
      <c r="G1439" s="4"/>
      <c r="H1439" s="4"/>
      <c r="I1439" s="210"/>
      <c r="J1439" s="210"/>
    </row>
    <row r="1440" spans="2:10" x14ac:dyDescent="0.25">
      <c r="B1440" s="4"/>
      <c r="C1440" s="4"/>
      <c r="D1440" s="4"/>
      <c r="E1440" s="4"/>
      <c r="F1440" s="4"/>
      <c r="G1440" s="4"/>
      <c r="H1440" s="4"/>
      <c r="I1440" s="210"/>
      <c r="J1440" s="210"/>
    </row>
    <row r="1441" spans="2:10" x14ac:dyDescent="0.25">
      <c r="B1441" s="4"/>
      <c r="C1441" s="4"/>
      <c r="D1441" s="4"/>
      <c r="E1441" s="4"/>
      <c r="F1441" s="4"/>
      <c r="G1441" s="4"/>
      <c r="H1441" s="4"/>
      <c r="I1441" s="210"/>
      <c r="J1441" s="210"/>
    </row>
    <row r="1442" spans="2:10" x14ac:dyDescent="0.25">
      <c r="B1442" s="4"/>
      <c r="C1442" s="4"/>
      <c r="D1442" s="4"/>
      <c r="E1442" s="4"/>
      <c r="F1442" s="4"/>
      <c r="G1442" s="4"/>
      <c r="H1442" s="4"/>
      <c r="I1442" s="210"/>
      <c r="J1442" s="210"/>
    </row>
    <row r="1443" spans="2:10" x14ac:dyDescent="0.25">
      <c r="B1443" s="4"/>
      <c r="C1443" s="4"/>
      <c r="D1443" s="4"/>
      <c r="E1443" s="4"/>
      <c r="F1443" s="4"/>
      <c r="G1443" s="4"/>
      <c r="H1443" s="4"/>
      <c r="I1443" s="210"/>
      <c r="J1443" s="210"/>
    </row>
    <row r="1444" spans="2:10" x14ac:dyDescent="0.25">
      <c r="B1444" s="4"/>
      <c r="C1444" s="4"/>
      <c r="D1444" s="4"/>
      <c r="E1444" s="4"/>
      <c r="F1444" s="4"/>
      <c r="G1444" s="4"/>
      <c r="H1444" s="4"/>
      <c r="I1444" s="210"/>
      <c r="J1444" s="210"/>
    </row>
    <row r="1445" spans="2:10" x14ac:dyDescent="0.25">
      <c r="B1445" s="4"/>
      <c r="C1445" s="4"/>
      <c r="D1445" s="4"/>
      <c r="E1445" s="4"/>
      <c r="F1445" s="4"/>
      <c r="G1445" s="4"/>
      <c r="H1445" s="4"/>
      <c r="I1445" s="210"/>
      <c r="J1445" s="210"/>
    </row>
    <row r="1446" spans="2:10" x14ac:dyDescent="0.25">
      <c r="B1446" s="4"/>
      <c r="C1446" s="4"/>
      <c r="D1446" s="4"/>
      <c r="E1446" s="4"/>
      <c r="F1446" s="4"/>
      <c r="G1446" s="4"/>
      <c r="H1446" s="4"/>
      <c r="I1446" s="210"/>
      <c r="J1446" s="210"/>
    </row>
    <row r="1447" spans="2:10" x14ac:dyDescent="0.25">
      <c r="B1447" s="4"/>
      <c r="C1447" s="4"/>
      <c r="D1447" s="4"/>
      <c r="E1447" s="4"/>
      <c r="F1447" s="4"/>
      <c r="G1447" s="4"/>
      <c r="H1447" s="4"/>
      <c r="I1447" s="210"/>
      <c r="J1447" s="210"/>
    </row>
    <row r="1448" spans="2:10" x14ac:dyDescent="0.25">
      <c r="B1448" s="4"/>
      <c r="C1448" s="4"/>
      <c r="D1448" s="4"/>
      <c r="E1448" s="4"/>
      <c r="F1448" s="4"/>
      <c r="G1448" s="4"/>
      <c r="H1448" s="4"/>
      <c r="I1448" s="210"/>
      <c r="J1448" s="210"/>
    </row>
    <row r="1449" spans="2:10" x14ac:dyDescent="0.25">
      <c r="B1449" s="4"/>
      <c r="C1449" s="4"/>
      <c r="D1449" s="4"/>
      <c r="E1449" s="4"/>
      <c r="F1449" s="4"/>
      <c r="G1449" s="4"/>
      <c r="H1449" s="4"/>
      <c r="I1449" s="210"/>
      <c r="J1449" s="210"/>
    </row>
    <row r="1450" spans="2:10" x14ac:dyDescent="0.25">
      <c r="B1450" s="4"/>
      <c r="C1450" s="4"/>
      <c r="D1450" s="4"/>
      <c r="E1450" s="4"/>
      <c r="F1450" s="4"/>
      <c r="G1450" s="4"/>
      <c r="H1450" s="4"/>
      <c r="I1450" s="210"/>
      <c r="J1450" s="210"/>
    </row>
    <row r="1451" spans="2:10" x14ac:dyDescent="0.25">
      <c r="B1451" s="4"/>
      <c r="C1451" s="4"/>
      <c r="D1451" s="4"/>
      <c r="E1451" s="4"/>
      <c r="F1451" s="4"/>
      <c r="G1451" s="4"/>
      <c r="H1451" s="4"/>
      <c r="I1451" s="210"/>
      <c r="J1451" s="210"/>
    </row>
    <row r="1452" spans="2:10" x14ac:dyDescent="0.25">
      <c r="B1452" s="4"/>
      <c r="C1452" s="4"/>
      <c r="D1452" s="4"/>
      <c r="E1452" s="4"/>
      <c r="F1452" s="4"/>
      <c r="G1452" s="4"/>
      <c r="H1452" s="4"/>
      <c r="I1452" s="210"/>
      <c r="J1452" s="210"/>
    </row>
    <row r="1453" spans="2:10" x14ac:dyDescent="0.25">
      <c r="B1453" s="4"/>
      <c r="C1453" s="4"/>
      <c r="D1453" s="4"/>
      <c r="E1453" s="4"/>
      <c r="F1453" s="4"/>
      <c r="G1453" s="4"/>
      <c r="H1453" s="4"/>
      <c r="I1453" s="210"/>
      <c r="J1453" s="210"/>
    </row>
    <row r="1454" spans="2:10" x14ac:dyDescent="0.25">
      <c r="B1454" s="4"/>
      <c r="C1454" s="4"/>
      <c r="D1454" s="4"/>
      <c r="E1454" s="4"/>
      <c r="F1454" s="4"/>
      <c r="G1454" s="4"/>
      <c r="H1454" s="4"/>
      <c r="I1454" s="210"/>
      <c r="J1454" s="210"/>
    </row>
    <row r="1455" spans="2:10" x14ac:dyDescent="0.25">
      <c r="B1455" s="4"/>
      <c r="C1455" s="4"/>
      <c r="D1455" s="4"/>
      <c r="E1455" s="4"/>
      <c r="F1455" s="4"/>
      <c r="G1455" s="4"/>
      <c r="H1455" s="4"/>
      <c r="I1455" s="210"/>
      <c r="J1455" s="210"/>
    </row>
    <row r="1456" spans="2:10" x14ac:dyDescent="0.25">
      <c r="B1456" s="4"/>
      <c r="C1456" s="4"/>
      <c r="D1456" s="4"/>
      <c r="E1456" s="4"/>
      <c r="F1456" s="4"/>
      <c r="G1456" s="4"/>
      <c r="H1456" s="4"/>
      <c r="I1456" s="210"/>
      <c r="J1456" s="210"/>
    </row>
    <row r="1457" spans="2:10" x14ac:dyDescent="0.25">
      <c r="B1457" s="4"/>
      <c r="C1457" s="4"/>
      <c r="D1457" s="4"/>
      <c r="E1457" s="4"/>
      <c r="F1457" s="4"/>
      <c r="G1457" s="4"/>
      <c r="H1457" s="4"/>
      <c r="I1457" s="210"/>
      <c r="J1457" s="210"/>
    </row>
    <row r="1458" spans="2:10" x14ac:dyDescent="0.25">
      <c r="B1458" s="4"/>
      <c r="C1458" s="4"/>
      <c r="D1458" s="4"/>
      <c r="E1458" s="4"/>
      <c r="F1458" s="4"/>
      <c r="G1458" s="4"/>
      <c r="H1458" s="4"/>
      <c r="I1458" s="210"/>
      <c r="J1458" s="210"/>
    </row>
    <row r="1459" spans="2:10" x14ac:dyDescent="0.25">
      <c r="B1459" s="4"/>
      <c r="C1459" s="4"/>
      <c r="D1459" s="4"/>
      <c r="E1459" s="4"/>
      <c r="F1459" s="4"/>
      <c r="G1459" s="4"/>
      <c r="H1459" s="4"/>
      <c r="I1459" s="210"/>
      <c r="J1459" s="210"/>
    </row>
    <row r="1460" spans="2:10" x14ac:dyDescent="0.25">
      <c r="B1460" s="4"/>
      <c r="C1460" s="4"/>
      <c r="D1460" s="4"/>
      <c r="E1460" s="4"/>
      <c r="F1460" s="4"/>
      <c r="G1460" s="4"/>
      <c r="H1460" s="4"/>
      <c r="I1460" s="210"/>
      <c r="J1460" s="210"/>
    </row>
    <row r="1461" spans="2:10" x14ac:dyDescent="0.25">
      <c r="B1461" s="4"/>
      <c r="C1461" s="4"/>
      <c r="D1461" s="4"/>
      <c r="E1461" s="4"/>
      <c r="F1461" s="4"/>
      <c r="G1461" s="4"/>
      <c r="H1461" s="4"/>
      <c r="I1461" s="210"/>
      <c r="J1461" s="210"/>
    </row>
    <row r="1462" spans="2:10" x14ac:dyDescent="0.25">
      <c r="B1462" s="4"/>
      <c r="C1462" s="4"/>
      <c r="D1462" s="4"/>
      <c r="E1462" s="4"/>
      <c r="F1462" s="4"/>
      <c r="G1462" s="4"/>
      <c r="H1462" s="4"/>
      <c r="I1462" s="210"/>
      <c r="J1462" s="210"/>
    </row>
    <row r="1463" spans="2:10" x14ac:dyDescent="0.25">
      <c r="B1463" s="4"/>
      <c r="C1463" s="4"/>
      <c r="D1463" s="4"/>
      <c r="E1463" s="4"/>
      <c r="F1463" s="4"/>
      <c r="G1463" s="4"/>
      <c r="H1463" s="4"/>
      <c r="I1463" s="210"/>
      <c r="J1463" s="210"/>
    </row>
    <row r="1464" spans="2:10" x14ac:dyDescent="0.25">
      <c r="B1464" s="4"/>
      <c r="C1464" s="4"/>
      <c r="D1464" s="4"/>
      <c r="E1464" s="4"/>
      <c r="F1464" s="4"/>
      <c r="G1464" s="4"/>
      <c r="H1464" s="4"/>
      <c r="I1464" s="210"/>
      <c r="J1464" s="210"/>
    </row>
    <row r="1465" spans="2:10" x14ac:dyDescent="0.25">
      <c r="B1465" s="4"/>
      <c r="C1465" s="4"/>
      <c r="D1465" s="4"/>
      <c r="E1465" s="4"/>
      <c r="F1465" s="4"/>
      <c r="G1465" s="4"/>
      <c r="H1465" s="4"/>
      <c r="I1465" s="210"/>
      <c r="J1465" s="210"/>
    </row>
    <row r="1466" spans="2:10" x14ac:dyDescent="0.25">
      <c r="B1466" s="4"/>
      <c r="C1466" s="4"/>
      <c r="D1466" s="4"/>
      <c r="E1466" s="4"/>
      <c r="F1466" s="4"/>
      <c r="G1466" s="4"/>
      <c r="H1466" s="4"/>
      <c r="I1466" s="210"/>
      <c r="J1466" s="210"/>
    </row>
    <row r="1467" spans="2:10" x14ac:dyDescent="0.25">
      <c r="B1467" s="4"/>
      <c r="C1467" s="4"/>
      <c r="D1467" s="4"/>
      <c r="E1467" s="4"/>
      <c r="F1467" s="4"/>
      <c r="G1467" s="4"/>
      <c r="H1467" s="4"/>
      <c r="I1467" s="210"/>
      <c r="J1467" s="210"/>
    </row>
    <row r="1468" spans="2:10" x14ac:dyDescent="0.25">
      <c r="B1468" s="4"/>
      <c r="C1468" s="4"/>
      <c r="D1468" s="4"/>
      <c r="E1468" s="4"/>
      <c r="F1468" s="4"/>
      <c r="G1468" s="4"/>
      <c r="H1468" s="4"/>
      <c r="I1468" s="210"/>
      <c r="J1468" s="210"/>
    </row>
    <row r="1469" spans="2:10" x14ac:dyDescent="0.25">
      <c r="B1469" s="4"/>
      <c r="C1469" s="4"/>
      <c r="D1469" s="4"/>
      <c r="E1469" s="4"/>
      <c r="F1469" s="4"/>
      <c r="G1469" s="4"/>
      <c r="H1469" s="4"/>
      <c r="I1469" s="210"/>
      <c r="J1469" s="210"/>
    </row>
    <row r="1470" spans="2:10" x14ac:dyDescent="0.25">
      <c r="B1470" s="4"/>
      <c r="C1470" s="4"/>
      <c r="D1470" s="4"/>
      <c r="E1470" s="4"/>
      <c r="F1470" s="4"/>
      <c r="G1470" s="4"/>
      <c r="H1470" s="4"/>
      <c r="I1470" s="210"/>
      <c r="J1470" s="210"/>
    </row>
    <row r="1471" spans="2:10" x14ac:dyDescent="0.25">
      <c r="B1471" s="4"/>
      <c r="C1471" s="4"/>
      <c r="D1471" s="4"/>
      <c r="E1471" s="4"/>
      <c r="F1471" s="4"/>
      <c r="G1471" s="4"/>
      <c r="H1471" s="4"/>
      <c r="I1471" s="210"/>
      <c r="J1471" s="210"/>
    </row>
    <row r="1472" spans="2:10" x14ac:dyDescent="0.25">
      <c r="B1472" s="4"/>
      <c r="C1472" s="4"/>
      <c r="D1472" s="4"/>
      <c r="E1472" s="4"/>
      <c r="F1472" s="4"/>
      <c r="G1472" s="4"/>
      <c r="H1472" s="4"/>
      <c r="I1472" s="210"/>
      <c r="J1472" s="210"/>
    </row>
    <row r="1473" spans="2:10" x14ac:dyDescent="0.25">
      <c r="B1473" s="4"/>
      <c r="C1473" s="4"/>
      <c r="D1473" s="4"/>
      <c r="E1473" s="4"/>
      <c r="F1473" s="4"/>
      <c r="G1473" s="4"/>
      <c r="H1473" s="4"/>
      <c r="I1473" s="210"/>
      <c r="J1473" s="210"/>
    </row>
    <row r="1474" spans="2:10" x14ac:dyDescent="0.25">
      <c r="B1474" s="4"/>
      <c r="C1474" s="4"/>
      <c r="D1474" s="4"/>
      <c r="E1474" s="4"/>
      <c r="F1474" s="4"/>
      <c r="G1474" s="4"/>
      <c r="H1474" s="4"/>
      <c r="I1474" s="210"/>
      <c r="J1474" s="210"/>
    </row>
    <row r="1475" spans="2:10" x14ac:dyDescent="0.25">
      <c r="B1475" s="4"/>
      <c r="C1475" s="4"/>
      <c r="D1475" s="4"/>
      <c r="E1475" s="4"/>
      <c r="F1475" s="4"/>
      <c r="G1475" s="4"/>
      <c r="H1475" s="4"/>
      <c r="I1475" s="210"/>
      <c r="J1475" s="210"/>
    </row>
    <row r="1476" spans="2:10" x14ac:dyDescent="0.25">
      <c r="B1476" s="4"/>
      <c r="C1476" s="4"/>
      <c r="D1476" s="4"/>
      <c r="E1476" s="4"/>
      <c r="F1476" s="4"/>
      <c r="G1476" s="4"/>
      <c r="H1476" s="4"/>
      <c r="I1476" s="210"/>
      <c r="J1476" s="210"/>
    </row>
    <row r="1477" spans="2:10" x14ac:dyDescent="0.25">
      <c r="B1477" s="4"/>
      <c r="C1477" s="4"/>
      <c r="D1477" s="4"/>
      <c r="E1477" s="4"/>
      <c r="F1477" s="4"/>
      <c r="G1477" s="4"/>
      <c r="H1477" s="4"/>
      <c r="I1477" s="210"/>
      <c r="J1477" s="210"/>
    </row>
    <row r="1478" spans="2:10" x14ac:dyDescent="0.25">
      <c r="B1478" s="4"/>
      <c r="C1478" s="4"/>
      <c r="D1478" s="4"/>
      <c r="E1478" s="4"/>
      <c r="F1478" s="4"/>
      <c r="G1478" s="4"/>
      <c r="H1478" s="4"/>
      <c r="I1478" s="210"/>
      <c r="J1478" s="210"/>
    </row>
    <row r="1479" spans="2:10" x14ac:dyDescent="0.25">
      <c r="B1479" s="4"/>
      <c r="C1479" s="4"/>
      <c r="D1479" s="4"/>
      <c r="E1479" s="4"/>
      <c r="F1479" s="4"/>
      <c r="G1479" s="4"/>
      <c r="H1479" s="4"/>
      <c r="I1479" s="210"/>
      <c r="J1479" s="210"/>
    </row>
    <row r="1480" spans="2:10" x14ac:dyDescent="0.25">
      <c r="B1480" s="4"/>
      <c r="C1480" s="4"/>
      <c r="D1480" s="4"/>
      <c r="E1480" s="4"/>
      <c r="F1480" s="4"/>
      <c r="G1480" s="4"/>
      <c r="H1480" s="4"/>
      <c r="I1480" s="210"/>
      <c r="J1480" s="210"/>
    </row>
    <row r="1481" spans="2:10" x14ac:dyDescent="0.25">
      <c r="B1481" s="4"/>
      <c r="C1481" s="4"/>
      <c r="D1481" s="4"/>
      <c r="E1481" s="4"/>
      <c r="F1481" s="4"/>
      <c r="G1481" s="4"/>
      <c r="H1481" s="4"/>
      <c r="I1481" s="210"/>
      <c r="J1481" s="210"/>
    </row>
    <row r="1482" spans="2:10" x14ac:dyDescent="0.25">
      <c r="B1482" s="4"/>
      <c r="C1482" s="4"/>
      <c r="D1482" s="4"/>
      <c r="E1482" s="4"/>
      <c r="F1482" s="4"/>
      <c r="G1482" s="4"/>
      <c r="H1482" s="4"/>
      <c r="I1482" s="210"/>
      <c r="J1482" s="210"/>
    </row>
    <row r="1483" spans="2:10" x14ac:dyDescent="0.25">
      <c r="B1483" s="4"/>
      <c r="C1483" s="4"/>
      <c r="D1483" s="4"/>
      <c r="E1483" s="4"/>
      <c r="F1483" s="4"/>
      <c r="G1483" s="4"/>
      <c r="H1483" s="4"/>
      <c r="I1483" s="210"/>
      <c r="J1483" s="210"/>
    </row>
    <row r="1484" spans="2:10" x14ac:dyDescent="0.25">
      <c r="B1484" s="4"/>
      <c r="C1484" s="4"/>
      <c r="D1484" s="4"/>
      <c r="E1484" s="4"/>
      <c r="F1484" s="4"/>
      <c r="G1484" s="4"/>
      <c r="H1484" s="4"/>
      <c r="I1484" s="210"/>
      <c r="J1484" s="210"/>
    </row>
    <row r="1485" spans="2:10" x14ac:dyDescent="0.25">
      <c r="B1485" s="4"/>
      <c r="C1485" s="4"/>
      <c r="D1485" s="4"/>
      <c r="E1485" s="4"/>
      <c r="F1485" s="4"/>
      <c r="G1485" s="4"/>
      <c r="H1485" s="4"/>
      <c r="I1485" s="210"/>
      <c r="J1485" s="210"/>
    </row>
    <row r="1486" spans="2:10" x14ac:dyDescent="0.25">
      <c r="B1486" s="4"/>
      <c r="C1486" s="4"/>
      <c r="D1486" s="4"/>
      <c r="E1486" s="4"/>
      <c r="F1486" s="4"/>
      <c r="G1486" s="4"/>
      <c r="H1486" s="4"/>
      <c r="I1486" s="210"/>
      <c r="J1486" s="210"/>
    </row>
    <row r="1487" spans="2:10" x14ac:dyDescent="0.25">
      <c r="B1487" s="4"/>
      <c r="C1487" s="4"/>
      <c r="D1487" s="4"/>
      <c r="E1487" s="4"/>
      <c r="F1487" s="4"/>
      <c r="G1487" s="4"/>
      <c r="H1487" s="4"/>
      <c r="I1487" s="210"/>
      <c r="J1487" s="210"/>
    </row>
    <row r="1488" spans="2:10" x14ac:dyDescent="0.25">
      <c r="B1488" s="4"/>
      <c r="C1488" s="4"/>
      <c r="D1488" s="4"/>
      <c r="E1488" s="4"/>
      <c r="F1488" s="4"/>
      <c r="G1488" s="4"/>
      <c r="H1488" s="4"/>
      <c r="I1488" s="210"/>
      <c r="J1488" s="210"/>
    </row>
    <row r="1489" spans="2:10" x14ac:dyDescent="0.25">
      <c r="B1489" s="4"/>
      <c r="C1489" s="4"/>
      <c r="D1489" s="4"/>
      <c r="E1489" s="4"/>
      <c r="F1489" s="4"/>
      <c r="G1489" s="4"/>
      <c r="H1489" s="4"/>
      <c r="I1489" s="210"/>
      <c r="J1489" s="210"/>
    </row>
    <row r="1490" spans="2:10" x14ac:dyDescent="0.25">
      <c r="B1490" s="4"/>
      <c r="C1490" s="4"/>
      <c r="D1490" s="4"/>
      <c r="E1490" s="4"/>
      <c r="F1490" s="4"/>
      <c r="G1490" s="4"/>
      <c r="H1490" s="4"/>
      <c r="I1490" s="210"/>
      <c r="J1490" s="210"/>
    </row>
    <row r="1491" spans="2:10" x14ac:dyDescent="0.25">
      <c r="B1491" s="4"/>
      <c r="C1491" s="4"/>
      <c r="D1491" s="4"/>
      <c r="E1491" s="4"/>
      <c r="F1491" s="4"/>
      <c r="G1491" s="4"/>
      <c r="H1491" s="4"/>
      <c r="I1491" s="210"/>
      <c r="J1491" s="210"/>
    </row>
    <row r="1492" spans="2:10" x14ac:dyDescent="0.25">
      <c r="B1492" s="4"/>
      <c r="C1492" s="4"/>
      <c r="D1492" s="4"/>
      <c r="E1492" s="4"/>
      <c r="F1492" s="4"/>
      <c r="G1492" s="4"/>
      <c r="H1492" s="4"/>
      <c r="I1492" s="210"/>
      <c r="J1492" s="210"/>
    </row>
    <row r="1493" spans="2:10" x14ac:dyDescent="0.25">
      <c r="B1493" s="4"/>
      <c r="C1493" s="4"/>
      <c r="D1493" s="4"/>
      <c r="E1493" s="4"/>
      <c r="F1493" s="4"/>
      <c r="G1493" s="4"/>
      <c r="H1493" s="4"/>
      <c r="I1493" s="210"/>
      <c r="J1493" s="210"/>
    </row>
    <row r="1494" spans="2:10" x14ac:dyDescent="0.25">
      <c r="B1494" s="4"/>
      <c r="C1494" s="4"/>
      <c r="D1494" s="4"/>
      <c r="E1494" s="4"/>
      <c r="F1494" s="4"/>
      <c r="G1494" s="4"/>
      <c r="H1494" s="4"/>
      <c r="I1494" s="210"/>
      <c r="J1494" s="210"/>
    </row>
    <row r="1495" spans="2:10" x14ac:dyDescent="0.25">
      <c r="B1495" s="4"/>
      <c r="C1495" s="4"/>
      <c r="D1495" s="4"/>
      <c r="E1495" s="4"/>
      <c r="F1495" s="4"/>
      <c r="G1495" s="4"/>
      <c r="H1495" s="4"/>
      <c r="I1495" s="210"/>
      <c r="J1495" s="210"/>
    </row>
    <row r="1496" spans="2:10" x14ac:dyDescent="0.25">
      <c r="B1496" s="4"/>
      <c r="C1496" s="4"/>
      <c r="D1496" s="4"/>
      <c r="E1496" s="4"/>
      <c r="F1496" s="4"/>
      <c r="G1496" s="4"/>
      <c r="H1496" s="4"/>
      <c r="I1496" s="210"/>
      <c r="J1496" s="210"/>
    </row>
    <row r="1497" spans="2:10" x14ac:dyDescent="0.25">
      <c r="B1497" s="4"/>
      <c r="C1497" s="4"/>
      <c r="D1497" s="4"/>
      <c r="E1497" s="4"/>
      <c r="F1497" s="4"/>
      <c r="G1497" s="4"/>
      <c r="H1497" s="4"/>
      <c r="I1497" s="210"/>
      <c r="J1497" s="210"/>
    </row>
    <row r="1498" spans="2:10" x14ac:dyDescent="0.25">
      <c r="B1498" s="4"/>
      <c r="C1498" s="4"/>
      <c r="D1498" s="4"/>
      <c r="E1498" s="4"/>
      <c r="F1498" s="4"/>
      <c r="G1498" s="4"/>
      <c r="H1498" s="4"/>
      <c r="I1498" s="210"/>
      <c r="J1498" s="210"/>
    </row>
    <row r="1499" spans="2:10" x14ac:dyDescent="0.25">
      <c r="B1499" s="4"/>
      <c r="C1499" s="4"/>
      <c r="D1499" s="4"/>
      <c r="E1499" s="4"/>
      <c r="F1499" s="4"/>
      <c r="G1499" s="4"/>
      <c r="H1499" s="4"/>
      <c r="I1499" s="210"/>
      <c r="J1499" s="210"/>
    </row>
    <row r="1500" spans="2:10" x14ac:dyDescent="0.25">
      <c r="B1500" s="4"/>
      <c r="C1500" s="4"/>
      <c r="D1500" s="4"/>
      <c r="E1500" s="4"/>
      <c r="F1500" s="4"/>
      <c r="G1500" s="4"/>
      <c r="H1500" s="4"/>
      <c r="I1500" s="210"/>
      <c r="J1500" s="210"/>
    </row>
    <row r="1501" spans="2:10" x14ac:dyDescent="0.25">
      <c r="B1501" s="4"/>
      <c r="C1501" s="4"/>
      <c r="D1501" s="4"/>
      <c r="E1501" s="4"/>
      <c r="F1501" s="4"/>
      <c r="G1501" s="4"/>
      <c r="H1501" s="4"/>
      <c r="I1501" s="210"/>
      <c r="J1501" s="210"/>
    </row>
    <row r="1502" spans="2:10" x14ac:dyDescent="0.25">
      <c r="B1502" s="4"/>
      <c r="C1502" s="4"/>
      <c r="D1502" s="4"/>
      <c r="E1502" s="4"/>
      <c r="F1502" s="4"/>
      <c r="G1502" s="4"/>
      <c r="H1502" s="4"/>
      <c r="I1502" s="210"/>
      <c r="J1502" s="210"/>
    </row>
    <row r="1503" spans="2:10" x14ac:dyDescent="0.25">
      <c r="B1503" s="4"/>
      <c r="C1503" s="4"/>
      <c r="D1503" s="4"/>
      <c r="E1503" s="4"/>
      <c r="F1503" s="4"/>
      <c r="G1503" s="4"/>
      <c r="H1503" s="4"/>
      <c r="I1503" s="210"/>
      <c r="J1503" s="210"/>
    </row>
    <row r="1504" spans="2:10" x14ac:dyDescent="0.25">
      <c r="B1504" s="4"/>
      <c r="C1504" s="4"/>
      <c r="D1504" s="4"/>
      <c r="E1504" s="4"/>
      <c r="F1504" s="4"/>
      <c r="G1504" s="4"/>
      <c r="H1504" s="4"/>
      <c r="I1504" s="210"/>
      <c r="J1504" s="210"/>
    </row>
    <row r="1505" spans="2:10" x14ac:dyDescent="0.25">
      <c r="B1505" s="4"/>
      <c r="C1505" s="4"/>
      <c r="D1505" s="4"/>
      <c r="E1505" s="4"/>
      <c r="F1505" s="4"/>
      <c r="G1505" s="4"/>
      <c r="H1505" s="4"/>
      <c r="I1505" s="210"/>
      <c r="J1505" s="210"/>
    </row>
    <row r="1506" spans="2:10" x14ac:dyDescent="0.25">
      <c r="B1506" s="4"/>
      <c r="C1506" s="4"/>
      <c r="D1506" s="4"/>
      <c r="E1506" s="4"/>
      <c r="F1506" s="4"/>
      <c r="G1506" s="4"/>
      <c r="H1506" s="4"/>
      <c r="I1506" s="210"/>
      <c r="J1506" s="210"/>
    </row>
    <row r="1507" spans="2:10" x14ac:dyDescent="0.25">
      <c r="B1507" s="4"/>
      <c r="C1507" s="4"/>
      <c r="D1507" s="4"/>
      <c r="E1507" s="4"/>
      <c r="F1507" s="4"/>
      <c r="G1507" s="4"/>
      <c r="H1507" s="4"/>
      <c r="I1507" s="210"/>
      <c r="J1507" s="210"/>
    </row>
    <row r="1508" spans="2:10" x14ac:dyDescent="0.25">
      <c r="B1508" s="4"/>
      <c r="C1508" s="4"/>
      <c r="D1508" s="4"/>
      <c r="E1508" s="4"/>
      <c r="F1508" s="4"/>
      <c r="G1508" s="4"/>
      <c r="H1508" s="4"/>
      <c r="I1508" s="210"/>
      <c r="J1508" s="210"/>
    </row>
    <row r="1509" spans="2:10" x14ac:dyDescent="0.25">
      <c r="B1509" s="4"/>
      <c r="C1509" s="4"/>
      <c r="D1509" s="4"/>
      <c r="E1509" s="4"/>
      <c r="F1509" s="4"/>
      <c r="G1509" s="4"/>
      <c r="H1509" s="4"/>
      <c r="I1509" s="210"/>
      <c r="J1509" s="210"/>
    </row>
    <row r="1510" spans="2:10" x14ac:dyDescent="0.25">
      <c r="B1510" s="4"/>
      <c r="C1510" s="4"/>
      <c r="D1510" s="4"/>
      <c r="E1510" s="4"/>
      <c r="F1510" s="4"/>
      <c r="G1510" s="4"/>
      <c r="H1510" s="4"/>
      <c r="I1510" s="210"/>
      <c r="J1510" s="210"/>
    </row>
    <row r="1511" spans="2:10" x14ac:dyDescent="0.25">
      <c r="B1511" s="4"/>
      <c r="C1511" s="4"/>
      <c r="D1511" s="4"/>
      <c r="E1511" s="4"/>
      <c r="F1511" s="4"/>
      <c r="G1511" s="4"/>
      <c r="H1511" s="4"/>
      <c r="I1511" s="210"/>
      <c r="J1511" s="210"/>
    </row>
    <row r="1512" spans="2:10" x14ac:dyDescent="0.25">
      <c r="B1512" s="4"/>
      <c r="C1512" s="4"/>
      <c r="D1512" s="4"/>
      <c r="E1512" s="4"/>
      <c r="F1512" s="4"/>
      <c r="G1512" s="4"/>
      <c r="H1512" s="4"/>
      <c r="I1512" s="210"/>
      <c r="J1512" s="210"/>
    </row>
    <row r="1513" spans="2:10" x14ac:dyDescent="0.25">
      <c r="B1513" s="4"/>
      <c r="C1513" s="4"/>
      <c r="D1513" s="4"/>
      <c r="E1513" s="4"/>
      <c r="F1513" s="4"/>
      <c r="G1513" s="4"/>
      <c r="H1513" s="4"/>
      <c r="I1513" s="210"/>
      <c r="J1513" s="210"/>
    </row>
    <row r="1514" spans="2:10" x14ac:dyDescent="0.25">
      <c r="B1514" s="4"/>
      <c r="C1514" s="4"/>
      <c r="D1514" s="4"/>
      <c r="E1514" s="4"/>
      <c r="F1514" s="4"/>
      <c r="G1514" s="4"/>
      <c r="H1514" s="4"/>
      <c r="I1514" s="210"/>
      <c r="J1514" s="210"/>
    </row>
    <row r="1515" spans="2:10" x14ac:dyDescent="0.25">
      <c r="B1515" s="4"/>
      <c r="C1515" s="4"/>
      <c r="D1515" s="4"/>
      <c r="E1515" s="4"/>
      <c r="F1515" s="4"/>
      <c r="G1515" s="4"/>
      <c r="H1515" s="4"/>
      <c r="I1515" s="210"/>
      <c r="J1515" s="210"/>
    </row>
    <row r="1516" spans="2:10" x14ac:dyDescent="0.25">
      <c r="B1516" s="4"/>
      <c r="C1516" s="4"/>
      <c r="D1516" s="4"/>
      <c r="E1516" s="4"/>
      <c r="F1516" s="4"/>
      <c r="G1516" s="4"/>
      <c r="H1516" s="4"/>
      <c r="I1516" s="210"/>
      <c r="J1516" s="210"/>
    </row>
    <row r="1517" spans="2:10" x14ac:dyDescent="0.25">
      <c r="B1517" s="4"/>
      <c r="C1517" s="4"/>
      <c r="D1517" s="4"/>
      <c r="E1517" s="4"/>
      <c r="F1517" s="4"/>
      <c r="G1517" s="4"/>
      <c r="H1517" s="4"/>
      <c r="I1517" s="210"/>
      <c r="J1517" s="210"/>
    </row>
    <row r="1518" spans="2:10" x14ac:dyDescent="0.25">
      <c r="B1518" s="4"/>
      <c r="C1518" s="4"/>
      <c r="D1518" s="4"/>
      <c r="E1518" s="4"/>
      <c r="F1518" s="4"/>
      <c r="G1518" s="4"/>
      <c r="H1518" s="4"/>
      <c r="I1518" s="210"/>
      <c r="J1518" s="210"/>
    </row>
    <row r="1519" spans="2:10" x14ac:dyDescent="0.25">
      <c r="B1519" s="4"/>
      <c r="C1519" s="4"/>
      <c r="D1519" s="4"/>
      <c r="E1519" s="4"/>
      <c r="F1519" s="4"/>
      <c r="G1519" s="4"/>
      <c r="H1519" s="4"/>
      <c r="I1519" s="210"/>
      <c r="J1519" s="210"/>
    </row>
    <row r="1520" spans="2:10" x14ac:dyDescent="0.25">
      <c r="B1520" s="4"/>
      <c r="C1520" s="4"/>
      <c r="D1520" s="4"/>
      <c r="E1520" s="4"/>
      <c r="F1520" s="4"/>
      <c r="G1520" s="4"/>
      <c r="H1520" s="4"/>
      <c r="I1520" s="210"/>
      <c r="J1520" s="210"/>
    </row>
    <row r="1521" spans="2:10" x14ac:dyDescent="0.25">
      <c r="B1521" s="4"/>
      <c r="C1521" s="4"/>
      <c r="D1521" s="4"/>
      <c r="E1521" s="4"/>
      <c r="F1521" s="4"/>
      <c r="G1521" s="4"/>
      <c r="H1521" s="4"/>
      <c r="I1521" s="210"/>
      <c r="J1521" s="210"/>
    </row>
    <row r="1522" spans="2:10" x14ac:dyDescent="0.25">
      <c r="B1522" s="4"/>
      <c r="C1522" s="4"/>
      <c r="D1522" s="4"/>
      <c r="E1522" s="4"/>
      <c r="F1522" s="4"/>
      <c r="G1522" s="4"/>
      <c r="H1522" s="4"/>
      <c r="I1522" s="210"/>
      <c r="J1522" s="210"/>
    </row>
    <row r="1523" spans="2:10" x14ac:dyDescent="0.25">
      <c r="B1523" s="4"/>
      <c r="C1523" s="4"/>
      <c r="D1523" s="4"/>
      <c r="E1523" s="4"/>
      <c r="F1523" s="4"/>
      <c r="G1523" s="4"/>
      <c r="H1523" s="4"/>
      <c r="I1523" s="210"/>
      <c r="J1523" s="210"/>
    </row>
    <row r="1524" spans="2:10" x14ac:dyDescent="0.25">
      <c r="B1524" s="4"/>
      <c r="C1524" s="4"/>
      <c r="D1524" s="4"/>
      <c r="E1524" s="4"/>
      <c r="F1524" s="4"/>
      <c r="G1524" s="4"/>
      <c r="H1524" s="4"/>
      <c r="I1524" s="210"/>
      <c r="J1524" s="210"/>
    </row>
    <row r="1525" spans="2:10" x14ac:dyDescent="0.25">
      <c r="B1525" s="4"/>
      <c r="C1525" s="4"/>
      <c r="D1525" s="4"/>
      <c r="E1525" s="4"/>
      <c r="F1525" s="4"/>
      <c r="G1525" s="4"/>
      <c r="H1525" s="4"/>
      <c r="I1525" s="210"/>
      <c r="J1525" s="210"/>
    </row>
    <row r="1526" spans="2:10" x14ac:dyDescent="0.25">
      <c r="B1526" s="4"/>
      <c r="C1526" s="4"/>
      <c r="D1526" s="4"/>
      <c r="E1526" s="4"/>
      <c r="F1526" s="4"/>
      <c r="G1526" s="4"/>
      <c r="H1526" s="4"/>
      <c r="I1526" s="210"/>
      <c r="J1526" s="210"/>
    </row>
    <row r="1527" spans="2:10" x14ac:dyDescent="0.25">
      <c r="B1527" s="4"/>
      <c r="C1527" s="4"/>
      <c r="D1527" s="4"/>
      <c r="E1527" s="4"/>
      <c r="F1527" s="4"/>
      <c r="G1527" s="4"/>
      <c r="H1527" s="4"/>
      <c r="I1527" s="210"/>
      <c r="J1527" s="210"/>
    </row>
    <row r="1528" spans="2:10" x14ac:dyDescent="0.25">
      <c r="B1528" s="4"/>
      <c r="C1528" s="4"/>
      <c r="D1528" s="4"/>
      <c r="E1528" s="4"/>
      <c r="F1528" s="4"/>
      <c r="G1528" s="4"/>
      <c r="H1528" s="4"/>
      <c r="I1528" s="210"/>
      <c r="J1528" s="210"/>
    </row>
    <row r="1529" spans="2:10" x14ac:dyDescent="0.25">
      <c r="B1529" s="4"/>
      <c r="C1529" s="4"/>
      <c r="D1529" s="4"/>
      <c r="E1529" s="4"/>
      <c r="F1529" s="4"/>
      <c r="G1529" s="4"/>
      <c r="H1529" s="4"/>
      <c r="I1529" s="210"/>
      <c r="J1529" s="210"/>
    </row>
    <row r="1530" spans="2:10" x14ac:dyDescent="0.25">
      <c r="B1530" s="4"/>
      <c r="C1530" s="4"/>
      <c r="D1530" s="4"/>
      <c r="E1530" s="4"/>
      <c r="F1530" s="4"/>
      <c r="G1530" s="4"/>
      <c r="H1530" s="4"/>
      <c r="I1530" s="210"/>
      <c r="J1530" s="210"/>
    </row>
    <row r="1531" spans="2:10" x14ac:dyDescent="0.25">
      <c r="B1531" s="4"/>
      <c r="C1531" s="4"/>
      <c r="D1531" s="4"/>
      <c r="E1531" s="4"/>
      <c r="F1531" s="4"/>
      <c r="G1531" s="4"/>
      <c r="H1531" s="4"/>
      <c r="I1531" s="210"/>
      <c r="J1531" s="210"/>
    </row>
    <row r="1532" spans="2:10" x14ac:dyDescent="0.25">
      <c r="B1532" s="4"/>
      <c r="C1532" s="4"/>
      <c r="D1532" s="4"/>
      <c r="E1532" s="4"/>
      <c r="F1532" s="4"/>
      <c r="G1532" s="4"/>
      <c r="H1532" s="4"/>
      <c r="I1532" s="210"/>
      <c r="J1532" s="210"/>
    </row>
    <row r="1533" spans="2:10" x14ac:dyDescent="0.25">
      <c r="B1533" s="4"/>
      <c r="C1533" s="4"/>
      <c r="D1533" s="4"/>
      <c r="E1533" s="4"/>
      <c r="F1533" s="4"/>
      <c r="G1533" s="4"/>
      <c r="H1533" s="4"/>
      <c r="I1533" s="210"/>
      <c r="J1533" s="210"/>
    </row>
    <row r="1534" spans="2:10" x14ac:dyDescent="0.25">
      <c r="B1534" s="4"/>
      <c r="C1534" s="4"/>
      <c r="D1534" s="4"/>
      <c r="E1534" s="4"/>
      <c r="F1534" s="4"/>
      <c r="G1534" s="4"/>
      <c r="H1534" s="4"/>
      <c r="I1534" s="210"/>
      <c r="J1534" s="210"/>
    </row>
    <row r="1535" spans="2:10" x14ac:dyDescent="0.25">
      <c r="B1535" s="4"/>
      <c r="C1535" s="4"/>
      <c r="D1535" s="4"/>
      <c r="E1535" s="4"/>
      <c r="F1535" s="4"/>
      <c r="G1535" s="4"/>
      <c r="H1535" s="4"/>
      <c r="I1535" s="210"/>
      <c r="J1535" s="210"/>
    </row>
    <row r="1536" spans="2:10" x14ac:dyDescent="0.25">
      <c r="B1536" s="4"/>
      <c r="C1536" s="4"/>
      <c r="D1536" s="4"/>
      <c r="E1536" s="4"/>
      <c r="F1536" s="4"/>
      <c r="G1536" s="4"/>
      <c r="H1536" s="4"/>
      <c r="I1536" s="210"/>
      <c r="J1536" s="210"/>
    </row>
    <row r="1537" spans="2:10" x14ac:dyDescent="0.25">
      <c r="B1537" s="4"/>
      <c r="C1537" s="4"/>
      <c r="D1537" s="4"/>
      <c r="E1537" s="4"/>
      <c r="F1537" s="4"/>
      <c r="G1537" s="4"/>
      <c r="H1537" s="4"/>
      <c r="I1537" s="210"/>
      <c r="J1537" s="210"/>
    </row>
    <row r="1538" spans="2:10" x14ac:dyDescent="0.25">
      <c r="B1538" s="4"/>
      <c r="C1538" s="4"/>
      <c r="D1538" s="4"/>
      <c r="E1538" s="4"/>
      <c r="F1538" s="4"/>
      <c r="G1538" s="4"/>
      <c r="H1538" s="4"/>
      <c r="I1538" s="210"/>
      <c r="J1538" s="210"/>
    </row>
    <row r="1539" spans="2:10" x14ac:dyDescent="0.25">
      <c r="B1539" s="4"/>
      <c r="C1539" s="4"/>
      <c r="D1539" s="4"/>
      <c r="E1539" s="4"/>
      <c r="F1539" s="4"/>
      <c r="G1539" s="4"/>
      <c r="H1539" s="4"/>
      <c r="I1539" s="210"/>
      <c r="J1539" s="210"/>
    </row>
    <row r="1540" spans="2:10" x14ac:dyDescent="0.25">
      <c r="B1540" s="4"/>
      <c r="C1540" s="4"/>
      <c r="D1540" s="4"/>
      <c r="E1540" s="4"/>
      <c r="F1540" s="4"/>
      <c r="G1540" s="4"/>
      <c r="H1540" s="4"/>
      <c r="I1540" s="210"/>
      <c r="J1540" s="210"/>
    </row>
    <row r="1541" spans="2:10" x14ac:dyDescent="0.25">
      <c r="B1541" s="4"/>
      <c r="C1541" s="4"/>
      <c r="D1541" s="4"/>
      <c r="E1541" s="4"/>
      <c r="F1541" s="4"/>
      <c r="G1541" s="4"/>
      <c r="H1541" s="4"/>
      <c r="I1541" s="210"/>
      <c r="J1541" s="210"/>
    </row>
    <row r="1542" spans="2:10" x14ac:dyDescent="0.25">
      <c r="B1542" s="4"/>
      <c r="C1542" s="4"/>
      <c r="D1542" s="4"/>
      <c r="E1542" s="4"/>
      <c r="F1542" s="4"/>
      <c r="G1542" s="4"/>
      <c r="H1542" s="4"/>
      <c r="I1542" s="210"/>
      <c r="J1542" s="210"/>
    </row>
    <row r="1543" spans="2:10" x14ac:dyDescent="0.25">
      <c r="B1543" s="4"/>
      <c r="C1543" s="4"/>
      <c r="D1543" s="4"/>
      <c r="E1543" s="4"/>
      <c r="F1543" s="4"/>
      <c r="G1543" s="4"/>
      <c r="H1543" s="4"/>
      <c r="I1543" s="210"/>
      <c r="J1543" s="210"/>
    </row>
    <row r="1544" spans="2:10" x14ac:dyDescent="0.25">
      <c r="B1544" s="4"/>
      <c r="C1544" s="4"/>
      <c r="D1544" s="4"/>
      <c r="E1544" s="4"/>
      <c r="F1544" s="4"/>
      <c r="G1544" s="4"/>
      <c r="H1544" s="4"/>
      <c r="I1544" s="210"/>
      <c r="J1544" s="210"/>
    </row>
    <row r="1545" spans="2:10" x14ac:dyDescent="0.25">
      <c r="B1545" s="4"/>
      <c r="C1545" s="4"/>
      <c r="D1545" s="4"/>
      <c r="E1545" s="4"/>
      <c r="F1545" s="4"/>
      <c r="G1545" s="4"/>
      <c r="H1545" s="4"/>
      <c r="I1545" s="210"/>
      <c r="J1545" s="210"/>
    </row>
    <row r="1546" spans="2:10" x14ac:dyDescent="0.25">
      <c r="B1546" s="4"/>
      <c r="C1546" s="4"/>
      <c r="D1546" s="4"/>
      <c r="E1546" s="4"/>
      <c r="F1546" s="4"/>
      <c r="G1546" s="4"/>
      <c r="H1546" s="4"/>
      <c r="I1546" s="210"/>
      <c r="J1546" s="210"/>
    </row>
    <row r="1547" spans="2:10" x14ac:dyDescent="0.25">
      <c r="B1547" s="4"/>
      <c r="C1547" s="4"/>
      <c r="D1547" s="4"/>
      <c r="E1547" s="4"/>
      <c r="F1547" s="4"/>
      <c r="G1547" s="4"/>
      <c r="H1547" s="4"/>
      <c r="I1547" s="210"/>
      <c r="J1547" s="210"/>
    </row>
    <row r="1548" spans="2:10" x14ac:dyDescent="0.25">
      <c r="B1548" s="4"/>
      <c r="C1548" s="4"/>
      <c r="D1548" s="4"/>
      <c r="E1548" s="4"/>
      <c r="F1548" s="4"/>
      <c r="G1548" s="4"/>
      <c r="H1548" s="4"/>
      <c r="I1548" s="210"/>
      <c r="J1548" s="210"/>
    </row>
    <row r="1549" spans="2:10" x14ac:dyDescent="0.25">
      <c r="B1549" s="4"/>
      <c r="C1549" s="4"/>
      <c r="D1549" s="4"/>
      <c r="E1549" s="4"/>
      <c r="F1549" s="4"/>
      <c r="G1549" s="4"/>
      <c r="H1549" s="4"/>
      <c r="I1549" s="210"/>
      <c r="J1549" s="210"/>
    </row>
    <row r="1550" spans="2:10" x14ac:dyDescent="0.25">
      <c r="B1550" s="4"/>
      <c r="C1550" s="4"/>
      <c r="D1550" s="4"/>
      <c r="E1550" s="4"/>
      <c r="F1550" s="4"/>
      <c r="G1550" s="4"/>
      <c r="H1550" s="4"/>
      <c r="I1550" s="210"/>
      <c r="J1550" s="210"/>
    </row>
    <row r="1551" spans="2:10" x14ac:dyDescent="0.25">
      <c r="B1551" s="4"/>
      <c r="C1551" s="4"/>
      <c r="D1551" s="4"/>
      <c r="E1551" s="4"/>
      <c r="F1551" s="4"/>
      <c r="G1551" s="4"/>
      <c r="H1551" s="4"/>
      <c r="I1551" s="210"/>
      <c r="J1551" s="210"/>
    </row>
    <row r="1552" spans="2:10" x14ac:dyDescent="0.25">
      <c r="B1552" s="4"/>
      <c r="C1552" s="4"/>
      <c r="D1552" s="4"/>
      <c r="E1552" s="4"/>
      <c r="F1552" s="4"/>
      <c r="G1552" s="4"/>
      <c r="H1552" s="4"/>
      <c r="I1552" s="210"/>
      <c r="J1552" s="210"/>
    </row>
    <row r="1553" spans="2:10" x14ac:dyDescent="0.25">
      <c r="B1553" s="4"/>
      <c r="C1553" s="4"/>
      <c r="D1553" s="4"/>
      <c r="E1553" s="4"/>
      <c r="F1553" s="4"/>
      <c r="G1553" s="4"/>
      <c r="H1553" s="4"/>
      <c r="I1553" s="210"/>
      <c r="J1553" s="210"/>
    </row>
    <row r="1554" spans="2:10" x14ac:dyDescent="0.25">
      <c r="B1554" s="4"/>
      <c r="C1554" s="4"/>
      <c r="D1554" s="4"/>
      <c r="E1554" s="4"/>
      <c r="F1554" s="4"/>
      <c r="G1554" s="4"/>
      <c r="H1554" s="4"/>
      <c r="I1554" s="210"/>
      <c r="J1554" s="210"/>
    </row>
    <row r="1555" spans="2:10" x14ac:dyDescent="0.25">
      <c r="B1555" s="4"/>
      <c r="C1555" s="4"/>
      <c r="D1555" s="4"/>
      <c r="E1555" s="4"/>
      <c r="F1555" s="4"/>
      <c r="G1555" s="4"/>
      <c r="H1555" s="4"/>
      <c r="I1555" s="210"/>
      <c r="J1555" s="210"/>
    </row>
    <row r="1556" spans="2:10" x14ac:dyDescent="0.25">
      <c r="B1556" s="4"/>
      <c r="C1556" s="4"/>
      <c r="D1556" s="4"/>
      <c r="E1556" s="4"/>
      <c r="F1556" s="4"/>
      <c r="G1556" s="4"/>
      <c r="H1556" s="4"/>
      <c r="I1556" s="210"/>
      <c r="J1556" s="210"/>
    </row>
    <row r="1557" spans="2:10" x14ac:dyDescent="0.25">
      <c r="B1557" s="4"/>
      <c r="C1557" s="4"/>
      <c r="D1557" s="4"/>
      <c r="E1557" s="4"/>
      <c r="F1557" s="4"/>
      <c r="G1557" s="4"/>
      <c r="H1557" s="4"/>
      <c r="I1557" s="210"/>
      <c r="J1557" s="210"/>
    </row>
    <row r="1558" spans="2:10" x14ac:dyDescent="0.25">
      <c r="B1558" s="4"/>
      <c r="C1558" s="4"/>
      <c r="D1558" s="4"/>
      <c r="E1558" s="4"/>
      <c r="F1558" s="4"/>
      <c r="G1558" s="4"/>
      <c r="H1558" s="4"/>
      <c r="I1558" s="210"/>
      <c r="J1558" s="210"/>
    </row>
    <row r="1559" spans="2:10" x14ac:dyDescent="0.25">
      <c r="B1559" s="4"/>
      <c r="C1559" s="4"/>
      <c r="D1559" s="4"/>
      <c r="E1559" s="4"/>
      <c r="F1559" s="4"/>
      <c r="G1559" s="4"/>
      <c r="H1559" s="4"/>
      <c r="I1559" s="210"/>
      <c r="J1559" s="210"/>
    </row>
  </sheetData>
  <sortState xmlns:xlrd2="http://schemas.microsoft.com/office/spreadsheetml/2017/richdata2" ref="W5:AB28">
    <sortCondition ref="W6:W28"/>
  </sortState>
  <customSheetViews>
    <customSheetView guid="{A079800B-DC1B-408F-91C7-3CFEB27825BC}" scale="80">
      <pane xSplit="1" ySplit="2" topLeftCell="B57" activePane="bottomRight" state="frozen"/>
      <selection pane="bottomRight" activeCell="N112" sqref="N112"/>
      <pageMargins left="0" right="0" top="0" bottom="0" header="0" footer="0"/>
      <printOptions gridLines="1"/>
      <pageSetup paperSize="9" orientation="portrait" verticalDpi="0" r:id="rId1"/>
    </customSheetView>
    <customSheetView guid="{6EFE602B-DDBA-4BA7-94F6-DB3212BD68C7}" scale="80">
      <pane xSplit="1" ySplit="2" topLeftCell="B3" activePane="bottomRight" state="frozen"/>
      <selection pane="bottomRight" activeCell="H2" sqref="H2"/>
      <pageMargins left="0" right="0" top="0" bottom="0" header="0" footer="0"/>
      <pageSetup paperSize="9" orientation="portrait" verticalDpi="0" r:id="rId2"/>
    </customSheetView>
  </customSheetViews>
  <dataValidations count="6">
    <dataValidation type="list" allowBlank="1" showInputMessage="1" showErrorMessage="1" sqref="K3" xr:uid="{00000000-0002-0000-0900-000000000000}">
      <formula1>$AA$5:$AA$6</formula1>
    </dataValidation>
    <dataValidation type="list" allowBlank="1" showInputMessage="1" showErrorMessage="1" sqref="I3" xr:uid="{00000000-0002-0000-0900-000001000000}">
      <formula1>$Z$5:$Z$8</formula1>
    </dataValidation>
    <dataValidation type="list" allowBlank="1" showInputMessage="1" showErrorMessage="1" sqref="L3" xr:uid="{00000000-0002-0000-0900-000002000000}">
      <formula1>$AB$5:$AB$8</formula1>
    </dataValidation>
    <dataValidation type="list" allowBlank="1" showInputMessage="1" showErrorMessage="1" sqref="F3" xr:uid="{00000000-0002-0000-0900-000003000000}">
      <formula1>$X$5:$X$22</formula1>
    </dataValidation>
    <dataValidation type="list" allowBlank="1" showInputMessage="1" showErrorMessage="1" sqref="C3" xr:uid="{00000000-0002-0000-0900-000004000000}">
      <formula1>$W$5:$W$34</formula1>
    </dataValidation>
    <dataValidation type="list" allowBlank="1" showInputMessage="1" showErrorMessage="1" sqref="G3:H3" xr:uid="{00000000-0002-0000-0900-000005000000}">
      <formula1>$Y$5:$Y$40</formula1>
    </dataValidation>
  </dataValidations>
  <printOptions gridLines="1"/>
  <pageMargins left="0.25" right="0.25" top="0.75" bottom="0.75" header="0.3" footer="0.3"/>
  <pageSetup paperSize="9" scale="10" orientation="portrait" r:id="rId3"/>
  <headerFooter>
    <oddFooter>&amp;L_x000D_&amp;1#&amp;"Calibri"&amp;8&amp;K000000 Classified as Confidential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B050"/>
    <pageSetUpPr fitToPage="1"/>
  </sheetPr>
  <dimension ref="A1:AX1116"/>
  <sheetViews>
    <sheetView zoomScale="85" zoomScaleNormal="85" zoomScaleSheetLayoutView="85" workbookViewId="0">
      <pane ySplit="2" topLeftCell="A105" activePane="bottomLeft" state="frozen"/>
      <selection activeCell="C77" sqref="C77"/>
      <selection pane="bottomLeft" activeCell="E121" sqref="E121"/>
    </sheetView>
  </sheetViews>
  <sheetFormatPr defaultColWidth="9.140625" defaultRowHeight="15.75" x14ac:dyDescent="0.25"/>
  <cols>
    <col min="1" max="1" width="6.5703125" style="378" customWidth="1"/>
    <col min="2" max="2" width="10.5703125" style="371" customWidth="1"/>
    <col min="3" max="3" width="8.5703125" style="370" customWidth="1"/>
    <col min="4" max="4" width="10.5703125" style="370" customWidth="1"/>
    <col min="5" max="5" width="7.5703125" style="370" customWidth="1"/>
    <col min="6" max="6" width="9.7109375" style="370" customWidth="1"/>
    <col min="7" max="7" width="10.140625" style="370" customWidth="1"/>
    <col min="8" max="8" width="8.42578125" style="378" bestFit="1" customWidth="1"/>
    <col min="9" max="9" width="15.5703125" style="378" bestFit="1" customWidth="1"/>
    <col min="10" max="10" width="10" style="380" customWidth="1"/>
    <col min="11" max="11" width="8.42578125" style="378" customWidth="1"/>
    <col min="12" max="12" width="18.5703125" style="378" bestFit="1" customWidth="1"/>
    <col min="13" max="13" width="9.85546875" style="370" bestFit="1" customWidth="1"/>
    <col min="14" max="14" width="11.42578125" style="370" customWidth="1"/>
    <col min="15" max="15" width="14.42578125" style="370" customWidth="1"/>
    <col min="16" max="16" width="15.5703125" style="370" customWidth="1"/>
    <col min="17" max="17" width="15.5703125" style="380" customWidth="1"/>
    <col min="18" max="18" width="25.28515625" style="381" customWidth="1"/>
    <col min="19" max="19" width="44.42578125" style="378" customWidth="1"/>
    <col min="20" max="20" width="15.140625" style="378" customWidth="1"/>
    <col min="21" max="21" width="11.85546875" style="378" customWidth="1"/>
    <col min="22" max="22" width="11.42578125" style="378" customWidth="1"/>
    <col min="23" max="23" width="13.42578125" style="378" customWidth="1"/>
    <col min="24" max="24" width="16" style="378" customWidth="1"/>
    <col min="25" max="25" width="9.140625" style="378"/>
    <col min="26" max="27" width="10.5703125" style="378" customWidth="1"/>
    <col min="28" max="28" width="12.42578125" style="378" customWidth="1"/>
    <col min="29" max="29" width="8.42578125" style="378" bestFit="1" customWidth="1"/>
    <col min="30" max="30" width="6.42578125" style="378" customWidth="1"/>
    <col min="31" max="31" width="14.42578125" style="378" customWidth="1"/>
    <col min="32" max="33" width="9.140625" style="378"/>
    <col min="34" max="34" width="11.42578125" style="378" customWidth="1"/>
    <col min="35" max="16384" width="9.140625" style="378"/>
  </cols>
  <sheetData>
    <row r="1" spans="1:27" x14ac:dyDescent="0.25">
      <c r="C1" s="399" t="s">
        <v>429</v>
      </c>
      <c r="D1" s="400" t="s">
        <v>527</v>
      </c>
    </row>
    <row r="2" spans="1:27" s="399" customFormat="1" ht="48" customHeight="1" x14ac:dyDescent="0.25">
      <c r="A2" s="350" t="s">
        <v>118</v>
      </c>
      <c r="B2" s="351" t="s">
        <v>122</v>
      </c>
      <c r="C2" s="352" t="s">
        <v>528</v>
      </c>
      <c r="D2" s="352" t="s">
        <v>434</v>
      </c>
      <c r="E2" s="352" t="s">
        <v>529</v>
      </c>
      <c r="F2" s="352" t="s">
        <v>120</v>
      </c>
      <c r="G2" s="352" t="s">
        <v>125</v>
      </c>
      <c r="H2" s="352" t="s">
        <v>433</v>
      </c>
      <c r="I2" s="353" t="s">
        <v>432</v>
      </c>
      <c r="J2" s="354" t="s">
        <v>435</v>
      </c>
      <c r="K2" s="355" t="s">
        <v>124</v>
      </c>
      <c r="L2" s="353" t="s">
        <v>438</v>
      </c>
      <c r="M2" s="353" t="s">
        <v>439</v>
      </c>
      <c r="N2" s="356" t="s">
        <v>440</v>
      </c>
      <c r="O2" s="352" t="s">
        <v>441</v>
      </c>
      <c r="P2" s="352" t="s">
        <v>530</v>
      </c>
      <c r="Q2" s="352" t="s">
        <v>531</v>
      </c>
      <c r="R2" s="352" t="s">
        <v>532</v>
      </c>
      <c r="S2" s="352" t="s">
        <v>533</v>
      </c>
      <c r="T2" s="352" t="s">
        <v>534</v>
      </c>
      <c r="U2" s="352" t="s">
        <v>535</v>
      </c>
      <c r="V2" s="352" t="s">
        <v>536</v>
      </c>
      <c r="W2" s="352" t="s">
        <v>237</v>
      </c>
      <c r="X2" s="352" t="s">
        <v>537</v>
      </c>
      <c r="Y2" s="352" t="s">
        <v>538</v>
      </c>
      <c r="Z2" s="401" t="s">
        <v>539</v>
      </c>
      <c r="AA2" s="401" t="s">
        <v>540</v>
      </c>
    </row>
    <row r="3" spans="1:27" ht="25.5" customHeight="1" x14ac:dyDescent="0.25">
      <c r="A3" s="329" t="s">
        <v>4</v>
      </c>
      <c r="B3" s="371">
        <v>46114</v>
      </c>
      <c r="C3" s="370" t="s">
        <v>541</v>
      </c>
      <c r="D3" s="402" t="s">
        <v>542</v>
      </c>
      <c r="E3" s="402" t="s">
        <v>543</v>
      </c>
      <c r="F3" s="370" t="s">
        <v>74</v>
      </c>
      <c r="G3" s="370">
        <v>16.5</v>
      </c>
      <c r="H3" s="370" t="s">
        <v>453</v>
      </c>
      <c r="I3" s="370">
        <v>4003007</v>
      </c>
      <c r="J3" s="380">
        <v>2030</v>
      </c>
      <c r="K3" s="370" t="s">
        <v>476</v>
      </c>
      <c r="L3" s="370" t="s">
        <v>544</v>
      </c>
      <c r="M3" s="397" t="s">
        <v>545</v>
      </c>
      <c r="N3" s="374">
        <v>46114</v>
      </c>
      <c r="O3" s="370" t="s">
        <v>546</v>
      </c>
      <c r="P3" s="392" t="e">
        <f>VLOOKUP($I3,Inward,21,0)</f>
        <v>#N/A</v>
      </c>
      <c r="R3" s="403" t="s">
        <v>547</v>
      </c>
      <c r="S3" s="390" t="str">
        <f>G3&amp;" "&amp;H3&amp;" "&amp;I3&amp;" "&amp;J3&amp;" "&amp;K3&amp;" "&amp;L3&amp;" "&amp;M3</f>
        <v>16.5 EN31 4003007 2030 TATA B78532 83</v>
      </c>
      <c r="T3" s="382" t="e">
        <f>VLOOKUP($H3,Inward,22,0)</f>
        <v>#N/A</v>
      </c>
      <c r="U3" s="383" t="e">
        <f>VLOOKUP($H3,Inward,23,0)</f>
        <v>#N/A</v>
      </c>
    </row>
    <row r="4" spans="1:27" ht="25.5" customHeight="1" x14ac:dyDescent="0.25">
      <c r="C4" s="370" t="s">
        <v>541</v>
      </c>
      <c r="D4" s="402" t="s">
        <v>548</v>
      </c>
      <c r="E4" s="402" t="s">
        <v>543</v>
      </c>
      <c r="F4" s="370" t="s">
        <v>74</v>
      </c>
      <c r="G4" s="370">
        <v>16.5</v>
      </c>
      <c r="H4" s="370" t="s">
        <v>453</v>
      </c>
      <c r="I4" s="370">
        <v>4003009</v>
      </c>
      <c r="J4" s="380">
        <v>2030</v>
      </c>
      <c r="K4" s="370" t="s">
        <v>476</v>
      </c>
      <c r="L4" s="370" t="s">
        <v>544</v>
      </c>
      <c r="M4" s="397" t="s">
        <v>545</v>
      </c>
      <c r="N4" s="374">
        <v>46114</v>
      </c>
      <c r="O4" s="370" t="s">
        <v>546</v>
      </c>
      <c r="P4" s="392" t="e">
        <f>VLOOKUP($I4,Inward,21,0)</f>
        <v>#N/A</v>
      </c>
      <c r="R4" s="403" t="s">
        <v>547</v>
      </c>
      <c r="S4" s="390" t="str">
        <f>G4&amp;" "&amp;H4&amp;" "&amp;I4&amp;" "&amp;J4&amp;" "&amp;K4&amp;" "&amp;L4&amp;" "&amp;M4</f>
        <v>16.5 EN31 4003009 2030 TATA B78532 83</v>
      </c>
      <c r="T4" s="382" t="e">
        <f>VLOOKUP($H4,Inward,22,0)</f>
        <v>#N/A</v>
      </c>
      <c r="U4" s="383" t="e">
        <f>VLOOKUP($H4,Inward,23,0)</f>
        <v>#N/A</v>
      </c>
    </row>
    <row r="5" spans="1:27" s="380" customFormat="1" ht="25.5" customHeight="1" x14ac:dyDescent="0.25">
      <c r="B5" s="385"/>
      <c r="E5" s="372">
        <v>401</v>
      </c>
      <c r="F5" s="357" t="s">
        <v>74</v>
      </c>
      <c r="G5" s="373" t="str">
        <f>VLOOKUP($F5,Party,8,0)</f>
        <v>Ponch</v>
      </c>
      <c r="H5" s="357"/>
      <c r="I5" s="357" t="s">
        <v>549</v>
      </c>
      <c r="J5" s="379">
        <f>SUBTOTAL(109,J3:J4)</f>
        <v>4060</v>
      </c>
      <c r="K5" s="358">
        <v>4064</v>
      </c>
      <c r="L5" s="357" t="s">
        <v>550</v>
      </c>
      <c r="M5" s="398">
        <f>TableDispatch[[#This Row],[Co.]]*0.25</f>
        <v>1016</v>
      </c>
      <c r="N5" s="374">
        <v>46114</v>
      </c>
      <c r="O5" s="375" t="s">
        <v>551</v>
      </c>
      <c r="P5" s="376" t="e">
        <f>SUM(P3:P4)</f>
        <v>#N/A</v>
      </c>
      <c r="R5" s="391"/>
      <c r="T5" s="386" t="e">
        <f t="shared" ref="T5:T129" si="0">VLOOKUP($I5,Inward,22,0)</f>
        <v>#N/A</v>
      </c>
      <c r="U5" s="385" t="e">
        <f t="shared" ref="U5:U129" si="1">VLOOKUP($I5,Inward,23,0)</f>
        <v>#N/A</v>
      </c>
    </row>
    <row r="6" spans="1:27" ht="25.5" customHeight="1" x14ac:dyDescent="0.25">
      <c r="A6" s="329" t="s">
        <v>4</v>
      </c>
      <c r="B6" s="371">
        <v>46115</v>
      </c>
      <c r="C6" s="370" t="s">
        <v>552</v>
      </c>
      <c r="D6" s="402" t="s">
        <v>553</v>
      </c>
      <c r="E6" s="402" t="s">
        <v>543</v>
      </c>
      <c r="F6" s="370" t="s">
        <v>74</v>
      </c>
      <c r="G6" s="370">
        <v>22</v>
      </c>
      <c r="H6" s="370" t="s">
        <v>453</v>
      </c>
      <c r="I6" s="370">
        <v>4003002</v>
      </c>
      <c r="J6" s="380">
        <v>1850</v>
      </c>
      <c r="K6" s="370" t="s">
        <v>476</v>
      </c>
      <c r="L6" s="370" t="s">
        <v>477</v>
      </c>
      <c r="M6" s="397" t="s">
        <v>478</v>
      </c>
      <c r="N6" s="374">
        <v>46115</v>
      </c>
      <c r="O6" s="370" t="s">
        <v>554</v>
      </c>
      <c r="P6" s="392" t="e">
        <f>VLOOKUP($I6,Inward,21,0)</f>
        <v>#N/A</v>
      </c>
      <c r="R6" s="403" t="s">
        <v>555</v>
      </c>
      <c r="S6" s="390" t="str">
        <f>G6&amp;" "&amp;H6&amp;" "&amp;I6&amp;" "&amp;J6&amp;" "&amp;K6&amp;" "&amp;L6&amp;" "&amp;M6</f>
        <v xml:space="preserve">22 EN31 4003002 1850 TATA B81120 </v>
      </c>
      <c r="T6" s="382" t="e">
        <f t="shared" si="0"/>
        <v>#N/A</v>
      </c>
      <c r="U6" s="383" t="e">
        <f t="shared" si="1"/>
        <v>#N/A</v>
      </c>
    </row>
    <row r="7" spans="1:27" ht="25.5" customHeight="1" x14ac:dyDescent="0.25">
      <c r="C7" s="370" t="s">
        <v>552</v>
      </c>
      <c r="D7" s="402" t="s">
        <v>556</v>
      </c>
      <c r="E7" s="402" t="s">
        <v>557</v>
      </c>
      <c r="F7" s="370" t="s">
        <v>74</v>
      </c>
      <c r="G7" s="370">
        <v>22</v>
      </c>
      <c r="H7" s="370" t="s">
        <v>453</v>
      </c>
      <c r="I7" s="370">
        <v>4003004</v>
      </c>
      <c r="J7" s="380">
        <v>1820</v>
      </c>
      <c r="K7" s="370" t="s">
        <v>476</v>
      </c>
      <c r="L7" s="370" t="s">
        <v>477</v>
      </c>
      <c r="M7" s="397" t="s">
        <v>558</v>
      </c>
      <c r="N7" s="374">
        <v>46115</v>
      </c>
      <c r="O7" s="370" t="s">
        <v>554</v>
      </c>
      <c r="P7" s="392" t="e">
        <f>VLOOKUP($I7,Inward,21,0)</f>
        <v>#N/A</v>
      </c>
      <c r="R7" s="403" t="s">
        <v>555</v>
      </c>
      <c r="S7" s="390" t="str">
        <f>G7&amp;" "&amp;H7&amp;" "&amp;I7&amp;" "&amp;J7&amp;" "&amp;K7&amp;" "&amp;L7&amp;" "&amp;M7</f>
        <v>22 EN31 4003004 1820 TATA B81120 81</v>
      </c>
      <c r="T7" s="382" t="e">
        <f t="shared" si="0"/>
        <v>#N/A</v>
      </c>
      <c r="U7" s="383" t="e">
        <f t="shared" si="1"/>
        <v>#N/A</v>
      </c>
    </row>
    <row r="8" spans="1:27" ht="25.5" customHeight="1" x14ac:dyDescent="0.25">
      <c r="B8" s="383"/>
      <c r="C8" s="378"/>
      <c r="D8" s="378"/>
      <c r="E8" s="372">
        <v>402</v>
      </c>
      <c r="F8" s="357" t="s">
        <v>74</v>
      </c>
      <c r="G8" s="384" t="str">
        <f>VLOOKUP($F8,Party,8,0)</f>
        <v>Ponch</v>
      </c>
      <c r="H8" s="369"/>
      <c r="I8" s="357" t="s">
        <v>549</v>
      </c>
      <c r="J8" s="369">
        <f>SUBTOTAL(109,J6:J7)</f>
        <v>3670</v>
      </c>
      <c r="K8" s="358">
        <v>3670</v>
      </c>
      <c r="L8" s="357" t="s">
        <v>550</v>
      </c>
      <c r="M8" s="398">
        <f>TableDispatch[[#This Row],[Co.]]*0.25</f>
        <v>917.5</v>
      </c>
      <c r="N8" s="374">
        <v>46115</v>
      </c>
      <c r="O8" s="375" t="s">
        <v>551</v>
      </c>
      <c r="P8" s="376" t="e">
        <f>SUM(P6:P7)</f>
        <v>#N/A</v>
      </c>
      <c r="Q8" s="378"/>
      <c r="R8" s="389"/>
      <c r="T8" s="382" t="e">
        <f t="shared" si="0"/>
        <v>#N/A</v>
      </c>
      <c r="U8" s="383" t="e">
        <f t="shared" si="1"/>
        <v>#N/A</v>
      </c>
    </row>
    <row r="9" spans="1:27" ht="25.5" customHeight="1" x14ac:dyDescent="0.25">
      <c r="A9" s="329" t="s">
        <v>4</v>
      </c>
      <c r="B9" s="371">
        <v>46117</v>
      </c>
      <c r="C9" s="370" t="s">
        <v>461</v>
      </c>
      <c r="D9" s="402" t="s">
        <v>559</v>
      </c>
      <c r="E9" s="402" t="s">
        <v>543</v>
      </c>
      <c r="F9" s="370" t="s">
        <v>21</v>
      </c>
      <c r="G9" s="370">
        <v>28</v>
      </c>
      <c r="H9" s="370" t="s">
        <v>464</v>
      </c>
      <c r="I9" s="370" t="s">
        <v>469</v>
      </c>
      <c r="J9" s="380">
        <v>1900</v>
      </c>
      <c r="K9" s="370" t="s">
        <v>560</v>
      </c>
      <c r="L9" s="370" t="s">
        <v>465</v>
      </c>
      <c r="M9" s="397" t="s">
        <v>478</v>
      </c>
      <c r="N9" s="374">
        <v>46117</v>
      </c>
      <c r="O9" s="370" t="s">
        <v>561</v>
      </c>
      <c r="P9" s="392">
        <f>VLOOKUP($I9,Inward,21,0)</f>
        <v>122550</v>
      </c>
      <c r="Q9" s="380" t="s">
        <v>562</v>
      </c>
      <c r="R9" s="404" t="s">
        <v>563</v>
      </c>
      <c r="S9" s="359" t="str">
        <f>G9&amp;" "&amp;H9&amp;" "&amp;I9&amp;" "&amp;J9&amp;" "&amp;K9&amp;" "&amp;L9&amp;" "&amp;M9</f>
        <v xml:space="preserve">28 SAE 610104A 1900 BSPL E260172 </v>
      </c>
      <c r="T9" s="382">
        <f t="shared" si="0"/>
        <v>0</v>
      </c>
      <c r="U9" s="383">
        <f t="shared" si="1"/>
        <v>0</v>
      </c>
    </row>
    <row r="10" spans="1:27" s="380" customFormat="1" ht="25.5" customHeight="1" x14ac:dyDescent="0.25">
      <c r="B10" s="385"/>
      <c r="E10" s="372">
        <v>403</v>
      </c>
      <c r="F10" s="357" t="s">
        <v>21</v>
      </c>
      <c r="G10" s="373" t="str">
        <f>VLOOKUP($F10,Party,8,0)</f>
        <v>Self/T</v>
      </c>
      <c r="H10" s="357"/>
      <c r="I10" s="357" t="s">
        <v>261</v>
      </c>
      <c r="J10" s="379">
        <f>SUBTOTAL(109,J8:J9)</f>
        <v>1900</v>
      </c>
      <c r="K10" s="358">
        <v>1905</v>
      </c>
      <c r="L10" s="357" t="s">
        <v>550</v>
      </c>
      <c r="M10" s="504"/>
      <c r="N10" s="374">
        <v>46117</v>
      </c>
      <c r="O10" s="375" t="s">
        <v>789</v>
      </c>
      <c r="P10" s="376">
        <f>SUM(P9)</f>
        <v>122550</v>
      </c>
      <c r="R10" s="404"/>
      <c r="T10" s="386" t="e">
        <f t="shared" si="0"/>
        <v>#N/A</v>
      </c>
      <c r="U10" s="385" t="e">
        <f t="shared" si="1"/>
        <v>#N/A</v>
      </c>
    </row>
    <row r="11" spans="1:27" ht="25.5" customHeight="1" x14ac:dyDescent="0.25">
      <c r="A11" s="329" t="s">
        <v>4</v>
      </c>
      <c r="B11" s="371">
        <v>46119</v>
      </c>
      <c r="C11" s="370" t="s">
        <v>481</v>
      </c>
      <c r="D11" s="370" t="s">
        <v>564</v>
      </c>
      <c r="E11" s="370" t="s">
        <v>543</v>
      </c>
      <c r="F11" s="370" t="s">
        <v>21</v>
      </c>
      <c r="G11" s="370">
        <v>17.5</v>
      </c>
      <c r="H11" s="378" t="s">
        <v>453</v>
      </c>
      <c r="I11" s="370">
        <v>610401</v>
      </c>
      <c r="J11" s="380">
        <v>1985</v>
      </c>
      <c r="K11" s="378" t="s">
        <v>476</v>
      </c>
      <c r="L11" s="378" t="s">
        <v>482</v>
      </c>
      <c r="M11" s="370" t="s">
        <v>478</v>
      </c>
      <c r="N11" s="374">
        <v>46119</v>
      </c>
      <c r="O11" s="370" t="s">
        <v>565</v>
      </c>
      <c r="P11" s="392">
        <f>VLOOKUP($I11,Inward,21,0)</f>
        <v>132995</v>
      </c>
      <c r="Q11" s="380" t="s">
        <v>566</v>
      </c>
      <c r="R11" s="404" t="s">
        <v>567</v>
      </c>
      <c r="S11" s="359" t="str">
        <f>G11&amp;" "&amp;H11&amp;" "&amp;I11&amp;" "&amp;J11&amp;" "&amp;K11&amp;" "&amp;L11&amp;" "&amp;M11</f>
        <v xml:space="preserve">17.5 EN31 610401 1985 TATA B81793 </v>
      </c>
      <c r="T11" s="382">
        <f t="shared" si="0"/>
        <v>0</v>
      </c>
      <c r="U11" s="383">
        <f t="shared" si="1"/>
        <v>0</v>
      </c>
    </row>
    <row r="12" spans="1:27" ht="25.5" customHeight="1" x14ac:dyDescent="0.25">
      <c r="E12" s="372">
        <v>404</v>
      </c>
      <c r="F12" s="357" t="s">
        <v>21</v>
      </c>
      <c r="G12" s="373" t="str">
        <f>VLOOKUP($F12,Party,8,0)</f>
        <v>Self/T</v>
      </c>
      <c r="H12" s="357"/>
      <c r="I12" s="357" t="s">
        <v>261</v>
      </c>
      <c r="J12" s="379">
        <f>SUBTOTAL(109,J10:J11)</f>
        <v>1985</v>
      </c>
      <c r="K12" s="358">
        <v>1990</v>
      </c>
      <c r="L12" s="357" t="s">
        <v>568</v>
      </c>
      <c r="M12" s="504"/>
      <c r="N12" s="374">
        <v>46119</v>
      </c>
      <c r="O12" s="375" t="s">
        <v>569</v>
      </c>
      <c r="P12" s="376">
        <f>SUM(P11)</f>
        <v>132995</v>
      </c>
      <c r="R12" s="404"/>
      <c r="T12" s="382" t="e">
        <f t="shared" si="0"/>
        <v>#N/A</v>
      </c>
      <c r="U12" s="383" t="e">
        <f t="shared" si="1"/>
        <v>#N/A</v>
      </c>
    </row>
    <row r="13" spans="1:27" ht="25.5" customHeight="1" x14ac:dyDescent="0.25">
      <c r="A13" s="329" t="s">
        <v>4</v>
      </c>
      <c r="B13" s="371">
        <v>46122</v>
      </c>
      <c r="C13" s="370" t="s">
        <v>474</v>
      </c>
      <c r="D13" s="402" t="s">
        <v>570</v>
      </c>
      <c r="E13" s="402" t="s">
        <v>543</v>
      </c>
      <c r="F13" s="370" t="s">
        <v>21</v>
      </c>
      <c r="G13" s="370">
        <v>22</v>
      </c>
      <c r="H13" s="370" t="s">
        <v>453</v>
      </c>
      <c r="I13" s="370" t="s">
        <v>473</v>
      </c>
      <c r="J13" s="380">
        <v>970</v>
      </c>
      <c r="K13" s="370" t="s">
        <v>476</v>
      </c>
      <c r="L13" s="370" t="s">
        <v>477</v>
      </c>
      <c r="M13" s="397">
        <v>78</v>
      </c>
      <c r="N13" s="374">
        <v>46122</v>
      </c>
      <c r="O13" s="370" t="s">
        <v>571</v>
      </c>
      <c r="P13" s="392">
        <f>VLOOKUP($I13,Inward,21,0)</f>
        <v>63292.5</v>
      </c>
      <c r="Q13" s="380" t="s">
        <v>562</v>
      </c>
      <c r="R13" s="404" t="s">
        <v>572</v>
      </c>
      <c r="S13" s="359" t="str">
        <f>G13&amp;" "&amp;H13&amp;" "&amp;I13&amp;" "&amp;J13&amp;" "&amp;K13&amp;" "&amp;L13&amp;" "&amp;M13</f>
        <v>22 EN31 610205B 970 TATA B81120 78</v>
      </c>
      <c r="T13" s="382">
        <f t="shared" si="0"/>
        <v>0</v>
      </c>
      <c r="U13" s="383">
        <f t="shared" si="1"/>
        <v>0</v>
      </c>
    </row>
    <row r="14" spans="1:27" ht="25.5" customHeight="1" x14ac:dyDescent="0.25">
      <c r="E14" s="372">
        <v>405</v>
      </c>
      <c r="F14" s="357" t="s">
        <v>21</v>
      </c>
      <c r="G14" s="373" t="str">
        <f>VLOOKUP($F14,Party,8,0)</f>
        <v>Self/T</v>
      </c>
      <c r="H14" s="357"/>
      <c r="I14" s="357" t="s">
        <v>573</v>
      </c>
      <c r="J14" s="379">
        <f>SUBTOTAL(109,J12:J13)</f>
        <v>970</v>
      </c>
      <c r="K14" s="358">
        <v>986</v>
      </c>
      <c r="L14" s="368" t="s">
        <v>574</v>
      </c>
      <c r="M14" s="504"/>
      <c r="N14" s="374">
        <v>46122</v>
      </c>
      <c r="O14" s="375" t="s">
        <v>575</v>
      </c>
      <c r="P14" s="376">
        <f>SUM(P13)</f>
        <v>63292.5</v>
      </c>
      <c r="T14" s="382" t="e">
        <f t="shared" si="0"/>
        <v>#N/A</v>
      </c>
      <c r="U14" s="383" t="e">
        <f t="shared" si="1"/>
        <v>#N/A</v>
      </c>
    </row>
    <row r="15" spans="1:27" ht="25.5" customHeight="1" x14ac:dyDescent="0.25">
      <c r="A15" s="329" t="s">
        <v>4</v>
      </c>
      <c r="B15" s="371">
        <v>46133</v>
      </c>
      <c r="C15" s="370" t="s">
        <v>461</v>
      </c>
      <c r="D15" s="402" t="s">
        <v>576</v>
      </c>
      <c r="E15" s="402" t="s">
        <v>543</v>
      </c>
      <c r="F15" s="370" t="s">
        <v>21</v>
      </c>
      <c r="G15" s="370">
        <v>28</v>
      </c>
      <c r="H15" s="370" t="s">
        <v>464</v>
      </c>
      <c r="I15" s="370" t="s">
        <v>460</v>
      </c>
      <c r="J15" s="380">
        <v>1970</v>
      </c>
      <c r="K15" s="370" t="s">
        <v>463</v>
      </c>
      <c r="L15" s="370" t="s">
        <v>465</v>
      </c>
      <c r="M15" s="397" t="s">
        <v>577</v>
      </c>
      <c r="N15" s="374">
        <v>46133</v>
      </c>
      <c r="O15" s="370" t="s">
        <v>578</v>
      </c>
      <c r="P15" s="392">
        <f>VLOOKUP($I15,Inward,21,0)</f>
        <v>127065</v>
      </c>
      <c r="Q15" s="380" t="s">
        <v>562</v>
      </c>
      <c r="R15" s="404" t="s">
        <v>579</v>
      </c>
      <c r="S15" s="359" t="str">
        <f>G15&amp;" "&amp;H15&amp;" "&amp;I15&amp;" "&amp;J15&amp;" "&amp;K15&amp;" "&amp;L15&amp;" "&amp;M15</f>
        <v>28 SAE 610102A 1970 BPSL E260172 80</v>
      </c>
      <c r="T15" s="382">
        <f t="shared" si="0"/>
        <v>0</v>
      </c>
      <c r="U15" s="383">
        <f t="shared" si="1"/>
        <v>0</v>
      </c>
    </row>
    <row r="16" spans="1:27" ht="25.5" customHeight="1" x14ac:dyDescent="0.25">
      <c r="E16" s="372">
        <v>406</v>
      </c>
      <c r="F16" s="357" t="s">
        <v>21</v>
      </c>
      <c r="G16" s="373" t="str">
        <f>VLOOKUP($F16,Party,8,0)</f>
        <v>Self/T</v>
      </c>
      <c r="H16" s="357"/>
      <c r="I16" s="357" t="s">
        <v>261</v>
      </c>
      <c r="J16" s="379">
        <f>SUBTOTAL(109,J15)</f>
        <v>1970</v>
      </c>
      <c r="K16" s="358">
        <v>1955</v>
      </c>
      <c r="L16" s="368" t="s">
        <v>550</v>
      </c>
      <c r="M16" s="504"/>
      <c r="N16" s="374">
        <v>46133</v>
      </c>
      <c r="O16" s="375" t="s">
        <v>575</v>
      </c>
      <c r="P16" s="376">
        <f>SUM(P15)</f>
        <v>127065</v>
      </c>
      <c r="T16" s="382" t="e">
        <f t="shared" si="0"/>
        <v>#N/A</v>
      </c>
      <c r="U16" s="383" t="e">
        <f t="shared" si="1"/>
        <v>#N/A</v>
      </c>
    </row>
    <row r="17" spans="1:21" ht="25.5" customHeight="1" x14ac:dyDescent="0.25">
      <c r="A17" s="329" t="s">
        <v>4</v>
      </c>
      <c r="B17" s="371">
        <v>46137</v>
      </c>
      <c r="C17" s="370">
        <v>0</v>
      </c>
      <c r="D17" s="402" t="s">
        <v>720</v>
      </c>
      <c r="E17" s="402" t="s">
        <v>543</v>
      </c>
      <c r="F17" s="370" t="s">
        <v>244</v>
      </c>
      <c r="G17" s="370">
        <v>17.3</v>
      </c>
      <c r="H17" s="370" t="s">
        <v>464</v>
      </c>
      <c r="I17" s="370">
        <v>340401</v>
      </c>
      <c r="J17" s="380">
        <v>2221</v>
      </c>
      <c r="K17" s="370" t="s">
        <v>463</v>
      </c>
      <c r="L17" s="370" t="s">
        <v>487</v>
      </c>
      <c r="M17" s="397" t="s">
        <v>577</v>
      </c>
      <c r="N17" s="374">
        <v>46137</v>
      </c>
      <c r="O17" s="370" t="s">
        <v>721</v>
      </c>
      <c r="R17" s="381" t="s">
        <v>723</v>
      </c>
      <c r="S17" s="359" t="str">
        <f>G17&amp;" "&amp;H17&amp;" "&amp;I17&amp;" "&amp;J17&amp;" "&amp;K17&amp;" "&amp;L17&amp;" "&amp;M17</f>
        <v>17.3 SAE 340401 2221 BPSL E260750 80</v>
      </c>
      <c r="T17" s="382">
        <f t="shared" si="0"/>
        <v>0</v>
      </c>
      <c r="U17" s="383">
        <f t="shared" si="1"/>
        <v>0</v>
      </c>
    </row>
    <row r="18" spans="1:21" ht="25.5" customHeight="1" x14ac:dyDescent="0.25">
      <c r="E18" s="372">
        <v>407</v>
      </c>
      <c r="F18" s="357" t="s">
        <v>244</v>
      </c>
      <c r="G18" s="373" t="str">
        <f>VLOOKUP($F18,Party,8,0)</f>
        <v>+ Bhadu</v>
      </c>
      <c r="H18" s="357"/>
      <c r="I18" s="357" t="s">
        <v>261</v>
      </c>
      <c r="J18" s="379">
        <f>SUBTOTAL(109,J17)</f>
        <v>2221</v>
      </c>
      <c r="K18" s="358" t="s">
        <v>261</v>
      </c>
      <c r="L18" s="368" t="s">
        <v>722</v>
      </c>
      <c r="M18" s="504" t="e">
        <f>TableDispatch[[#This Row],[Co.]]*0.25</f>
        <v>#VALUE!</v>
      </c>
      <c r="N18" s="374">
        <v>46137</v>
      </c>
      <c r="O18" s="375" t="s">
        <v>261</v>
      </c>
      <c r="T18" s="382" t="e">
        <f t="shared" si="0"/>
        <v>#N/A</v>
      </c>
      <c r="U18" s="383" t="e">
        <f t="shared" si="1"/>
        <v>#N/A</v>
      </c>
    </row>
    <row r="19" spans="1:21" s="447" customFormat="1" ht="25.5" customHeight="1" x14ac:dyDescent="0.25">
      <c r="B19" s="463"/>
      <c r="C19" s="464"/>
      <c r="D19" s="464"/>
      <c r="E19" s="465"/>
      <c r="F19" s="464"/>
      <c r="G19" s="464"/>
      <c r="H19" s="464"/>
      <c r="I19" s="464"/>
      <c r="J19" s="466"/>
      <c r="K19" s="464"/>
      <c r="N19" s="463"/>
      <c r="O19" s="464"/>
      <c r="P19" s="464"/>
      <c r="Q19" s="466"/>
      <c r="R19" s="467"/>
      <c r="T19" s="468" t="e">
        <f t="shared" ref="T19:T24" si="2">VLOOKUP($I19,Inward,22,0)</f>
        <v>#N/A</v>
      </c>
      <c r="U19" s="469" t="e">
        <f t="shared" ref="U19:U24" si="3">VLOOKUP($I19,Inward,23,0)</f>
        <v>#N/A</v>
      </c>
    </row>
    <row r="20" spans="1:21" ht="25.5" customHeight="1" x14ac:dyDescent="0.4">
      <c r="A20" s="471" t="s">
        <v>727</v>
      </c>
      <c r="B20" s="371">
        <v>46146</v>
      </c>
      <c r="C20" s="370">
        <v>0</v>
      </c>
      <c r="D20" s="402" t="s">
        <v>732</v>
      </c>
      <c r="E20" s="402" t="s">
        <v>543</v>
      </c>
      <c r="F20" s="370" t="s">
        <v>725</v>
      </c>
      <c r="G20" s="370">
        <v>10</v>
      </c>
      <c r="H20" s="370" t="s">
        <v>464</v>
      </c>
      <c r="I20" s="370">
        <v>270401</v>
      </c>
      <c r="J20" s="380">
        <v>2015</v>
      </c>
      <c r="K20" s="370" t="s">
        <v>476</v>
      </c>
      <c r="L20" s="370" t="s">
        <v>734</v>
      </c>
      <c r="M20" s="397" t="s">
        <v>733</v>
      </c>
      <c r="N20" s="374">
        <v>46146</v>
      </c>
      <c r="O20" s="370" t="s">
        <v>745</v>
      </c>
      <c r="P20" s="392">
        <f>VLOOKUP($I20,Inward,21,0)</f>
        <v>141050</v>
      </c>
      <c r="R20" s="470" t="s">
        <v>735</v>
      </c>
      <c r="S20" s="359" t="str">
        <f>G20&amp;" "&amp;H20&amp;" "&amp;I20&amp;" "&amp;J20&amp;" "&amp;K20&amp;" "&amp;L20&amp;" "&amp;M20</f>
        <v>10 SAE 270401 2015 TATA B81956 85</v>
      </c>
      <c r="T20" s="382">
        <f t="shared" si="2"/>
        <v>0</v>
      </c>
      <c r="U20" s="383">
        <f t="shared" si="3"/>
        <v>0</v>
      </c>
    </row>
    <row r="21" spans="1:21" ht="25.5" customHeight="1" x14ac:dyDescent="0.25">
      <c r="E21" s="372">
        <v>501</v>
      </c>
      <c r="F21" s="357" t="s">
        <v>725</v>
      </c>
      <c r="G21" s="373" t="e">
        <f>VLOOKUP($F21,Party,8,0)</f>
        <v>#N/A</v>
      </c>
      <c r="H21" s="357"/>
      <c r="I21" s="357" t="s">
        <v>549</v>
      </c>
      <c r="J21" s="379">
        <f>SUBTOTAL(109,J20)</f>
        <v>2015</v>
      </c>
      <c r="K21" s="358">
        <v>2015</v>
      </c>
      <c r="L21" s="368" t="s">
        <v>550</v>
      </c>
      <c r="M21" s="504">
        <v>500</v>
      </c>
      <c r="N21" s="374">
        <v>46146</v>
      </c>
      <c r="O21" s="375" t="s">
        <v>569</v>
      </c>
      <c r="P21" s="376">
        <f>SUM(P20)</f>
        <v>141050</v>
      </c>
      <c r="T21" s="382" t="e">
        <f t="shared" si="2"/>
        <v>#N/A</v>
      </c>
      <c r="U21" s="383" t="e">
        <f t="shared" si="3"/>
        <v>#N/A</v>
      </c>
    </row>
    <row r="22" spans="1:21" ht="25.5" customHeight="1" x14ac:dyDescent="0.4">
      <c r="A22" s="471" t="s">
        <v>727</v>
      </c>
      <c r="B22" s="371">
        <v>46150</v>
      </c>
      <c r="C22" s="370">
        <v>46163</v>
      </c>
      <c r="D22" s="402" t="s">
        <v>738</v>
      </c>
      <c r="E22" s="402" t="s">
        <v>543</v>
      </c>
      <c r="F22" s="370" t="s">
        <v>244</v>
      </c>
      <c r="G22" s="370">
        <v>16.399999999999999</v>
      </c>
      <c r="H22" s="370" t="s">
        <v>464</v>
      </c>
      <c r="I22" s="370">
        <v>340501</v>
      </c>
      <c r="J22" s="380">
        <v>1640</v>
      </c>
      <c r="K22" s="370" t="s">
        <v>728</v>
      </c>
      <c r="L22" s="370" t="s">
        <v>729</v>
      </c>
      <c r="M22" s="397" t="s">
        <v>545</v>
      </c>
      <c r="N22" s="374">
        <v>46150</v>
      </c>
      <c r="O22" s="370" t="s">
        <v>746</v>
      </c>
      <c r="P22" s="392">
        <f>VLOOKUP($I22,Inward,21,0)</f>
        <v>119720</v>
      </c>
      <c r="R22" s="470" t="s">
        <v>739</v>
      </c>
      <c r="S22" s="359" t="str">
        <f>G22&amp;" "&amp;H22&amp;" "&amp;I22&amp;" "&amp;J22&amp;" "&amp;K22&amp;" "&amp;L22&amp;" "&amp;M22</f>
        <v>16.4 SAE 340501 1640 MUKAND M195392 83</v>
      </c>
      <c r="T22" s="382">
        <f t="shared" si="2"/>
        <v>0</v>
      </c>
      <c r="U22" s="383">
        <f t="shared" si="3"/>
        <v>0</v>
      </c>
    </row>
    <row r="23" spans="1:21" ht="25.5" customHeight="1" x14ac:dyDescent="0.25">
      <c r="E23" s="372">
        <v>502</v>
      </c>
      <c r="F23" s="357" t="s">
        <v>244</v>
      </c>
      <c r="G23" s="373" t="str">
        <f>VLOOKUP($F23,Party,8,0)</f>
        <v>+ Bhadu</v>
      </c>
      <c r="H23" s="357"/>
      <c r="I23" s="357" t="s">
        <v>261</v>
      </c>
      <c r="J23" s="379">
        <f>SUBTOTAL(109,J22)</f>
        <v>1640</v>
      </c>
      <c r="K23" s="358" t="s">
        <v>261</v>
      </c>
      <c r="L23" s="368" t="s">
        <v>722</v>
      </c>
      <c r="M23" s="504" t="e">
        <f>TableDispatch[[#This Row],[Co.]]*0.25</f>
        <v>#VALUE!</v>
      </c>
      <c r="N23" s="374">
        <v>46150</v>
      </c>
      <c r="O23" s="375" t="s">
        <v>261</v>
      </c>
      <c r="T23" s="382" t="e">
        <f t="shared" si="2"/>
        <v>#N/A</v>
      </c>
      <c r="U23" s="383" t="e">
        <f t="shared" si="3"/>
        <v>#N/A</v>
      </c>
    </row>
    <row r="24" spans="1:21" ht="25.5" customHeight="1" x14ac:dyDescent="0.4">
      <c r="A24" s="471" t="s">
        <v>727</v>
      </c>
      <c r="B24" s="371">
        <v>46160</v>
      </c>
      <c r="C24" s="370">
        <v>220</v>
      </c>
      <c r="D24" s="402" t="s">
        <v>742</v>
      </c>
      <c r="E24" s="402" t="s">
        <v>543</v>
      </c>
      <c r="F24" s="370" t="s">
        <v>89</v>
      </c>
      <c r="G24" s="370">
        <v>8</v>
      </c>
      <c r="H24" s="370">
        <v>4140</v>
      </c>
      <c r="I24" s="370">
        <v>940502</v>
      </c>
      <c r="J24" s="380">
        <v>1964</v>
      </c>
      <c r="K24" s="370" t="s">
        <v>595</v>
      </c>
      <c r="L24" s="370">
        <v>3519187</v>
      </c>
      <c r="M24" s="397" t="s">
        <v>743</v>
      </c>
      <c r="N24" s="371">
        <v>46160</v>
      </c>
      <c r="O24" s="370" t="s">
        <v>747</v>
      </c>
      <c r="P24" s="392">
        <f>VLOOKUP($I24,Inward,21,0)</f>
        <v>159084</v>
      </c>
      <c r="R24" s="472" t="s">
        <v>748</v>
      </c>
      <c r="S24" s="359" t="str">
        <f>G24&amp;" "&amp;H24&amp;" "&amp;I24&amp;" "&amp;J24&amp;" "&amp;K24&amp;" "&amp;L24&amp;" "&amp;M24</f>
        <v>8 4140 940502 1964 JSPL 3519187 73</v>
      </c>
      <c r="T24" s="382">
        <f t="shared" si="2"/>
        <v>0</v>
      </c>
      <c r="U24" s="383">
        <f t="shared" si="3"/>
        <v>0</v>
      </c>
    </row>
    <row r="25" spans="1:21" ht="25.5" customHeight="1" x14ac:dyDescent="0.25">
      <c r="E25" s="372">
        <v>503</v>
      </c>
      <c r="F25" s="357" t="s">
        <v>89</v>
      </c>
      <c r="G25" s="373" t="str">
        <f>VLOOKUP($F25,Party,8,0)</f>
        <v>+ Bhadu</v>
      </c>
      <c r="H25" s="357"/>
      <c r="I25" s="357" t="s">
        <v>261</v>
      </c>
      <c r="J25" s="379">
        <f>SUBTOTAL(109,J24)</f>
        <v>1964</v>
      </c>
      <c r="K25" s="358" t="s">
        <v>261</v>
      </c>
      <c r="L25" s="368" t="s">
        <v>744</v>
      </c>
      <c r="M25" s="504" t="e">
        <f>TableDispatch[[#This Row],[Co.]]*0.25</f>
        <v>#VALUE!</v>
      </c>
      <c r="N25" s="371">
        <v>46160</v>
      </c>
      <c r="O25" s="375" t="s">
        <v>261</v>
      </c>
      <c r="P25" s="376">
        <f>SUM(P24)</f>
        <v>159084</v>
      </c>
      <c r="T25" s="382" t="e">
        <f t="shared" ref="T25:T39" si="4">VLOOKUP($I25,Inward,22,0)</f>
        <v>#N/A</v>
      </c>
      <c r="U25" s="383" t="e">
        <f t="shared" ref="U25:U39" si="5">VLOOKUP($I25,Inward,23,0)</f>
        <v>#N/A</v>
      </c>
    </row>
    <row r="26" spans="1:21" ht="25.5" customHeight="1" x14ac:dyDescent="0.4">
      <c r="A26" s="471" t="s">
        <v>727</v>
      </c>
      <c r="B26" s="371">
        <v>46161</v>
      </c>
      <c r="C26" s="370">
        <v>220</v>
      </c>
      <c r="D26" s="402" t="s">
        <v>749</v>
      </c>
      <c r="E26" s="402" t="s">
        <v>543</v>
      </c>
      <c r="F26" s="370" t="s">
        <v>89</v>
      </c>
      <c r="G26" s="370">
        <v>9</v>
      </c>
      <c r="H26" s="370">
        <v>4140</v>
      </c>
      <c r="I26" s="370">
        <v>940501</v>
      </c>
      <c r="J26" s="380">
        <v>1961</v>
      </c>
      <c r="K26" s="370" t="s">
        <v>595</v>
      </c>
      <c r="L26" s="370">
        <v>3519188</v>
      </c>
      <c r="M26" s="397" t="s">
        <v>750</v>
      </c>
      <c r="N26" s="374">
        <v>46161</v>
      </c>
      <c r="O26" s="370" t="s">
        <v>754</v>
      </c>
      <c r="P26" s="392">
        <f>VLOOKUP($I26,Inward,21,0)</f>
        <v>158841</v>
      </c>
      <c r="R26" s="472" t="s">
        <v>752</v>
      </c>
      <c r="S26" s="359" t="str">
        <f>G26&amp;" "&amp;H26&amp;" "&amp;I26&amp;" "&amp;J26&amp;" "&amp;K26&amp;" "&amp;L26&amp;" "&amp;M26</f>
        <v>9 4140 940501 1961 JSPL 3519188 79</v>
      </c>
      <c r="T26" s="382">
        <f t="shared" si="4"/>
        <v>0</v>
      </c>
      <c r="U26" s="383">
        <f t="shared" si="5"/>
        <v>0</v>
      </c>
    </row>
    <row r="27" spans="1:21" ht="25.5" customHeight="1" x14ac:dyDescent="0.25">
      <c r="E27" s="372">
        <v>504</v>
      </c>
      <c r="F27" s="357" t="s">
        <v>89</v>
      </c>
      <c r="G27" s="373" t="str">
        <f>VLOOKUP($F27,Party,8,0)</f>
        <v>+ Bhadu</v>
      </c>
      <c r="H27" s="357"/>
      <c r="I27" s="357" t="s">
        <v>261</v>
      </c>
      <c r="J27" s="379">
        <f>SUBTOTAL(109,J26)</f>
        <v>1961</v>
      </c>
      <c r="K27" s="358" t="s">
        <v>261</v>
      </c>
      <c r="L27" s="368" t="s">
        <v>751</v>
      </c>
      <c r="M27" s="504" t="e">
        <f>TableDispatch[[#This Row],[Co.]]*0.25</f>
        <v>#VALUE!</v>
      </c>
      <c r="N27" s="374">
        <v>46161</v>
      </c>
      <c r="O27" s="375" t="s">
        <v>261</v>
      </c>
      <c r="P27" s="376">
        <f>SUM(P26)</f>
        <v>158841</v>
      </c>
      <c r="T27" s="382" t="e">
        <f t="shared" si="4"/>
        <v>#N/A</v>
      </c>
      <c r="U27" s="383" t="e">
        <f t="shared" si="5"/>
        <v>#N/A</v>
      </c>
    </row>
    <row r="28" spans="1:21" ht="25.5" customHeight="1" x14ac:dyDescent="0.4">
      <c r="A28" s="471" t="s">
        <v>727</v>
      </c>
      <c r="B28" s="371">
        <v>46163</v>
      </c>
      <c r="C28" s="370" t="s">
        <v>474</v>
      </c>
      <c r="D28" s="402" t="s">
        <v>570</v>
      </c>
      <c r="E28" s="402" t="s">
        <v>543</v>
      </c>
      <c r="F28" s="370" t="s">
        <v>21</v>
      </c>
      <c r="G28" s="370">
        <v>22</v>
      </c>
      <c r="H28" s="370" t="s">
        <v>453</v>
      </c>
      <c r="I28" s="370" t="s">
        <v>479</v>
      </c>
      <c r="J28" s="380">
        <v>865</v>
      </c>
      <c r="K28" s="370" t="s">
        <v>476</v>
      </c>
      <c r="L28" s="370" t="s">
        <v>477</v>
      </c>
      <c r="M28" s="397" t="s">
        <v>753</v>
      </c>
      <c r="N28" s="374">
        <v>46163</v>
      </c>
      <c r="O28" s="370" t="s">
        <v>755</v>
      </c>
      <c r="P28" s="392">
        <f>VLOOKUP($I28,Inward,21,0)</f>
        <v>56441.25</v>
      </c>
      <c r="Q28" s="380" t="s">
        <v>562</v>
      </c>
      <c r="R28" s="472" t="s">
        <v>756</v>
      </c>
      <c r="S28" s="359" t="str">
        <f>G28&amp;" "&amp;H28&amp;" "&amp;I28&amp;" "&amp;J28&amp;" "&amp;K28&amp;" "&amp;L28&amp;" "&amp;M28</f>
        <v>22 EN31 610205A 865 TATA B81120 78</v>
      </c>
      <c r="T28" s="382">
        <f t="shared" si="4"/>
        <v>0</v>
      </c>
      <c r="U28" s="383">
        <f t="shared" si="5"/>
        <v>0</v>
      </c>
    </row>
    <row r="29" spans="1:21" ht="25.5" customHeight="1" x14ac:dyDescent="0.25">
      <c r="E29" s="372">
        <v>505</v>
      </c>
      <c r="F29" s="357" t="s">
        <v>21</v>
      </c>
      <c r="G29" s="373" t="str">
        <f>VLOOKUP($F29,Party,8,0)</f>
        <v>Self/T</v>
      </c>
      <c r="H29" s="357"/>
      <c r="I29" s="357" t="s">
        <v>261</v>
      </c>
      <c r="J29" s="379">
        <f>SUBTOTAL(109,J28)</f>
        <v>865</v>
      </c>
      <c r="K29" s="358" t="s">
        <v>261</v>
      </c>
      <c r="L29" s="368" t="s">
        <v>751</v>
      </c>
      <c r="M29" s="504"/>
      <c r="N29" s="374">
        <v>46163</v>
      </c>
      <c r="O29" s="375" t="s">
        <v>575</v>
      </c>
      <c r="P29" s="376">
        <f>SUM(P28)</f>
        <v>56441.25</v>
      </c>
      <c r="T29" s="382" t="e">
        <f t="shared" si="4"/>
        <v>#N/A</v>
      </c>
      <c r="U29" s="383" t="e">
        <f t="shared" si="5"/>
        <v>#N/A</v>
      </c>
    </row>
    <row r="30" spans="1:21" ht="25.5" customHeight="1" x14ac:dyDescent="0.4">
      <c r="A30" s="471" t="s">
        <v>727</v>
      </c>
      <c r="B30" s="371">
        <v>46170</v>
      </c>
      <c r="C30" s="370" t="s">
        <v>461</v>
      </c>
      <c r="D30" s="402" t="s">
        <v>759</v>
      </c>
      <c r="E30" s="402" t="s">
        <v>543</v>
      </c>
      <c r="F30" s="370" t="s">
        <v>21</v>
      </c>
      <c r="G30" s="370">
        <v>28</v>
      </c>
      <c r="H30" s="370" t="s">
        <v>464</v>
      </c>
      <c r="I30" s="370" t="s">
        <v>757</v>
      </c>
      <c r="J30" s="380">
        <v>555</v>
      </c>
      <c r="K30" s="370" t="s">
        <v>463</v>
      </c>
      <c r="L30" s="370" t="s">
        <v>465</v>
      </c>
      <c r="M30" s="397" t="s">
        <v>760</v>
      </c>
      <c r="N30" s="374">
        <v>46170</v>
      </c>
      <c r="O30" s="370" t="s">
        <v>779</v>
      </c>
      <c r="P30" s="392">
        <f>VLOOKUP($I30,Inward,21,0)</f>
        <v>35797.5</v>
      </c>
      <c r="Q30" s="380" t="s">
        <v>761</v>
      </c>
      <c r="R30" s="472" t="s">
        <v>763</v>
      </c>
      <c r="S30" s="359" t="str">
        <f>G30&amp;" "&amp;H30&amp;" "&amp;I30&amp;" "&amp;J30&amp;" "&amp;K30&amp;" "&amp;L30&amp;" "&amp;M30</f>
        <v>28 SAE 610103B 555 BPSL E260172 74</v>
      </c>
      <c r="T30" s="382">
        <f t="shared" si="4"/>
        <v>0</v>
      </c>
      <c r="U30" s="383">
        <f t="shared" si="5"/>
        <v>0</v>
      </c>
    </row>
    <row r="31" spans="1:21" ht="25.5" customHeight="1" x14ac:dyDescent="0.25">
      <c r="E31" s="372">
        <v>506</v>
      </c>
      <c r="F31" s="357" t="s">
        <v>21</v>
      </c>
      <c r="G31" s="373" t="str">
        <f>VLOOKUP($F31,Party,8,0)</f>
        <v>Self/T</v>
      </c>
      <c r="H31" s="357"/>
      <c r="I31" s="357" t="s">
        <v>261</v>
      </c>
      <c r="J31" s="379">
        <f>SUBTOTAL(109,J30)</f>
        <v>555</v>
      </c>
      <c r="K31" s="358" t="s">
        <v>261</v>
      </c>
      <c r="L31" s="368" t="s">
        <v>762</v>
      </c>
      <c r="M31" s="504" t="e">
        <f>TableDispatch[[#This Row],[Co.]]*0.25</f>
        <v>#VALUE!</v>
      </c>
      <c r="N31" s="374">
        <v>46170</v>
      </c>
      <c r="O31" s="375" t="s">
        <v>575</v>
      </c>
      <c r="P31" s="376">
        <f>SUM(P30)</f>
        <v>35797.5</v>
      </c>
      <c r="T31" s="382" t="e">
        <f t="shared" si="4"/>
        <v>#N/A</v>
      </c>
      <c r="U31" s="383" t="e">
        <f t="shared" si="5"/>
        <v>#N/A</v>
      </c>
    </row>
    <row r="32" spans="1:21" s="447" customFormat="1" ht="25.5" customHeight="1" x14ac:dyDescent="0.25">
      <c r="B32" s="463"/>
      <c r="C32" s="464"/>
      <c r="D32" s="464"/>
      <c r="E32" s="465"/>
      <c r="F32" s="464"/>
      <c r="G32" s="464"/>
      <c r="H32" s="464"/>
      <c r="I32" s="464"/>
      <c r="J32" s="466"/>
      <c r="K32" s="464"/>
      <c r="L32" s="473"/>
      <c r="M32" s="473"/>
      <c r="N32" s="464"/>
      <c r="O32" s="464"/>
      <c r="P32" s="474"/>
      <c r="Q32" s="466"/>
      <c r="R32" s="467"/>
      <c r="T32" s="468"/>
      <c r="U32" s="469"/>
    </row>
    <row r="33" spans="1:21" ht="25.5" customHeight="1" x14ac:dyDescent="0.25">
      <c r="A33" s="471" t="s">
        <v>450</v>
      </c>
      <c r="B33" s="371">
        <v>46186</v>
      </c>
      <c r="C33" s="370">
        <v>46484</v>
      </c>
      <c r="D33" s="402" t="s">
        <v>771</v>
      </c>
      <c r="E33" s="402" t="s">
        <v>543</v>
      </c>
      <c r="F33" s="370" t="s">
        <v>244</v>
      </c>
      <c r="G33" s="370">
        <v>16.399999999999999</v>
      </c>
      <c r="H33" s="370" t="s">
        <v>464</v>
      </c>
      <c r="I33" s="370">
        <v>340601</v>
      </c>
      <c r="J33" s="380">
        <v>1250</v>
      </c>
      <c r="K33" s="370" t="s">
        <v>728</v>
      </c>
      <c r="L33" s="370" t="s">
        <v>765</v>
      </c>
      <c r="M33" s="397" t="s">
        <v>772</v>
      </c>
      <c r="N33" s="374">
        <v>46186</v>
      </c>
      <c r="O33" s="370" t="s">
        <v>778</v>
      </c>
      <c r="P33" s="392">
        <f>VLOOKUP($I33,Inward,21,0)</f>
        <v>113750</v>
      </c>
      <c r="R33" s="381" t="s">
        <v>782</v>
      </c>
      <c r="S33" s="359" t="str">
        <f t="shared" ref="S33:S34" si="6">G33&amp;" "&amp;H33&amp;" "&amp;I33&amp;" "&amp;J33&amp;" "&amp;K33&amp;" "&amp;L33&amp;" "&amp;M33</f>
        <v>16.4 SAE 340601 1250 MUKAND M214481 82</v>
      </c>
      <c r="T33" s="382">
        <f t="shared" si="4"/>
        <v>0</v>
      </c>
      <c r="U33" s="383">
        <f t="shared" si="5"/>
        <v>0</v>
      </c>
    </row>
    <row r="34" spans="1:21" ht="25.5" customHeight="1" x14ac:dyDescent="0.25">
      <c r="C34" s="370">
        <v>46484</v>
      </c>
      <c r="D34" s="402" t="s">
        <v>773</v>
      </c>
      <c r="E34" s="402" t="s">
        <v>543</v>
      </c>
      <c r="F34" s="370" t="s">
        <v>244</v>
      </c>
      <c r="G34" s="370">
        <v>16.399999999999999</v>
      </c>
      <c r="H34" s="370" t="s">
        <v>464</v>
      </c>
      <c r="I34" s="370">
        <v>340602</v>
      </c>
      <c r="J34" s="380">
        <v>1235</v>
      </c>
      <c r="K34" s="370" t="s">
        <v>728</v>
      </c>
      <c r="L34" s="370" t="s">
        <v>765</v>
      </c>
      <c r="M34" s="397" t="s">
        <v>750</v>
      </c>
      <c r="N34" s="374">
        <v>46186</v>
      </c>
      <c r="O34" s="370" t="s">
        <v>778</v>
      </c>
      <c r="P34" s="392">
        <f>VLOOKUP($I34,Inward,21,0)</f>
        <v>112385</v>
      </c>
      <c r="R34" s="381" t="s">
        <v>782</v>
      </c>
      <c r="S34" s="359" t="str">
        <f t="shared" si="6"/>
        <v>16.4 SAE 340602 1235 MUKAND M214481 79</v>
      </c>
      <c r="T34" s="382">
        <f t="shared" si="4"/>
        <v>0</v>
      </c>
      <c r="U34" s="383">
        <f t="shared" si="5"/>
        <v>0</v>
      </c>
    </row>
    <row r="35" spans="1:21" ht="25.5" customHeight="1" x14ac:dyDescent="0.25">
      <c r="E35" s="372">
        <v>601</v>
      </c>
      <c r="F35" s="357" t="s">
        <v>244</v>
      </c>
      <c r="G35" s="373" t="str">
        <f>VLOOKUP($F35,Party,8,0)</f>
        <v>+ Bhadu</v>
      </c>
      <c r="H35" s="357"/>
      <c r="I35" s="357" t="s">
        <v>261</v>
      </c>
      <c r="J35" s="379">
        <f>SUBTOTAL(109,J33:J34)</f>
        <v>2485</v>
      </c>
      <c r="K35" s="358" t="s">
        <v>261</v>
      </c>
      <c r="L35" s="368" t="s">
        <v>776</v>
      </c>
      <c r="M35" s="504" t="e">
        <f>TableDispatch[[#This Row],[Co.]]*0.25</f>
        <v>#VALUE!</v>
      </c>
      <c r="N35" s="374">
        <v>46186</v>
      </c>
      <c r="O35" s="375" t="s">
        <v>261</v>
      </c>
      <c r="P35" s="376">
        <f>SUM(P33:P34)</f>
        <v>226135</v>
      </c>
      <c r="T35" s="382" t="e">
        <f t="shared" si="4"/>
        <v>#N/A</v>
      </c>
      <c r="U35" s="383" t="e">
        <f t="shared" si="5"/>
        <v>#N/A</v>
      </c>
    </row>
    <row r="36" spans="1:21" ht="25.5" customHeight="1" x14ac:dyDescent="0.25">
      <c r="A36" s="471" t="s">
        <v>450</v>
      </c>
      <c r="B36" s="371">
        <v>46186</v>
      </c>
      <c r="C36" s="370">
        <v>1</v>
      </c>
      <c r="D36" s="402" t="s">
        <v>774</v>
      </c>
      <c r="E36" s="402" t="s">
        <v>543</v>
      </c>
      <c r="F36" s="370" t="s">
        <v>57</v>
      </c>
      <c r="G36" s="370">
        <v>17.5</v>
      </c>
      <c r="H36" s="370" t="s">
        <v>453</v>
      </c>
      <c r="I36" s="370">
        <v>650601</v>
      </c>
      <c r="J36" s="380">
        <v>1720</v>
      </c>
      <c r="K36" s="370" t="s">
        <v>476</v>
      </c>
      <c r="L36" s="370" t="s">
        <v>767</v>
      </c>
      <c r="M36" s="397" t="s">
        <v>772</v>
      </c>
      <c r="N36" s="374">
        <v>46186</v>
      </c>
      <c r="O36" s="370" t="s">
        <v>780</v>
      </c>
      <c r="P36" s="392">
        <f>VLOOKUP($I36,Inward,21,0)</f>
        <v>123840</v>
      </c>
      <c r="R36" s="381" t="s">
        <v>781</v>
      </c>
      <c r="S36" s="359" t="str">
        <f t="shared" ref="S36:S37" si="7">G36&amp;" "&amp;H36&amp;" "&amp;I36&amp;" "&amp;J36&amp;" "&amp;K36&amp;" "&amp;L36&amp;" "&amp;M36</f>
        <v>17.5 EN31 650601 1720 TATA B83391 82</v>
      </c>
      <c r="T36" s="382">
        <f t="shared" si="4"/>
        <v>0</v>
      </c>
      <c r="U36" s="383">
        <f t="shared" si="5"/>
        <v>0</v>
      </c>
    </row>
    <row r="37" spans="1:21" ht="25.5" customHeight="1" x14ac:dyDescent="0.25">
      <c r="C37" s="370">
        <v>1</v>
      </c>
      <c r="D37" s="402" t="s">
        <v>775</v>
      </c>
      <c r="E37" s="402" t="s">
        <v>543</v>
      </c>
      <c r="F37" s="370" t="s">
        <v>57</v>
      </c>
      <c r="G37" s="370">
        <v>17.5</v>
      </c>
      <c r="H37" s="370" t="s">
        <v>453</v>
      </c>
      <c r="I37" s="370">
        <v>650602</v>
      </c>
      <c r="J37" s="380">
        <v>2060</v>
      </c>
      <c r="K37" s="370" t="s">
        <v>476</v>
      </c>
      <c r="L37" s="370" t="s">
        <v>767</v>
      </c>
      <c r="M37" s="397" t="s">
        <v>545</v>
      </c>
      <c r="N37" s="374">
        <v>46186</v>
      </c>
      <c r="O37" s="370" t="s">
        <v>780</v>
      </c>
      <c r="P37" s="392">
        <f>VLOOKUP($I37,Inward,21,0)</f>
        <v>148320</v>
      </c>
      <c r="R37" s="381" t="s">
        <v>781</v>
      </c>
      <c r="S37" s="359" t="str">
        <f t="shared" si="7"/>
        <v>17.5 EN31 650602 2060 TATA B83391 83</v>
      </c>
      <c r="T37" s="382">
        <f t="shared" si="4"/>
        <v>0</v>
      </c>
      <c r="U37" s="383">
        <f t="shared" si="5"/>
        <v>0</v>
      </c>
    </row>
    <row r="38" spans="1:21" ht="25.5" customHeight="1" x14ac:dyDescent="0.25">
      <c r="E38" s="372">
        <v>602</v>
      </c>
      <c r="F38" s="357" t="s">
        <v>57</v>
      </c>
      <c r="G38" s="373" t="str">
        <f>VLOOKUP($F38,Party,8,0)</f>
        <v>Ponch</v>
      </c>
      <c r="H38" s="357"/>
      <c r="I38" s="357" t="s">
        <v>549</v>
      </c>
      <c r="J38" s="379">
        <f>SUBTOTAL(109,J36:J37)</f>
        <v>3780</v>
      </c>
      <c r="K38" s="358">
        <v>3780</v>
      </c>
      <c r="L38" s="475" t="s">
        <v>777</v>
      </c>
      <c r="M38" s="504">
        <v>500</v>
      </c>
      <c r="N38" s="374">
        <v>46186</v>
      </c>
      <c r="O38" s="375" t="s">
        <v>569</v>
      </c>
      <c r="P38" s="376">
        <f>SUM(P36:P37)</f>
        <v>272160</v>
      </c>
      <c r="T38" s="382" t="e">
        <f t="shared" si="4"/>
        <v>#N/A</v>
      </c>
      <c r="U38" s="383" t="e">
        <f t="shared" si="5"/>
        <v>#N/A</v>
      </c>
    </row>
    <row r="39" spans="1:21" ht="25.5" customHeight="1" x14ac:dyDescent="0.4">
      <c r="A39" s="471" t="s">
        <v>450</v>
      </c>
      <c r="B39" s="371">
        <v>46191</v>
      </c>
      <c r="C39" s="370">
        <v>0</v>
      </c>
      <c r="D39" s="402">
        <v>20</v>
      </c>
      <c r="E39" s="402" t="s">
        <v>543</v>
      </c>
      <c r="F39" s="370" t="s">
        <v>784</v>
      </c>
      <c r="G39" s="370">
        <v>17.5</v>
      </c>
      <c r="H39" s="370" t="s">
        <v>453</v>
      </c>
      <c r="I39" s="370">
        <v>830601</v>
      </c>
      <c r="J39" s="380">
        <v>2010</v>
      </c>
      <c r="K39" s="370" t="s">
        <v>476</v>
      </c>
      <c r="L39" s="370" t="s">
        <v>785</v>
      </c>
      <c r="M39" s="397" t="s">
        <v>733</v>
      </c>
      <c r="N39" s="374">
        <v>46191</v>
      </c>
      <c r="O39" s="370" t="s">
        <v>792</v>
      </c>
      <c r="P39" s="392">
        <f>VLOOKUP($I39,Inward,21,0)</f>
        <v>146931</v>
      </c>
      <c r="R39" s="472" t="s">
        <v>788</v>
      </c>
      <c r="S39" s="359" t="str">
        <f t="shared" ref="S39:S40" si="8">G39&amp;" "&amp;H39&amp;" "&amp;I39&amp;" "&amp;J39&amp;" "&amp;K39&amp;" "&amp;L39&amp;" "&amp;M39</f>
        <v>17.5 EN31 830601 2010 TATA B83276 85</v>
      </c>
      <c r="T39" s="382">
        <f t="shared" si="4"/>
        <v>0</v>
      </c>
      <c r="U39" s="383">
        <f t="shared" si="5"/>
        <v>0</v>
      </c>
    </row>
    <row r="40" spans="1:21" ht="25.5" customHeight="1" x14ac:dyDescent="0.4">
      <c r="C40" s="370">
        <v>0</v>
      </c>
      <c r="D40" s="402" t="s">
        <v>787</v>
      </c>
      <c r="E40" s="402" t="s">
        <v>543</v>
      </c>
      <c r="F40" s="370" t="s">
        <v>784</v>
      </c>
      <c r="G40" s="370">
        <v>17.5</v>
      </c>
      <c r="H40" s="370" t="s">
        <v>453</v>
      </c>
      <c r="I40" s="370">
        <v>830602</v>
      </c>
      <c r="J40" s="380">
        <v>2010</v>
      </c>
      <c r="K40" s="370" t="s">
        <v>476</v>
      </c>
      <c r="L40" s="370" t="s">
        <v>785</v>
      </c>
      <c r="M40" s="397" t="s">
        <v>478</v>
      </c>
      <c r="N40" s="374">
        <v>46191</v>
      </c>
      <c r="O40" s="370" t="s">
        <v>792</v>
      </c>
      <c r="P40" s="392">
        <f>VLOOKUP($I40,Inward,21,0)</f>
        <v>146931</v>
      </c>
      <c r="R40" s="472" t="s">
        <v>788</v>
      </c>
      <c r="S40" s="359" t="str">
        <f t="shared" si="8"/>
        <v xml:space="preserve">17.5 EN31 830602 2010 TATA B83276 </v>
      </c>
      <c r="T40" s="382">
        <f t="shared" ref="T40:T44" si="9">VLOOKUP($I40,Inward,22,0)</f>
        <v>0</v>
      </c>
      <c r="U40" s="383">
        <f t="shared" ref="U40:U44" si="10">VLOOKUP($I40,Inward,23,0)</f>
        <v>0</v>
      </c>
    </row>
    <row r="41" spans="1:21" ht="25.5" customHeight="1" thickBot="1" x14ac:dyDescent="0.3">
      <c r="E41" s="372">
        <v>603</v>
      </c>
      <c r="F41" s="357" t="s">
        <v>784</v>
      </c>
      <c r="G41" s="373" t="e">
        <f>VLOOKUP($F41,Party,8,0)</f>
        <v>#N/A</v>
      </c>
      <c r="H41" s="357"/>
      <c r="I41" s="357" t="s">
        <v>549</v>
      </c>
      <c r="J41" s="379">
        <f>SUBTOTAL(109,J39:J40)</f>
        <v>4020</v>
      </c>
      <c r="K41" s="358">
        <v>4030</v>
      </c>
      <c r="L41" s="475" t="s">
        <v>777</v>
      </c>
      <c r="M41" s="504">
        <v>500</v>
      </c>
      <c r="N41" s="374">
        <v>46191</v>
      </c>
      <c r="O41" s="375" t="s">
        <v>569</v>
      </c>
      <c r="P41" s="376">
        <f>SUM(P39:P40)</f>
        <v>293862</v>
      </c>
      <c r="T41" s="382" t="e">
        <f t="shared" si="9"/>
        <v>#N/A</v>
      </c>
      <c r="U41" s="383" t="e">
        <f t="shared" si="10"/>
        <v>#N/A</v>
      </c>
    </row>
    <row r="42" spans="1:21" ht="25.5" customHeight="1" thickBot="1" x14ac:dyDescent="0.3">
      <c r="A42" s="471" t="s">
        <v>450</v>
      </c>
      <c r="B42" s="371">
        <v>46194</v>
      </c>
      <c r="C42" s="370">
        <v>1</v>
      </c>
      <c r="D42" s="402" t="s">
        <v>790</v>
      </c>
      <c r="E42" s="402" t="s">
        <v>543</v>
      </c>
      <c r="F42" s="370" t="s">
        <v>57</v>
      </c>
      <c r="G42" s="370">
        <v>17.5</v>
      </c>
      <c r="H42" s="370" t="s">
        <v>453</v>
      </c>
      <c r="I42" s="370">
        <v>650604</v>
      </c>
      <c r="J42" s="380">
        <v>2030</v>
      </c>
      <c r="K42" s="370" t="s">
        <v>476</v>
      </c>
      <c r="L42" s="370" t="s">
        <v>767</v>
      </c>
      <c r="M42" s="397" t="s">
        <v>577</v>
      </c>
      <c r="N42" s="374">
        <v>46194</v>
      </c>
      <c r="O42" s="370" t="s">
        <v>793</v>
      </c>
      <c r="P42" s="392">
        <f>VLOOKUP($I42,Inward,21,0)</f>
        <v>146160</v>
      </c>
      <c r="R42" s="477" t="s">
        <v>794</v>
      </c>
      <c r="S42" s="359" t="str">
        <f t="shared" ref="S42:S43" si="11">G42&amp;" "&amp;H42&amp;" "&amp;I42&amp;" "&amp;J42&amp;" "&amp;K42&amp;" "&amp;L42&amp;" "&amp;M42</f>
        <v>17.5 EN31 650604 2030 TATA B83391 80</v>
      </c>
      <c r="T42" s="382">
        <f t="shared" si="9"/>
        <v>0</v>
      </c>
      <c r="U42" s="383">
        <f t="shared" si="10"/>
        <v>0</v>
      </c>
    </row>
    <row r="43" spans="1:21" ht="25.5" customHeight="1" thickBot="1" x14ac:dyDescent="0.3">
      <c r="C43" s="370">
        <v>1</v>
      </c>
      <c r="D43" s="402" t="s">
        <v>791</v>
      </c>
      <c r="E43" s="402" t="s">
        <v>543</v>
      </c>
      <c r="F43" s="370" t="s">
        <v>57</v>
      </c>
      <c r="G43" s="370">
        <v>17.5</v>
      </c>
      <c r="H43" s="370" t="s">
        <v>453</v>
      </c>
      <c r="I43" s="370">
        <v>650605</v>
      </c>
      <c r="J43" s="380">
        <v>1730</v>
      </c>
      <c r="K43" s="370" t="s">
        <v>476</v>
      </c>
      <c r="L43" s="370" t="s">
        <v>767</v>
      </c>
      <c r="M43" s="397" t="s">
        <v>478</v>
      </c>
      <c r="N43" s="374">
        <v>46194</v>
      </c>
      <c r="O43" s="370" t="s">
        <v>793</v>
      </c>
      <c r="P43" s="392">
        <f>VLOOKUP($I43,Inward,21,0)</f>
        <v>124560</v>
      </c>
      <c r="R43" s="477" t="s">
        <v>794</v>
      </c>
      <c r="S43" s="359" t="str">
        <f t="shared" si="11"/>
        <v xml:space="preserve">17.5 EN31 650605 1730 TATA B83391 </v>
      </c>
      <c r="T43" s="382">
        <f t="shared" si="9"/>
        <v>0</v>
      </c>
      <c r="U43" s="383">
        <f t="shared" si="10"/>
        <v>0</v>
      </c>
    </row>
    <row r="44" spans="1:21" ht="25.5" customHeight="1" x14ac:dyDescent="0.25">
      <c r="E44" s="372">
        <v>604</v>
      </c>
      <c r="F44" s="357" t="s">
        <v>57</v>
      </c>
      <c r="G44" s="373" t="str">
        <f>VLOOKUP($F44,Party,8,0)</f>
        <v>Ponch</v>
      </c>
      <c r="H44" s="357"/>
      <c r="I44" s="357" t="s">
        <v>549</v>
      </c>
      <c r="J44" s="379">
        <f>SUBTOTAL(109,J42:J43)</f>
        <v>3760</v>
      </c>
      <c r="K44" s="358">
        <v>3765</v>
      </c>
      <c r="L44" s="475" t="s">
        <v>777</v>
      </c>
      <c r="M44" s="504">
        <v>500</v>
      </c>
      <c r="N44" s="374">
        <v>46194</v>
      </c>
      <c r="O44" s="375" t="s">
        <v>569</v>
      </c>
      <c r="P44" s="376">
        <f>SUM(P42:P43)</f>
        <v>270720</v>
      </c>
      <c r="T44" s="382" t="e">
        <f t="shared" si="9"/>
        <v>#N/A</v>
      </c>
      <c r="U44" s="383" t="e">
        <f t="shared" si="10"/>
        <v>#N/A</v>
      </c>
    </row>
    <row r="45" spans="1:21" ht="25.5" customHeight="1" x14ac:dyDescent="0.4">
      <c r="A45" s="471" t="s">
        <v>450</v>
      </c>
      <c r="B45" s="371">
        <v>46199</v>
      </c>
      <c r="C45" s="370">
        <v>0</v>
      </c>
      <c r="D45" s="402" t="s">
        <v>796</v>
      </c>
      <c r="E45" s="402" t="s">
        <v>543</v>
      </c>
      <c r="F45" s="370" t="s">
        <v>784</v>
      </c>
      <c r="G45" s="370">
        <v>17.5</v>
      </c>
      <c r="H45" s="370" t="s">
        <v>453</v>
      </c>
      <c r="I45" s="370">
        <v>830604</v>
      </c>
      <c r="J45" s="380">
        <v>2030</v>
      </c>
      <c r="K45" s="370" t="s">
        <v>476</v>
      </c>
      <c r="L45" s="370" t="s">
        <v>785</v>
      </c>
      <c r="M45" s="397" t="s">
        <v>733</v>
      </c>
      <c r="N45" s="374">
        <v>46199</v>
      </c>
      <c r="O45" s="370" t="s">
        <v>797</v>
      </c>
      <c r="P45" s="392">
        <f>VLOOKUP($I45,Inward,21,0)</f>
        <v>148393</v>
      </c>
      <c r="R45" s="478" t="s">
        <v>800</v>
      </c>
      <c r="S45" s="359" t="str">
        <f>G45&amp;" "&amp;H45&amp;" "&amp;I45&amp;" "&amp;J45&amp;" "&amp;K45&amp;" "&amp;L45&amp;" "&amp;M45</f>
        <v>17.5 EN31 830604 2030 TATA B83276 85</v>
      </c>
      <c r="T45" s="382">
        <f t="shared" ref="T45:T51" si="12">VLOOKUP($I45,Inward,22,0)</f>
        <v>0</v>
      </c>
      <c r="U45" s="383">
        <f t="shared" ref="U45:U51" si="13">VLOOKUP($I45,Inward,23,0)</f>
        <v>0</v>
      </c>
    </row>
    <row r="46" spans="1:21" ht="25.5" customHeight="1" x14ac:dyDescent="0.4">
      <c r="C46" s="370">
        <v>0</v>
      </c>
      <c r="D46" s="402" t="s">
        <v>798</v>
      </c>
      <c r="E46" s="402" t="s">
        <v>543</v>
      </c>
      <c r="F46" s="370" t="s">
        <v>784</v>
      </c>
      <c r="G46" s="370">
        <v>17.5</v>
      </c>
      <c r="H46" s="370" t="s">
        <v>453</v>
      </c>
      <c r="I46" s="370">
        <v>830605</v>
      </c>
      <c r="J46" s="380">
        <v>2020</v>
      </c>
      <c r="K46" s="370" t="s">
        <v>476</v>
      </c>
      <c r="L46" s="370" t="s">
        <v>785</v>
      </c>
      <c r="M46" s="397" t="s">
        <v>478</v>
      </c>
      <c r="N46" s="374">
        <v>46199</v>
      </c>
      <c r="O46" s="370" t="s">
        <v>797</v>
      </c>
      <c r="P46" s="392">
        <f>VLOOKUP($I46,Inward,21,0)</f>
        <v>147662</v>
      </c>
      <c r="R46" s="478" t="s">
        <v>800</v>
      </c>
      <c r="S46" s="359" t="str">
        <f>G46&amp;" "&amp;H46&amp;" "&amp;I46&amp;" "&amp;J46&amp;" "&amp;K46&amp;" "&amp;L46&amp;" "&amp;M46</f>
        <v xml:space="preserve">17.5 EN31 830605 2020 TATA B83276 </v>
      </c>
      <c r="T46" s="382">
        <f t="shared" si="12"/>
        <v>0</v>
      </c>
      <c r="U46" s="383">
        <f t="shared" si="13"/>
        <v>0</v>
      </c>
    </row>
    <row r="47" spans="1:21" ht="25.5" customHeight="1" x14ac:dyDescent="0.25">
      <c r="E47" s="372">
        <v>605</v>
      </c>
      <c r="F47" s="357" t="s">
        <v>784</v>
      </c>
      <c r="G47" s="373" t="e">
        <f>VLOOKUP($F47,Party,8,0)</f>
        <v>#N/A</v>
      </c>
      <c r="H47" s="357"/>
      <c r="I47" s="357" t="s">
        <v>549</v>
      </c>
      <c r="J47" s="379">
        <f>SUBTOTAL(109,J45:J46)</f>
        <v>4050</v>
      </c>
      <c r="K47" s="358">
        <v>4060</v>
      </c>
      <c r="L47" s="475" t="s">
        <v>777</v>
      </c>
      <c r="M47" s="504">
        <v>500</v>
      </c>
      <c r="N47" s="374">
        <v>46199</v>
      </c>
      <c r="O47" s="375" t="s">
        <v>569</v>
      </c>
      <c r="P47" s="376">
        <f>SUM(P45:P46)</f>
        <v>296055</v>
      </c>
      <c r="T47" s="382" t="e">
        <f t="shared" si="12"/>
        <v>#N/A</v>
      </c>
      <c r="U47" s="383" t="e">
        <f t="shared" si="13"/>
        <v>#N/A</v>
      </c>
    </row>
    <row r="48" spans="1:21" ht="25.5" customHeight="1" x14ac:dyDescent="0.4">
      <c r="A48" s="471" t="s">
        <v>450</v>
      </c>
      <c r="B48" s="371">
        <v>46202</v>
      </c>
      <c r="C48" s="370">
        <v>415</v>
      </c>
      <c r="D48" s="402" t="s">
        <v>805</v>
      </c>
      <c r="E48" s="402" t="s">
        <v>543</v>
      </c>
      <c r="F48" s="370" t="s">
        <v>89</v>
      </c>
      <c r="G48" s="370">
        <v>10</v>
      </c>
      <c r="H48" s="370">
        <v>4140</v>
      </c>
      <c r="I48" s="370">
        <v>940601</v>
      </c>
      <c r="J48" s="380">
        <v>1925</v>
      </c>
      <c r="K48" s="370" t="s">
        <v>476</v>
      </c>
      <c r="L48" s="370" t="s">
        <v>769</v>
      </c>
      <c r="M48" s="397" t="s">
        <v>806</v>
      </c>
      <c r="N48" s="374">
        <v>46202</v>
      </c>
      <c r="O48" s="370" t="s">
        <v>807</v>
      </c>
      <c r="P48" s="392">
        <f>VLOOKUP($I48,Inward,21,0)</f>
        <v>155925</v>
      </c>
      <c r="R48" s="472" t="s">
        <v>808</v>
      </c>
      <c r="S48" s="359" t="str">
        <f>G48&amp;" "&amp;H48&amp;" "&amp;I48&amp;" "&amp;J48&amp;" "&amp;K48&amp;" "&amp;L48&amp;" "&amp;M48</f>
        <v>10 4140 940601 1925 TATA B82211 75</v>
      </c>
      <c r="T48" s="382">
        <f t="shared" si="12"/>
        <v>0</v>
      </c>
      <c r="U48" s="383">
        <f t="shared" si="13"/>
        <v>0</v>
      </c>
    </row>
    <row r="49" spans="1:21" ht="25.5" customHeight="1" x14ac:dyDescent="0.25">
      <c r="E49" s="372">
        <v>606</v>
      </c>
      <c r="F49" s="357" t="s">
        <v>89</v>
      </c>
      <c r="G49" s="373" t="str">
        <f>VLOOKUP($F49,Party,8,0)</f>
        <v>+ Bhadu</v>
      </c>
      <c r="H49" s="357"/>
      <c r="I49" s="357" t="s">
        <v>261</v>
      </c>
      <c r="J49" s="379">
        <f>SUBTOTAL(109,J48)</f>
        <v>1925</v>
      </c>
      <c r="K49" s="358" t="s">
        <v>261</v>
      </c>
      <c r="L49" s="368" t="s">
        <v>744</v>
      </c>
      <c r="M49" s="504" t="e">
        <f>TableDispatch[[#This Row],[Co.]]*0.25</f>
        <v>#VALUE!</v>
      </c>
      <c r="N49" s="374">
        <v>46202</v>
      </c>
      <c r="O49" s="375" t="s">
        <v>261</v>
      </c>
      <c r="P49" s="376">
        <f>SUM(P48)</f>
        <v>155925</v>
      </c>
      <c r="T49" s="382" t="e">
        <f t="shared" si="12"/>
        <v>#N/A</v>
      </c>
      <c r="U49" s="383" t="e">
        <f t="shared" si="13"/>
        <v>#N/A</v>
      </c>
    </row>
    <row r="50" spans="1:21" s="447" customFormat="1" ht="25.5" customHeight="1" x14ac:dyDescent="0.25">
      <c r="B50" s="463"/>
      <c r="C50" s="464"/>
      <c r="D50" s="464"/>
      <c r="E50" s="465"/>
      <c r="F50" s="464"/>
      <c r="G50" s="464"/>
      <c r="H50" s="464"/>
      <c r="I50" s="464"/>
      <c r="J50" s="466"/>
      <c r="K50" s="464"/>
      <c r="L50" s="473"/>
      <c r="M50" s="464"/>
      <c r="N50" s="473"/>
      <c r="O50" s="473"/>
      <c r="P50" s="474"/>
      <c r="Q50" s="466"/>
      <c r="R50" s="467"/>
      <c r="T50" s="468"/>
      <c r="U50" s="469"/>
    </row>
    <row r="51" spans="1:21" ht="25.5" customHeight="1" x14ac:dyDescent="0.4">
      <c r="A51" s="500" t="s">
        <v>813</v>
      </c>
      <c r="B51" s="371">
        <v>46205</v>
      </c>
      <c r="C51" s="370">
        <v>46772</v>
      </c>
      <c r="D51" s="402" t="s">
        <v>810</v>
      </c>
      <c r="E51" s="402" t="s">
        <v>543</v>
      </c>
      <c r="F51" s="370" t="s">
        <v>244</v>
      </c>
      <c r="G51" s="370">
        <v>16.3</v>
      </c>
      <c r="H51" s="370" t="s">
        <v>453</v>
      </c>
      <c r="I51" s="370">
        <v>340603</v>
      </c>
      <c r="J51" s="380">
        <v>2270</v>
      </c>
      <c r="K51" s="370" t="s">
        <v>463</v>
      </c>
      <c r="L51" s="370" t="s">
        <v>799</v>
      </c>
      <c r="M51" s="397" t="s">
        <v>478</v>
      </c>
      <c r="N51" s="374">
        <v>46205</v>
      </c>
      <c r="O51" s="370" t="s">
        <v>811</v>
      </c>
      <c r="P51" s="392">
        <f>VLOOKUP($I51,Inward,21,0)</f>
        <v>206570</v>
      </c>
      <c r="R51" s="472" t="s">
        <v>812</v>
      </c>
      <c r="S51" s="359" t="str">
        <f>G51&amp;" "&amp;H51&amp;" "&amp;I51&amp;" "&amp;J51&amp;" "&amp;K51&amp;" "&amp;L51&amp;" "&amp;M51</f>
        <v xml:space="preserve">16.3 EN31 340603 2270 BPSL E262600 </v>
      </c>
      <c r="T51" s="382">
        <f t="shared" si="12"/>
        <v>0</v>
      </c>
      <c r="U51" s="383">
        <f t="shared" si="13"/>
        <v>0</v>
      </c>
    </row>
    <row r="52" spans="1:21" ht="25.5" customHeight="1" x14ac:dyDescent="0.25">
      <c r="E52" s="372">
        <v>701</v>
      </c>
      <c r="F52" s="357" t="s">
        <v>244</v>
      </c>
      <c r="G52" s="373" t="str">
        <f>VLOOKUP($F52,Party,8,0)</f>
        <v>+ Bhadu</v>
      </c>
      <c r="H52" s="357"/>
      <c r="I52" s="357" t="s">
        <v>261</v>
      </c>
      <c r="J52" s="379">
        <f>SUM(J51:J51)</f>
        <v>2270</v>
      </c>
      <c r="K52" s="358" t="s">
        <v>261</v>
      </c>
      <c r="L52" s="368" t="s">
        <v>776</v>
      </c>
      <c r="M52" s="504" t="e">
        <f>TableDispatch[[#This Row],[Co.]]*0.25</f>
        <v>#VALUE!</v>
      </c>
      <c r="N52" s="374">
        <v>46205</v>
      </c>
      <c r="O52" s="375" t="s">
        <v>261</v>
      </c>
      <c r="P52" s="376">
        <f>SUM(P51)</f>
        <v>206570</v>
      </c>
      <c r="T52" s="382" t="e">
        <f t="shared" ref="T52:T59" si="14">VLOOKUP($I52,Inward,22,0)</f>
        <v>#N/A</v>
      </c>
      <c r="U52" s="383" t="e">
        <f t="shared" ref="U52:U59" si="15">VLOOKUP($I52,Inward,23,0)</f>
        <v>#N/A</v>
      </c>
    </row>
    <row r="53" spans="1:21" ht="25.5" customHeight="1" x14ac:dyDescent="0.4">
      <c r="A53" s="500" t="s">
        <v>813</v>
      </c>
      <c r="B53" s="371">
        <v>46205</v>
      </c>
      <c r="C53" s="370" t="s">
        <v>814</v>
      </c>
      <c r="D53" s="402">
        <v>30</v>
      </c>
      <c r="E53" s="402" t="s">
        <v>543</v>
      </c>
      <c r="F53" s="370" t="s">
        <v>74</v>
      </c>
      <c r="G53" s="370">
        <v>22.3</v>
      </c>
      <c r="H53" s="370" t="s">
        <v>453</v>
      </c>
      <c r="I53" s="370">
        <v>400612</v>
      </c>
      <c r="J53" s="380">
        <v>2495</v>
      </c>
      <c r="K53" s="370" t="s">
        <v>595</v>
      </c>
      <c r="L53" s="370">
        <v>4617427</v>
      </c>
      <c r="M53" s="397" t="s">
        <v>772</v>
      </c>
      <c r="N53" s="374">
        <v>46206</v>
      </c>
      <c r="O53" s="370" t="s">
        <v>817</v>
      </c>
      <c r="P53" s="392">
        <f>VLOOKUP($I53,Inward,21,0)</f>
        <v>172155</v>
      </c>
      <c r="R53" s="472" t="s">
        <v>818</v>
      </c>
      <c r="S53" s="359" t="str">
        <f>G53&amp;" "&amp;H53&amp;" "&amp;I53&amp;" "&amp;J53&amp;" "&amp;K53&amp;" "&amp;L53&amp;" "&amp;M53</f>
        <v>22.3 EN31 400612 2495 JSPL 4617427 82</v>
      </c>
      <c r="T53" s="382">
        <f t="shared" si="14"/>
        <v>0</v>
      </c>
      <c r="U53" s="383">
        <f t="shared" si="15"/>
        <v>0</v>
      </c>
    </row>
    <row r="54" spans="1:21" ht="25.5" customHeight="1" x14ac:dyDescent="0.4">
      <c r="C54" s="370" t="s">
        <v>814</v>
      </c>
      <c r="D54" s="402" t="s">
        <v>816</v>
      </c>
      <c r="E54" s="402" t="s">
        <v>543</v>
      </c>
      <c r="F54" s="370" t="s">
        <v>74</v>
      </c>
      <c r="G54" s="370">
        <v>22.3</v>
      </c>
      <c r="H54" s="370" t="s">
        <v>453</v>
      </c>
      <c r="I54" s="370">
        <v>400616</v>
      </c>
      <c r="J54" s="380">
        <v>2460</v>
      </c>
      <c r="K54" s="370" t="s">
        <v>595</v>
      </c>
      <c r="L54" s="370">
        <v>4617427</v>
      </c>
      <c r="M54" s="397" t="s">
        <v>478</v>
      </c>
      <c r="N54" s="374">
        <v>46206</v>
      </c>
      <c r="O54" s="370" t="s">
        <v>817</v>
      </c>
      <c r="P54" s="392">
        <f>VLOOKUP($I54,Inward,21,0)</f>
        <v>169740</v>
      </c>
      <c r="R54" s="472" t="s">
        <v>818</v>
      </c>
      <c r="S54" s="359" t="str">
        <f>G54&amp;" "&amp;H54&amp;" "&amp;I54&amp;" "&amp;J54&amp;" "&amp;K54&amp;" "&amp;L54&amp;" "&amp;M54</f>
        <v xml:space="preserve">22.3 EN31 400616 2460 JSPL 4617427 </v>
      </c>
      <c r="T54" s="382">
        <f t="shared" si="14"/>
        <v>0</v>
      </c>
      <c r="U54" s="383">
        <f t="shared" si="15"/>
        <v>0</v>
      </c>
    </row>
    <row r="55" spans="1:21" ht="25.5" customHeight="1" x14ac:dyDescent="0.25">
      <c r="E55" s="372">
        <v>702</v>
      </c>
      <c r="F55" s="357" t="s">
        <v>74</v>
      </c>
      <c r="G55" s="373" t="str">
        <f>VLOOKUP($F55,Party,8,0)</f>
        <v>Ponch</v>
      </c>
      <c r="H55" s="357"/>
      <c r="I55" s="357" t="s">
        <v>549</v>
      </c>
      <c r="J55" s="379">
        <f>SUM(J53:J54)</f>
        <v>4955</v>
      </c>
      <c r="K55" s="358">
        <v>4975</v>
      </c>
      <c r="L55" s="475" t="s">
        <v>777</v>
      </c>
      <c r="M55" s="504">
        <f>TableDispatch[[#This Row],[Co.]]*0.25</f>
        <v>1243.75</v>
      </c>
      <c r="N55" s="374">
        <v>46206</v>
      </c>
      <c r="O55" s="375" t="s">
        <v>551</v>
      </c>
      <c r="P55" s="376">
        <f>SUM(P53:P54)</f>
        <v>341895</v>
      </c>
      <c r="T55" s="382" t="e">
        <f t="shared" si="14"/>
        <v>#N/A</v>
      </c>
      <c r="U55" s="383" t="e">
        <f t="shared" si="15"/>
        <v>#N/A</v>
      </c>
    </row>
    <row r="56" spans="1:21" ht="25.5" customHeight="1" x14ac:dyDescent="0.4">
      <c r="A56" s="500" t="s">
        <v>813</v>
      </c>
      <c r="B56" s="371">
        <v>46208</v>
      </c>
      <c r="C56" s="370" t="s">
        <v>814</v>
      </c>
      <c r="D56" s="402" t="s">
        <v>819</v>
      </c>
      <c r="E56" s="402" t="s">
        <v>543</v>
      </c>
      <c r="F56" s="370" t="s">
        <v>74</v>
      </c>
      <c r="G56" s="370">
        <v>16.3</v>
      </c>
      <c r="H56" s="370" t="s">
        <v>453</v>
      </c>
      <c r="I56" s="370">
        <v>400608</v>
      </c>
      <c r="J56" s="380">
        <v>2420</v>
      </c>
      <c r="K56" s="370" t="s">
        <v>595</v>
      </c>
      <c r="L56" s="370">
        <v>4617427</v>
      </c>
      <c r="M56" s="397" t="s">
        <v>478</v>
      </c>
      <c r="N56" s="374">
        <v>46208</v>
      </c>
      <c r="O56" s="370" t="s">
        <v>821</v>
      </c>
      <c r="P56" s="392">
        <f>VLOOKUP($I56,Inward,21,0)</f>
        <v>166980</v>
      </c>
      <c r="R56" s="505" t="s">
        <v>825</v>
      </c>
      <c r="S56" s="506" t="str">
        <f>G56&amp;" "&amp;H56&amp;" "&amp;I56&amp;" "&amp;J56&amp;" "&amp;K56&amp;" "&amp;L56&amp;" "&amp;M56</f>
        <v xml:space="preserve">16.3 EN31 400608 2420 JSPL 4617427 </v>
      </c>
      <c r="T56" s="382">
        <f t="shared" si="14"/>
        <v>0</v>
      </c>
      <c r="U56" s="383">
        <f t="shared" si="15"/>
        <v>0</v>
      </c>
    </row>
    <row r="57" spans="1:21" ht="25.5" customHeight="1" x14ac:dyDescent="0.4">
      <c r="C57" s="370" t="s">
        <v>814</v>
      </c>
      <c r="D57" s="402" t="s">
        <v>820</v>
      </c>
      <c r="E57" s="402" t="s">
        <v>557</v>
      </c>
      <c r="F57" s="370" t="s">
        <v>74</v>
      </c>
      <c r="G57" s="370">
        <v>22.3</v>
      </c>
      <c r="H57" s="370" t="s">
        <v>453</v>
      </c>
      <c r="I57" s="413" t="s">
        <v>822</v>
      </c>
      <c r="J57" s="380">
        <v>1882</v>
      </c>
      <c r="K57" s="370" t="s">
        <v>595</v>
      </c>
      <c r="L57" s="370">
        <v>4617427</v>
      </c>
      <c r="M57" s="397" t="s">
        <v>478</v>
      </c>
      <c r="N57" s="374">
        <v>46208</v>
      </c>
      <c r="O57" s="370" t="s">
        <v>821</v>
      </c>
      <c r="P57" s="392">
        <f>VLOOKUP($I57,Inward,21,0)</f>
        <v>129858</v>
      </c>
      <c r="R57" s="505" t="s">
        <v>825</v>
      </c>
      <c r="S57" s="506" t="str">
        <f>G57&amp;" "&amp;H57&amp;" "&amp;I57&amp;" "&amp;J57&amp;" "&amp;K57&amp;" "&amp;L57&amp;" "&amp;M57</f>
        <v xml:space="preserve">22.3 EN31 400617A 1882 JSPL 4617427 </v>
      </c>
      <c r="T57" s="382">
        <f t="shared" si="14"/>
        <v>0</v>
      </c>
      <c r="U57" s="383">
        <f t="shared" si="15"/>
        <v>0</v>
      </c>
    </row>
    <row r="58" spans="1:21" ht="25.5" customHeight="1" x14ac:dyDescent="0.25">
      <c r="E58" s="372">
        <v>703</v>
      </c>
      <c r="F58" s="357" t="s">
        <v>74</v>
      </c>
      <c r="G58" s="373" t="str">
        <f>VLOOKUP($F58,Party,8,0)</f>
        <v>Ponch</v>
      </c>
      <c r="H58" s="357"/>
      <c r="I58" s="357" t="s">
        <v>549</v>
      </c>
      <c r="J58" s="379">
        <f>SUM(J56:J57)</f>
        <v>4302</v>
      </c>
      <c r="K58" s="358">
        <v>4330</v>
      </c>
      <c r="L58" s="475" t="s">
        <v>777</v>
      </c>
      <c r="M58" s="504">
        <f>TableDispatch[[#This Row],[Co.]]*0.25</f>
        <v>1082.5</v>
      </c>
      <c r="N58" s="374">
        <v>46208</v>
      </c>
      <c r="O58" s="375" t="s">
        <v>551</v>
      </c>
      <c r="P58" s="376">
        <f>SUM(P56:P57)</f>
        <v>296838</v>
      </c>
      <c r="T58" s="382" t="e">
        <f t="shared" si="14"/>
        <v>#N/A</v>
      </c>
      <c r="U58" s="383" t="e">
        <f t="shared" si="15"/>
        <v>#N/A</v>
      </c>
    </row>
    <row r="59" spans="1:21" ht="25.5" customHeight="1" x14ac:dyDescent="0.4">
      <c r="A59" s="500" t="s">
        <v>813</v>
      </c>
      <c r="B59" s="371">
        <v>46210</v>
      </c>
      <c r="C59" s="370" t="s">
        <v>814</v>
      </c>
      <c r="D59" s="402" t="s">
        <v>826</v>
      </c>
      <c r="E59" s="402" t="s">
        <v>543</v>
      </c>
      <c r="F59" s="370" t="s">
        <v>74</v>
      </c>
      <c r="G59" s="370">
        <v>20</v>
      </c>
      <c r="H59" s="370" t="s">
        <v>453</v>
      </c>
      <c r="I59" s="370">
        <v>400602</v>
      </c>
      <c r="J59" s="380">
        <v>2480</v>
      </c>
      <c r="K59" s="370" t="s">
        <v>595</v>
      </c>
      <c r="L59" s="370">
        <v>4617428</v>
      </c>
      <c r="M59" s="397" t="s">
        <v>558</v>
      </c>
      <c r="N59" s="374">
        <v>46210</v>
      </c>
      <c r="O59" s="370" t="s">
        <v>828</v>
      </c>
      <c r="P59" s="392">
        <f>VLOOKUP($I59,Inward,21,0)</f>
        <v>171120</v>
      </c>
      <c r="R59" s="505" t="s">
        <v>829</v>
      </c>
      <c r="S59" s="506" t="str">
        <f>G59&amp;" "&amp;H59&amp;" "&amp;I59&amp;" "&amp;J59&amp;" "&amp;K59&amp;" "&amp;L59&amp;" "&amp;M59</f>
        <v>20 EN31 400602 2480 JSPL 4617428 81</v>
      </c>
      <c r="T59" s="382">
        <f t="shared" si="14"/>
        <v>0</v>
      </c>
      <c r="U59" s="383">
        <f t="shared" si="15"/>
        <v>0</v>
      </c>
    </row>
    <row r="60" spans="1:21" ht="25.5" customHeight="1" x14ac:dyDescent="0.4">
      <c r="C60" s="370" t="s">
        <v>814</v>
      </c>
      <c r="D60" s="402" t="s">
        <v>827</v>
      </c>
      <c r="E60" s="402" t="s">
        <v>557</v>
      </c>
      <c r="F60" s="370" t="s">
        <v>74</v>
      </c>
      <c r="G60" s="370">
        <v>16.3</v>
      </c>
      <c r="H60" s="370" t="s">
        <v>453</v>
      </c>
      <c r="I60" s="370">
        <v>400609</v>
      </c>
      <c r="J60" s="380">
        <v>2489</v>
      </c>
      <c r="K60" s="370" t="s">
        <v>595</v>
      </c>
      <c r="L60" s="370">
        <v>4617428</v>
      </c>
      <c r="M60" s="397" t="s">
        <v>478</v>
      </c>
      <c r="N60" s="374">
        <v>46210</v>
      </c>
      <c r="O60" s="370" t="s">
        <v>828</v>
      </c>
      <c r="P60" s="392">
        <f>VLOOKUP($I60,Inward,21,0)</f>
        <v>171741</v>
      </c>
      <c r="R60" s="505" t="s">
        <v>829</v>
      </c>
      <c r="S60" s="506" t="str">
        <f>G60&amp;" "&amp;H60&amp;" "&amp;I60&amp;" "&amp;J60&amp;" "&amp;K60&amp;" "&amp;L60&amp;" "&amp;M60</f>
        <v xml:space="preserve">16.3 EN31 400609 2489 JSPL 4617428 </v>
      </c>
      <c r="T60" s="382">
        <f t="shared" ref="T60:T66" si="16">VLOOKUP($I60,Inward,22,0)</f>
        <v>0</v>
      </c>
      <c r="U60" s="383">
        <f t="shared" ref="U60:U66" si="17">VLOOKUP($I60,Inward,23,0)</f>
        <v>0</v>
      </c>
    </row>
    <row r="61" spans="1:21" ht="25.5" customHeight="1" x14ac:dyDescent="0.25">
      <c r="E61" s="372">
        <v>704</v>
      </c>
      <c r="F61" s="357" t="s">
        <v>74</v>
      </c>
      <c r="G61" s="373" t="str">
        <f>VLOOKUP($F61,Party,8,0)</f>
        <v>Ponch</v>
      </c>
      <c r="H61" s="357"/>
      <c r="I61" s="357" t="s">
        <v>549</v>
      </c>
      <c r="J61" s="379">
        <f>SUM(J59:J60)</f>
        <v>4969</v>
      </c>
      <c r="K61" s="358">
        <v>4962</v>
      </c>
      <c r="L61" s="475" t="s">
        <v>777</v>
      </c>
      <c r="M61" s="504">
        <f>TableDispatch[[#This Row],[Co.]]*0.25</f>
        <v>1240.5</v>
      </c>
      <c r="N61" s="374">
        <v>46210</v>
      </c>
      <c r="O61" s="375" t="s">
        <v>551</v>
      </c>
      <c r="P61" s="376">
        <f>SUM(P59:P60)</f>
        <v>342861</v>
      </c>
      <c r="T61" s="382" t="e">
        <f t="shared" si="16"/>
        <v>#N/A</v>
      </c>
      <c r="U61" s="383" t="e">
        <f t="shared" si="17"/>
        <v>#N/A</v>
      </c>
    </row>
    <row r="62" spans="1:21" ht="25.5" customHeight="1" x14ac:dyDescent="0.4">
      <c r="A62" s="500" t="s">
        <v>813</v>
      </c>
      <c r="B62" s="371">
        <v>46212</v>
      </c>
      <c r="C62" s="370" t="s">
        <v>814</v>
      </c>
      <c r="D62" s="402" t="s">
        <v>830</v>
      </c>
      <c r="E62" s="402" t="s">
        <v>557</v>
      </c>
      <c r="F62" s="370" t="s">
        <v>74</v>
      </c>
      <c r="G62" s="370">
        <v>14</v>
      </c>
      <c r="H62" s="370" t="s">
        <v>453</v>
      </c>
      <c r="I62" s="370">
        <v>400607</v>
      </c>
      <c r="J62" s="380">
        <v>2468</v>
      </c>
      <c r="K62" s="370" t="s">
        <v>595</v>
      </c>
      <c r="L62" s="370">
        <v>4617428</v>
      </c>
      <c r="M62" s="397" t="s">
        <v>831</v>
      </c>
      <c r="N62" s="374">
        <v>46212</v>
      </c>
      <c r="O62" s="370" t="s">
        <v>832</v>
      </c>
      <c r="P62" s="392">
        <f>VLOOKUP($I62,Inward,21,0)</f>
        <v>170292</v>
      </c>
      <c r="R62" s="505" t="s">
        <v>833</v>
      </c>
      <c r="S62" s="506" t="str">
        <f>G62&amp;" "&amp;H62&amp;" "&amp;I62&amp;" "&amp;J62&amp;" "&amp;K62&amp;" "&amp;L62&amp;" "&amp;M62</f>
        <v>14 EN31 400607 2468 JSPL 4617428 84</v>
      </c>
      <c r="T62" s="382">
        <f t="shared" si="16"/>
        <v>0</v>
      </c>
      <c r="U62" s="383">
        <f t="shared" si="17"/>
        <v>0</v>
      </c>
    </row>
    <row r="63" spans="1:21" ht="25.5" customHeight="1" x14ac:dyDescent="0.25">
      <c r="D63" s="402"/>
      <c r="E63" s="372">
        <v>705</v>
      </c>
      <c r="F63" s="357" t="s">
        <v>74</v>
      </c>
      <c r="G63" s="373" t="str">
        <f>VLOOKUP($F63,Party,8,0)</f>
        <v>Ponch</v>
      </c>
      <c r="H63" s="357"/>
      <c r="I63" s="357" t="s">
        <v>261</v>
      </c>
      <c r="J63" s="379">
        <f>SUM(J62:J62)</f>
        <v>2468</v>
      </c>
      <c r="K63" s="358">
        <v>4650</v>
      </c>
      <c r="L63" s="475" t="s">
        <v>777</v>
      </c>
      <c r="M63" s="504"/>
      <c r="N63" s="374">
        <v>46212</v>
      </c>
      <c r="O63" s="375" t="s">
        <v>551</v>
      </c>
      <c r="P63" s="376">
        <f>SUM(P62:P62)</f>
        <v>170292</v>
      </c>
      <c r="T63" s="382" t="e">
        <f t="shared" si="16"/>
        <v>#N/A</v>
      </c>
      <c r="U63" s="383" t="e">
        <f t="shared" si="17"/>
        <v>#N/A</v>
      </c>
    </row>
    <row r="64" spans="1:21" ht="25.5" customHeight="1" x14ac:dyDescent="0.4">
      <c r="A64" s="500" t="s">
        <v>813</v>
      </c>
      <c r="B64" s="371">
        <v>46217</v>
      </c>
      <c r="C64" s="370" t="s">
        <v>814</v>
      </c>
      <c r="D64" s="402" t="s">
        <v>851</v>
      </c>
      <c r="E64" s="402" t="s">
        <v>543</v>
      </c>
      <c r="F64" s="370" t="s">
        <v>74</v>
      </c>
      <c r="G64" s="370">
        <v>14</v>
      </c>
      <c r="H64" s="370" t="s">
        <v>453</v>
      </c>
      <c r="I64" s="370">
        <v>400605</v>
      </c>
      <c r="J64" s="380">
        <v>2440</v>
      </c>
      <c r="K64" s="370" t="s">
        <v>595</v>
      </c>
      <c r="L64" s="370">
        <v>4617428</v>
      </c>
      <c r="M64" s="397" t="s">
        <v>733</v>
      </c>
      <c r="N64" s="374">
        <v>46217</v>
      </c>
      <c r="O64" s="370" t="s">
        <v>853</v>
      </c>
      <c r="P64" s="392">
        <f>VLOOKUP($I64,Inward,21,0)</f>
        <v>168360</v>
      </c>
      <c r="R64" s="526" t="s">
        <v>854</v>
      </c>
      <c r="S64" s="527" t="str">
        <f>G64&amp;" "&amp;H64&amp;" "&amp;I64&amp;" "&amp;J64&amp;" "&amp;K64&amp;" "&amp;L64&amp;" "&amp;M64</f>
        <v>14 EN31 400605 2440 JSPL 4617428 85</v>
      </c>
      <c r="T64" s="382">
        <f t="shared" si="16"/>
        <v>0</v>
      </c>
      <c r="U64" s="383">
        <f t="shared" si="17"/>
        <v>0</v>
      </c>
    </row>
    <row r="65" spans="1:21" ht="25.5" customHeight="1" x14ac:dyDescent="0.4">
      <c r="C65" s="370" t="s">
        <v>814</v>
      </c>
      <c r="D65" s="402" t="s">
        <v>852</v>
      </c>
      <c r="E65" s="402" t="s">
        <v>543</v>
      </c>
      <c r="F65" s="370" t="s">
        <v>74</v>
      </c>
      <c r="G65" s="370">
        <v>14</v>
      </c>
      <c r="H65" s="370" t="s">
        <v>453</v>
      </c>
      <c r="I65" s="370">
        <v>400606</v>
      </c>
      <c r="J65" s="380">
        <v>2408</v>
      </c>
      <c r="K65" s="370" t="s">
        <v>595</v>
      </c>
      <c r="L65" s="370">
        <v>4617428</v>
      </c>
      <c r="M65" s="397" t="s">
        <v>772</v>
      </c>
      <c r="N65" s="374">
        <v>46217</v>
      </c>
      <c r="O65" s="370" t="s">
        <v>853</v>
      </c>
      <c r="P65" s="392">
        <f>VLOOKUP($I65,Inward,21,0)</f>
        <v>166152</v>
      </c>
      <c r="R65" s="526" t="s">
        <v>854</v>
      </c>
      <c r="S65" s="527" t="str">
        <f>G65&amp;" "&amp;H65&amp;" "&amp;I65&amp;" "&amp;J65&amp;" "&amp;K65&amp;" "&amp;L65&amp;" "&amp;M65</f>
        <v>14 EN31 400606 2408 JSPL 4617428 82</v>
      </c>
      <c r="T65" s="382">
        <f t="shared" si="16"/>
        <v>0</v>
      </c>
      <c r="U65" s="383">
        <f t="shared" si="17"/>
        <v>0</v>
      </c>
    </row>
    <row r="66" spans="1:21" ht="25.5" customHeight="1" x14ac:dyDescent="0.25">
      <c r="E66" s="372">
        <v>706</v>
      </c>
      <c r="F66" s="357" t="s">
        <v>74</v>
      </c>
      <c r="G66" s="373" t="str">
        <f>VLOOKUP($F66,Party,8,0)</f>
        <v>Ponch</v>
      </c>
      <c r="H66" s="357"/>
      <c r="I66" s="357" t="s">
        <v>549</v>
      </c>
      <c r="J66" s="379">
        <f>SUM(J64:J65)</f>
        <v>4848</v>
      </c>
      <c r="K66" s="358">
        <v>4880</v>
      </c>
      <c r="L66" s="475" t="s">
        <v>777</v>
      </c>
      <c r="M66" s="525">
        <f>TableDispatch[[#This Row],[Co.]]*0.25</f>
        <v>1220</v>
      </c>
      <c r="N66" s="374">
        <v>46217</v>
      </c>
      <c r="O66" s="375" t="s">
        <v>551</v>
      </c>
      <c r="P66" s="376">
        <f>SUM(P64:P65)</f>
        <v>334512</v>
      </c>
      <c r="R66" s="528"/>
      <c r="T66" s="382" t="e">
        <f t="shared" si="16"/>
        <v>#N/A</v>
      </c>
      <c r="U66" s="383" t="e">
        <f t="shared" si="17"/>
        <v>#N/A</v>
      </c>
    </row>
    <row r="67" spans="1:21" ht="25.5" customHeight="1" x14ac:dyDescent="0.4">
      <c r="A67" s="500" t="s">
        <v>813</v>
      </c>
      <c r="B67" s="371">
        <v>46219</v>
      </c>
      <c r="C67" s="370" t="s">
        <v>814</v>
      </c>
      <c r="D67" s="402" t="s">
        <v>855</v>
      </c>
      <c r="E67" s="402" t="s">
        <v>543</v>
      </c>
      <c r="F67" s="370" t="s">
        <v>74</v>
      </c>
      <c r="G67" s="370">
        <v>16.3</v>
      </c>
      <c r="H67" s="370" t="s">
        <v>453</v>
      </c>
      <c r="I67" s="370">
        <v>400610</v>
      </c>
      <c r="J67" s="380">
        <v>2471</v>
      </c>
      <c r="K67" s="370" t="s">
        <v>595</v>
      </c>
      <c r="L67" s="370">
        <v>4617427</v>
      </c>
      <c r="M67" s="397" t="s">
        <v>733</v>
      </c>
      <c r="N67" s="374">
        <v>46219</v>
      </c>
      <c r="O67" s="370" t="s">
        <v>857</v>
      </c>
      <c r="P67" s="392">
        <f>VLOOKUP($I67,Inward,21,0)</f>
        <v>170499</v>
      </c>
      <c r="R67" s="472" t="s">
        <v>858</v>
      </c>
      <c r="S67" s="527" t="str">
        <f>G67&amp;" "&amp;H67&amp;" "&amp;I67&amp;" "&amp;J67&amp;" "&amp;K67&amp;" "&amp;L67&amp;" "&amp;M67</f>
        <v>16.3 EN31 400610 2471 JSPL 4617427 85</v>
      </c>
      <c r="T67" s="382"/>
      <c r="U67" s="383"/>
    </row>
    <row r="68" spans="1:21" ht="25.5" customHeight="1" x14ac:dyDescent="0.4">
      <c r="A68" s="371"/>
      <c r="C68" s="370" t="s">
        <v>814</v>
      </c>
      <c r="D68" s="402" t="s">
        <v>856</v>
      </c>
      <c r="E68" s="402" t="s">
        <v>543</v>
      </c>
      <c r="F68" s="370" t="s">
        <v>74</v>
      </c>
      <c r="G68" s="370">
        <v>16.3</v>
      </c>
      <c r="H68" s="370" t="s">
        <v>453</v>
      </c>
      <c r="I68" s="370" t="s">
        <v>823</v>
      </c>
      <c r="J68" s="380">
        <v>1759</v>
      </c>
      <c r="K68" s="370" t="s">
        <v>595</v>
      </c>
      <c r="L68" s="370">
        <v>4617427</v>
      </c>
      <c r="M68" s="397" t="s">
        <v>772</v>
      </c>
      <c r="N68" s="374">
        <v>46219</v>
      </c>
      <c r="O68" s="370" t="s">
        <v>857</v>
      </c>
      <c r="P68" s="392">
        <f>VLOOKUP($I68,Inward,21,0)</f>
        <v>121371</v>
      </c>
      <c r="R68" s="472" t="s">
        <v>858</v>
      </c>
      <c r="S68" s="527" t="str">
        <f t="shared" ref="S68:S69" si="18">G68&amp;" "&amp;H68&amp;" "&amp;I68&amp;" "&amp;J68&amp;" "&amp;K68&amp;" "&amp;L68&amp;" "&amp;M68</f>
        <v>16.3 EN31 400611A 1759 JSPL 4617427 82</v>
      </c>
      <c r="T68" s="382"/>
      <c r="U68" s="383"/>
    </row>
    <row r="69" spans="1:21" ht="25.5" customHeight="1" x14ac:dyDescent="0.4">
      <c r="A69" s="371"/>
      <c r="C69" s="370" t="s">
        <v>814</v>
      </c>
      <c r="D69" s="402" t="s">
        <v>856</v>
      </c>
      <c r="E69" s="402" t="s">
        <v>543</v>
      </c>
      <c r="F69" s="370" t="s">
        <v>74</v>
      </c>
      <c r="G69" s="370">
        <v>16.3</v>
      </c>
      <c r="H69" s="370" t="s">
        <v>453</v>
      </c>
      <c r="I69" s="370" t="s">
        <v>824</v>
      </c>
      <c r="J69" s="380">
        <v>725</v>
      </c>
      <c r="K69" s="370" t="s">
        <v>595</v>
      </c>
      <c r="L69" s="370">
        <v>4617427</v>
      </c>
      <c r="M69" s="397" t="s">
        <v>772</v>
      </c>
      <c r="N69" s="374">
        <v>46219</v>
      </c>
      <c r="O69" s="370" t="s">
        <v>857</v>
      </c>
      <c r="P69" s="392">
        <f>VLOOKUP($I69,Inward,21,0)</f>
        <v>50025</v>
      </c>
      <c r="R69" s="472" t="s">
        <v>858</v>
      </c>
      <c r="S69" s="527" t="str">
        <f t="shared" si="18"/>
        <v>16.3 EN31 400611B 725 JSPL 4617427 82</v>
      </c>
      <c r="T69" s="382"/>
      <c r="U69" s="383"/>
    </row>
    <row r="70" spans="1:21" ht="25.5" customHeight="1" x14ac:dyDescent="0.25">
      <c r="A70" s="371"/>
      <c r="E70" s="372">
        <v>707</v>
      </c>
      <c r="F70" s="357" t="s">
        <v>74</v>
      </c>
      <c r="G70" s="373" t="str">
        <f>VLOOKUP($F70,Party,8,0)</f>
        <v>Ponch</v>
      </c>
      <c r="H70" s="357"/>
      <c r="I70" s="357" t="s">
        <v>549</v>
      </c>
      <c r="J70" s="379">
        <f>SUM(J67:J69)</f>
        <v>4955</v>
      </c>
      <c r="K70" s="358">
        <v>4990</v>
      </c>
      <c r="L70" s="475" t="s">
        <v>777</v>
      </c>
      <c r="M70" s="525">
        <f>TableDispatch[[#This Row],[Co.]]*0.25</f>
        <v>1247.5</v>
      </c>
      <c r="N70" s="374">
        <v>46219</v>
      </c>
      <c r="O70" s="375" t="s">
        <v>551</v>
      </c>
      <c r="P70" s="376">
        <f>SUM(P67:P69)</f>
        <v>341895</v>
      </c>
      <c r="Q70" s="371"/>
      <c r="R70" s="371"/>
      <c r="S70" s="371"/>
      <c r="T70" s="382"/>
      <c r="U70" s="383"/>
    </row>
    <row r="71" spans="1:21" ht="25.5" customHeight="1" x14ac:dyDescent="0.4">
      <c r="A71" s="500" t="s">
        <v>813</v>
      </c>
      <c r="B71" s="371">
        <v>46220</v>
      </c>
      <c r="C71" s="370" t="s">
        <v>814</v>
      </c>
      <c r="D71" s="402" t="s">
        <v>859</v>
      </c>
      <c r="E71" s="402" t="s">
        <v>543</v>
      </c>
      <c r="F71" s="370" t="s">
        <v>74</v>
      </c>
      <c r="G71" s="370">
        <v>22.3</v>
      </c>
      <c r="H71" s="370" t="s">
        <v>453</v>
      </c>
      <c r="I71" s="370">
        <v>400613</v>
      </c>
      <c r="J71" s="380">
        <v>2480</v>
      </c>
      <c r="K71" s="370" t="s">
        <v>595</v>
      </c>
      <c r="L71" s="370">
        <v>4617427</v>
      </c>
      <c r="M71" s="397" t="s">
        <v>478</v>
      </c>
      <c r="N71" s="374">
        <v>46220</v>
      </c>
      <c r="O71" s="371" t="s">
        <v>861</v>
      </c>
      <c r="P71" s="392">
        <f>VLOOKUP($I71,Inward,21,0)</f>
        <v>171120</v>
      </c>
      <c r="Q71" s="371"/>
      <c r="R71" s="526" t="s">
        <v>862</v>
      </c>
      <c r="S71" s="527" t="str">
        <f>G71&amp;" "&amp;H71&amp;" "&amp;I71&amp;" "&amp;J71&amp;" "&amp;K71&amp;" "&amp;L71&amp;" "&amp;M71</f>
        <v xml:space="preserve">22.3 EN31 400613 2480 JSPL 4617427 </v>
      </c>
      <c r="T71" s="382"/>
      <c r="U71" s="383"/>
    </row>
    <row r="72" spans="1:21" ht="25.5" customHeight="1" x14ac:dyDescent="0.4">
      <c r="A72" s="371"/>
      <c r="C72" s="370" t="s">
        <v>814</v>
      </c>
      <c r="D72" s="402" t="s">
        <v>860</v>
      </c>
      <c r="E72" s="402" t="s">
        <v>543</v>
      </c>
      <c r="F72" s="370" t="s">
        <v>74</v>
      </c>
      <c r="G72" s="370">
        <v>22.3</v>
      </c>
      <c r="H72" s="370" t="s">
        <v>453</v>
      </c>
      <c r="I72" s="370">
        <v>400615</v>
      </c>
      <c r="J72" s="380">
        <v>2475</v>
      </c>
      <c r="K72" s="370" t="s">
        <v>595</v>
      </c>
      <c r="L72" s="370">
        <v>4617427</v>
      </c>
      <c r="M72" s="397" t="s">
        <v>831</v>
      </c>
      <c r="N72" s="374">
        <v>46220</v>
      </c>
      <c r="O72" s="371" t="s">
        <v>861</v>
      </c>
      <c r="P72" s="392">
        <f>VLOOKUP($I72,Inward,21,0)</f>
        <v>170775</v>
      </c>
      <c r="Q72" s="371"/>
      <c r="R72" s="526" t="s">
        <v>862</v>
      </c>
      <c r="S72" s="527" t="str">
        <f>G72&amp;" "&amp;H72&amp;" "&amp;I72&amp;" "&amp;J72&amp;" "&amp;K72&amp;" "&amp;L72&amp;" "&amp;M72</f>
        <v>22.3 EN31 400615 2475 JSPL 4617427 84</v>
      </c>
      <c r="T72" s="382"/>
      <c r="U72" s="383"/>
    </row>
    <row r="73" spans="1:21" ht="25.5" customHeight="1" x14ac:dyDescent="0.25">
      <c r="A73" s="371"/>
      <c r="E73" s="372">
        <v>708</v>
      </c>
      <c r="F73" s="357" t="s">
        <v>74</v>
      </c>
      <c r="G73" s="373" t="str">
        <f>VLOOKUP($F73,Party,8,0)</f>
        <v>Ponch</v>
      </c>
      <c r="H73" s="357"/>
      <c r="I73" s="357" t="s">
        <v>549</v>
      </c>
      <c r="J73" s="379">
        <f>SUM(J71:J72)</f>
        <v>4955</v>
      </c>
      <c r="K73" s="358">
        <v>4945</v>
      </c>
      <c r="L73" s="475" t="s">
        <v>777</v>
      </c>
      <c r="M73" s="525">
        <f>TableDispatch[[#This Row],[Co.]]*0.25</f>
        <v>1236.25</v>
      </c>
      <c r="N73" s="374">
        <v>46220</v>
      </c>
      <c r="O73" s="375" t="s">
        <v>551</v>
      </c>
      <c r="P73" s="376">
        <f>SUM(P71:P72)</f>
        <v>341895</v>
      </c>
      <c r="Q73" s="371"/>
      <c r="R73" s="371"/>
      <c r="S73" s="371"/>
      <c r="T73" s="382"/>
      <c r="U73" s="383"/>
    </row>
    <row r="74" spans="1:21" ht="25.5" customHeight="1" x14ac:dyDescent="0.4">
      <c r="A74" s="500" t="s">
        <v>813</v>
      </c>
      <c r="B74" s="371">
        <v>46224</v>
      </c>
      <c r="C74" s="370">
        <v>936</v>
      </c>
      <c r="D74" s="402" t="s">
        <v>866</v>
      </c>
      <c r="E74" s="402" t="s">
        <v>557</v>
      </c>
      <c r="F74" s="370" t="s">
        <v>80</v>
      </c>
      <c r="G74" s="370">
        <v>10</v>
      </c>
      <c r="H74" s="370" t="s">
        <v>837</v>
      </c>
      <c r="I74" s="370">
        <v>410701</v>
      </c>
      <c r="J74" s="380">
        <v>2060</v>
      </c>
      <c r="K74" s="370" t="s">
        <v>840</v>
      </c>
      <c r="L74" s="370" t="s">
        <v>839</v>
      </c>
      <c r="M74" s="397" t="s">
        <v>831</v>
      </c>
      <c r="N74" s="374">
        <v>46224</v>
      </c>
      <c r="O74" s="371" t="s">
        <v>869</v>
      </c>
      <c r="P74" s="392">
        <f>VLOOKUP($I74,Inward,21,0)</f>
        <v>135960</v>
      </c>
      <c r="Q74" s="532" t="s">
        <v>609</v>
      </c>
      <c r="R74" s="526" t="s">
        <v>870</v>
      </c>
      <c r="S74" s="527" t="str">
        <f>G74&amp;" "&amp;H74&amp;" "&amp;I74&amp;" "&amp;J74&amp;" "&amp;K74&amp;" "&amp;L74&amp;" "&amp;M74</f>
        <v>10 15B25 410701 2060 VSP 26D01183 84</v>
      </c>
      <c r="T74" s="382"/>
      <c r="U74" s="383"/>
    </row>
    <row r="75" spans="1:21" ht="25.5" customHeight="1" x14ac:dyDescent="0.25">
      <c r="A75" s="371"/>
      <c r="E75" s="372">
        <v>709</v>
      </c>
      <c r="F75" s="357" t="s">
        <v>80</v>
      </c>
      <c r="G75" s="373" t="str">
        <f>VLOOKUP($F75,Party,8,0)</f>
        <v>Self/T</v>
      </c>
      <c r="H75" s="357"/>
      <c r="I75" s="357" t="s">
        <v>261</v>
      </c>
      <c r="J75" s="379">
        <f>SUM(J74:J74)</f>
        <v>2060</v>
      </c>
      <c r="K75" s="358" t="s">
        <v>261</v>
      </c>
      <c r="L75" s="475" t="s">
        <v>868</v>
      </c>
      <c r="M75" s="525" t="e">
        <f>TableDispatch[[#This Row],[Co.]]*0.25</f>
        <v>#VALUE!</v>
      </c>
      <c r="N75" s="374">
        <v>46224</v>
      </c>
      <c r="O75" s="375" t="s">
        <v>871</v>
      </c>
      <c r="P75" s="376">
        <f>SUM(P74:P74)</f>
        <v>135960</v>
      </c>
      <c r="R75" s="371"/>
      <c r="S75" s="371"/>
      <c r="T75" s="382"/>
      <c r="U75" s="383"/>
    </row>
    <row r="76" spans="1:21" ht="25.5" customHeight="1" x14ac:dyDescent="0.4">
      <c r="A76" s="500" t="s">
        <v>813</v>
      </c>
      <c r="B76" s="371">
        <v>46227</v>
      </c>
      <c r="C76" s="370">
        <v>937</v>
      </c>
      <c r="D76" s="402" t="s">
        <v>888</v>
      </c>
      <c r="E76" s="402" t="s">
        <v>543</v>
      </c>
      <c r="F76" s="370" t="s">
        <v>80</v>
      </c>
      <c r="G76" s="370">
        <v>10</v>
      </c>
      <c r="H76" s="370" t="s">
        <v>837</v>
      </c>
      <c r="I76" s="370">
        <v>410702</v>
      </c>
      <c r="J76" s="380">
        <v>2080</v>
      </c>
      <c r="K76" s="370" t="s">
        <v>840</v>
      </c>
      <c r="L76" s="370" t="s">
        <v>838</v>
      </c>
      <c r="M76" s="397" t="s">
        <v>478</v>
      </c>
      <c r="N76" s="374">
        <v>46227</v>
      </c>
      <c r="O76" s="371"/>
      <c r="P76" s="392"/>
      <c r="R76" s="526"/>
      <c r="S76" s="527"/>
      <c r="T76" s="382"/>
      <c r="U76" s="383"/>
    </row>
    <row r="77" spans="1:21" ht="25.5" customHeight="1" x14ac:dyDescent="0.4">
      <c r="C77" s="370">
        <v>938</v>
      </c>
      <c r="D77" s="402" t="s">
        <v>888</v>
      </c>
      <c r="E77" s="402" t="s">
        <v>543</v>
      </c>
      <c r="F77" s="370" t="s">
        <v>80</v>
      </c>
      <c r="G77" s="370">
        <v>13</v>
      </c>
      <c r="H77" s="370" t="s">
        <v>837</v>
      </c>
      <c r="I77" s="370">
        <v>410703</v>
      </c>
      <c r="J77" s="380">
        <v>2005</v>
      </c>
      <c r="K77" s="370" t="s">
        <v>476</v>
      </c>
      <c r="L77" s="370" t="s">
        <v>863</v>
      </c>
      <c r="M77" s="397" t="s">
        <v>478</v>
      </c>
      <c r="N77" s="374">
        <v>46227</v>
      </c>
      <c r="O77" s="371" t="s">
        <v>867</v>
      </c>
      <c r="P77" s="392">
        <f>VLOOKUP($I77,Inward,21,0)</f>
        <v>142555.5</v>
      </c>
      <c r="R77" s="526" t="s">
        <v>889</v>
      </c>
      <c r="S77" s="527" t="str">
        <f>G77&amp;" "&amp;H77&amp;" "&amp;I77&amp;" "&amp;J77&amp;" "&amp;K77&amp;" "&amp;L77&amp;" "&amp;M77</f>
        <v xml:space="preserve">13 15B25 410703 2005 TATA B82458 </v>
      </c>
      <c r="T77" s="382"/>
      <c r="U77" s="383"/>
    </row>
    <row r="78" spans="1:21" ht="25.5" customHeight="1" x14ac:dyDescent="0.4">
      <c r="E78" s="449"/>
      <c r="H78" s="546" t="s">
        <v>896</v>
      </c>
      <c r="I78" s="547"/>
      <c r="J78" s="548"/>
      <c r="K78" s="549"/>
      <c r="L78" s="370"/>
      <c r="N78" s="374">
        <v>46227</v>
      </c>
      <c r="O78" s="371"/>
      <c r="P78" s="392"/>
      <c r="R78" s="526"/>
      <c r="S78" s="540"/>
      <c r="T78" s="382"/>
      <c r="U78" s="383"/>
    </row>
    <row r="79" spans="1:21" ht="25.5" customHeight="1" x14ac:dyDescent="0.25">
      <c r="E79" s="372">
        <v>710</v>
      </c>
      <c r="F79" s="357" t="s">
        <v>80</v>
      </c>
      <c r="G79" s="373" t="str">
        <f>VLOOKUP($F79,Party,8,0)</f>
        <v>Self/T</v>
      </c>
      <c r="H79" s="357"/>
      <c r="I79" s="357" t="s">
        <v>549</v>
      </c>
      <c r="J79" s="379">
        <f>SUM(J76:J77)</f>
        <v>4085</v>
      </c>
      <c r="K79" s="358"/>
      <c r="L79" s="475" t="s">
        <v>777</v>
      </c>
      <c r="M79" s="525">
        <v>500</v>
      </c>
      <c r="N79" s="374">
        <v>46227</v>
      </c>
      <c r="O79" s="375" t="s">
        <v>609</v>
      </c>
      <c r="P79" s="376">
        <f>SUM(P76:P78)</f>
        <v>142555.5</v>
      </c>
      <c r="T79" s="382"/>
      <c r="U79" s="383"/>
    </row>
    <row r="80" spans="1:21" ht="25.5" customHeight="1" x14ac:dyDescent="0.4">
      <c r="A80" s="500" t="s">
        <v>813</v>
      </c>
      <c r="B80" s="371">
        <v>46227</v>
      </c>
      <c r="C80" s="370">
        <v>1</v>
      </c>
      <c r="D80" s="402" t="s">
        <v>890</v>
      </c>
      <c r="E80" s="402" t="s">
        <v>543</v>
      </c>
      <c r="F80" s="370" t="s">
        <v>57</v>
      </c>
      <c r="G80" s="370">
        <v>17.5</v>
      </c>
      <c r="H80" s="370" t="s">
        <v>453</v>
      </c>
      <c r="I80" s="370">
        <v>650603</v>
      </c>
      <c r="J80" s="380">
        <v>2020</v>
      </c>
      <c r="K80" s="370" t="s">
        <v>476</v>
      </c>
      <c r="L80" s="370" t="s">
        <v>767</v>
      </c>
      <c r="M80" s="397" t="s">
        <v>831</v>
      </c>
      <c r="N80" s="374">
        <v>46227</v>
      </c>
      <c r="O80" s="370" t="s">
        <v>869</v>
      </c>
      <c r="P80" s="392">
        <f>VLOOKUP($I80,Inward,21,0)</f>
        <v>145440</v>
      </c>
      <c r="R80" s="526" t="s">
        <v>893</v>
      </c>
      <c r="S80" s="527" t="str">
        <f>G80&amp;" "&amp;H80&amp;" "&amp;I80&amp;" "&amp;J80&amp;" "&amp;K80&amp;" "&amp;L80&amp;" "&amp;M80</f>
        <v>17.5 EN31 650603 2020 TATA B83391 84</v>
      </c>
      <c r="T80" s="382"/>
      <c r="U80" s="383"/>
    </row>
    <row r="81" spans="1:21" ht="25.5" customHeight="1" x14ac:dyDescent="0.25">
      <c r="E81" s="372">
        <v>711</v>
      </c>
      <c r="F81" s="357" t="s">
        <v>57</v>
      </c>
      <c r="G81" s="373" t="str">
        <f>VLOOKUP($F81,Party,8,0)</f>
        <v>Ponch</v>
      </c>
      <c r="H81" s="357"/>
      <c r="I81" s="357" t="s">
        <v>549</v>
      </c>
      <c r="J81" s="379">
        <f>SUBTOTAL(109,J80)</f>
        <v>2020</v>
      </c>
      <c r="K81" s="358">
        <v>2030</v>
      </c>
      <c r="L81" s="475" t="s">
        <v>777</v>
      </c>
      <c r="M81" s="525">
        <v>500</v>
      </c>
      <c r="N81" s="374">
        <v>46227</v>
      </c>
      <c r="O81" s="375" t="s">
        <v>569</v>
      </c>
      <c r="P81" s="376">
        <f>SUM(P80:P80)</f>
        <v>145440</v>
      </c>
      <c r="T81" s="382"/>
      <c r="U81" s="383"/>
    </row>
    <row r="82" spans="1:21" ht="25.5" customHeight="1" x14ac:dyDescent="0.4">
      <c r="A82" s="500" t="s">
        <v>813</v>
      </c>
      <c r="B82" s="371">
        <v>46227</v>
      </c>
      <c r="C82" s="370">
        <v>0</v>
      </c>
      <c r="D82" s="402" t="s">
        <v>891</v>
      </c>
      <c r="E82" s="402" t="s">
        <v>543</v>
      </c>
      <c r="F82" s="370" t="s">
        <v>784</v>
      </c>
      <c r="G82" s="370">
        <v>17.5</v>
      </c>
      <c r="H82" s="370" t="s">
        <v>453</v>
      </c>
      <c r="I82" s="370">
        <v>830603</v>
      </c>
      <c r="J82" s="380">
        <v>2010</v>
      </c>
      <c r="K82" s="370" t="s">
        <v>476</v>
      </c>
      <c r="L82" s="370" t="s">
        <v>785</v>
      </c>
      <c r="M82" s="397" t="s">
        <v>558</v>
      </c>
      <c r="N82" s="374">
        <v>46227</v>
      </c>
      <c r="O82" s="370" t="s">
        <v>892</v>
      </c>
      <c r="P82" s="392">
        <f>VLOOKUP($I82,Inward,21,0)</f>
        <v>146931</v>
      </c>
      <c r="R82" s="526" t="s">
        <v>894</v>
      </c>
      <c r="S82" s="527" t="str">
        <f>G82&amp;" "&amp;H82&amp;" "&amp;I82&amp;" "&amp;J82&amp;" "&amp;K82&amp;" "&amp;L82&amp;" "&amp;M82</f>
        <v>17.5 EN31 830603 2010 TATA B83276 81</v>
      </c>
      <c r="T82" s="382"/>
      <c r="U82" s="383"/>
    </row>
    <row r="83" spans="1:21" ht="25.5" customHeight="1" x14ac:dyDescent="0.25">
      <c r="E83" s="372">
        <v>712</v>
      </c>
      <c r="F83" s="357" t="s">
        <v>784</v>
      </c>
      <c r="G83" s="373" t="e">
        <f>VLOOKUP($F83,Party,8,0)</f>
        <v>#N/A</v>
      </c>
      <c r="H83" s="357"/>
      <c r="I83" s="357" t="s">
        <v>549</v>
      </c>
      <c r="J83" s="379">
        <f>SUBTOTAL(109,J82)</f>
        <v>2010</v>
      </c>
      <c r="K83" s="358">
        <v>2015</v>
      </c>
      <c r="L83" s="475" t="s">
        <v>777</v>
      </c>
      <c r="M83" s="525">
        <v>500</v>
      </c>
      <c r="N83" s="374">
        <v>46227</v>
      </c>
      <c r="O83" s="375" t="s">
        <v>569</v>
      </c>
      <c r="P83" s="376">
        <f>SUM(P82:P82)</f>
        <v>146931</v>
      </c>
      <c r="T83" s="382"/>
      <c r="U83" s="383"/>
    </row>
    <row r="84" spans="1:21" ht="25.5" customHeight="1" x14ac:dyDescent="0.4">
      <c r="A84" s="500" t="s">
        <v>813</v>
      </c>
      <c r="B84" s="371">
        <v>46228</v>
      </c>
      <c r="C84" s="370">
        <v>46973</v>
      </c>
      <c r="D84" s="402" t="s">
        <v>901</v>
      </c>
      <c r="E84" s="402" t="s">
        <v>543</v>
      </c>
      <c r="F84" s="370" t="s">
        <v>244</v>
      </c>
      <c r="G84" s="370">
        <v>16.5</v>
      </c>
      <c r="H84" s="370" t="s">
        <v>453</v>
      </c>
      <c r="I84" s="370" t="s">
        <v>899</v>
      </c>
      <c r="J84" s="380">
        <v>2015</v>
      </c>
      <c r="K84" s="370" t="s">
        <v>476</v>
      </c>
      <c r="L84" s="370" t="s">
        <v>836</v>
      </c>
      <c r="M84" s="397" t="s">
        <v>831</v>
      </c>
      <c r="N84" s="374">
        <v>46228</v>
      </c>
      <c r="O84" s="370" t="s">
        <v>904</v>
      </c>
      <c r="P84" s="392">
        <f>VLOOKUP($I84,Inward,21,0)</f>
        <v>181350</v>
      </c>
      <c r="R84" s="526" t="s">
        <v>907</v>
      </c>
      <c r="S84" s="527" t="str">
        <f>G84&amp;" "&amp;H84&amp;" "&amp;I84&amp;" "&amp;J84&amp;" "&amp;K84&amp;" "&amp;L84&amp;" "&amp;M84</f>
        <v>16.5 EN31 340701/O 2015 TATA B83700 84</v>
      </c>
      <c r="T84" s="382"/>
      <c r="U84" s="383"/>
    </row>
    <row r="85" spans="1:21" ht="25.5" customHeight="1" x14ac:dyDescent="0.4">
      <c r="C85" s="370">
        <v>46973</v>
      </c>
      <c r="D85" s="402" t="s">
        <v>902</v>
      </c>
      <c r="E85" s="402" t="s">
        <v>557</v>
      </c>
      <c r="F85" s="370" t="s">
        <v>244</v>
      </c>
      <c r="G85" s="370">
        <v>16.5</v>
      </c>
      <c r="H85" s="370" t="s">
        <v>453</v>
      </c>
      <c r="I85" s="370">
        <v>340702</v>
      </c>
      <c r="J85" s="380">
        <v>2015</v>
      </c>
      <c r="K85" s="370" t="s">
        <v>476</v>
      </c>
      <c r="L85" s="370" t="s">
        <v>836</v>
      </c>
      <c r="M85" s="397" t="s">
        <v>831</v>
      </c>
      <c r="N85" s="374">
        <v>46228</v>
      </c>
      <c r="O85" s="370" t="s">
        <v>904</v>
      </c>
      <c r="P85" s="392">
        <f>VLOOKUP($I85,Inward,21,0)</f>
        <v>181350</v>
      </c>
      <c r="R85" s="526" t="s">
        <v>907</v>
      </c>
      <c r="S85" s="527" t="str">
        <f>G85&amp;" "&amp;H85&amp;" "&amp;I85&amp;" "&amp;J85&amp;" "&amp;K85&amp;" "&amp;L85&amp;" "&amp;M85</f>
        <v>16.5 EN31 340702 2015 TATA B83700 84</v>
      </c>
      <c r="T85" s="382"/>
      <c r="U85" s="383"/>
    </row>
    <row r="86" spans="1:21" ht="25.5" customHeight="1" x14ac:dyDescent="0.4">
      <c r="C86" s="370">
        <v>46973</v>
      </c>
      <c r="D86" s="402" t="s">
        <v>903</v>
      </c>
      <c r="E86" s="402" t="s">
        <v>557</v>
      </c>
      <c r="F86" s="370" t="s">
        <v>244</v>
      </c>
      <c r="G86" s="370">
        <v>16.5</v>
      </c>
      <c r="H86" s="370" t="s">
        <v>453</v>
      </c>
      <c r="I86" s="370">
        <v>340703</v>
      </c>
      <c r="J86" s="380">
        <v>2030</v>
      </c>
      <c r="K86" s="370" t="s">
        <v>476</v>
      </c>
      <c r="L86" s="370" t="s">
        <v>836</v>
      </c>
      <c r="M86" s="397" t="s">
        <v>772</v>
      </c>
      <c r="N86" s="374">
        <v>46228</v>
      </c>
      <c r="O86" s="370" t="s">
        <v>904</v>
      </c>
      <c r="P86" s="392">
        <f>VLOOKUP($I86,Inward,21,0)</f>
        <v>182700</v>
      </c>
      <c r="R86" s="526" t="s">
        <v>907</v>
      </c>
      <c r="S86" s="527" t="str">
        <f>G86&amp;" "&amp;H86&amp;" "&amp;I86&amp;" "&amp;J86&amp;" "&amp;K86&amp;" "&amp;L86&amp;" "&amp;M86</f>
        <v>16.5 EN31 340703 2030 TATA B83700 82</v>
      </c>
      <c r="T86" s="382"/>
      <c r="U86" s="383"/>
    </row>
    <row r="87" spans="1:21" ht="25.5" customHeight="1" x14ac:dyDescent="0.25">
      <c r="E87" s="372">
        <v>713</v>
      </c>
      <c r="F87" s="357" t="s">
        <v>244</v>
      </c>
      <c r="G87" s="373" t="str">
        <f>VLOOKUP($F87,Party,8,0)</f>
        <v>+ Bhadu</v>
      </c>
      <c r="H87" s="357"/>
      <c r="I87" s="357" t="s">
        <v>261</v>
      </c>
      <c r="J87" s="379">
        <f>SUM(J84:J86)</f>
        <v>6060</v>
      </c>
      <c r="K87" s="358" t="s">
        <v>261</v>
      </c>
      <c r="L87" s="368" t="s">
        <v>776</v>
      </c>
      <c r="M87" s="525" t="e">
        <f>TableDispatch[[#This Row],[Co.]]*0.25</f>
        <v>#VALUE!</v>
      </c>
      <c r="N87" s="374">
        <v>46228</v>
      </c>
      <c r="O87" s="375" t="s">
        <v>261</v>
      </c>
      <c r="P87" s="376">
        <f>SUM(P84:P86)</f>
        <v>545400</v>
      </c>
      <c r="T87" s="382"/>
      <c r="U87" s="383"/>
    </row>
    <row r="88" spans="1:21" ht="25.5" customHeight="1" x14ac:dyDescent="0.4">
      <c r="A88" s="500" t="s">
        <v>813</v>
      </c>
      <c r="B88" s="371">
        <v>46230</v>
      </c>
      <c r="C88" s="370" t="s">
        <v>814</v>
      </c>
      <c r="D88" s="402" t="s">
        <v>909</v>
      </c>
      <c r="E88" s="402" t="s">
        <v>543</v>
      </c>
      <c r="F88" s="370" t="s">
        <v>74</v>
      </c>
      <c r="G88" s="370">
        <v>20</v>
      </c>
      <c r="H88" s="370" t="s">
        <v>453</v>
      </c>
      <c r="I88" s="370" t="s">
        <v>897</v>
      </c>
      <c r="J88" s="380">
        <v>2473</v>
      </c>
      <c r="K88" s="370" t="s">
        <v>595</v>
      </c>
      <c r="L88" s="370">
        <v>4617428</v>
      </c>
      <c r="M88" s="397" t="s">
        <v>831</v>
      </c>
      <c r="N88" s="374">
        <v>46230</v>
      </c>
      <c r="O88" s="370" t="s">
        <v>911</v>
      </c>
      <c r="P88" s="392">
        <f>VLOOKUP($I88,Inward,21,0)</f>
        <v>170637</v>
      </c>
      <c r="R88" s="472" t="s">
        <v>912</v>
      </c>
      <c r="S88" s="527" t="str">
        <f>G88&amp;" "&amp;H88&amp;" "&amp;I88&amp;" "&amp;J88&amp;" "&amp;K88&amp;" "&amp;L88&amp;" "&amp;M88</f>
        <v>20 EN31 400601/O 2473 JSPL 4617428 84</v>
      </c>
      <c r="T88" s="382"/>
      <c r="U88" s="383"/>
    </row>
    <row r="89" spans="1:21" ht="25.5" customHeight="1" x14ac:dyDescent="0.4">
      <c r="C89" s="370" t="s">
        <v>814</v>
      </c>
      <c r="D89" s="402" t="s">
        <v>910</v>
      </c>
      <c r="E89" s="402" t="s">
        <v>557</v>
      </c>
      <c r="F89" s="370" t="s">
        <v>74</v>
      </c>
      <c r="G89" s="370">
        <v>20</v>
      </c>
      <c r="H89" s="370" t="s">
        <v>453</v>
      </c>
      <c r="I89" s="370" t="s">
        <v>898</v>
      </c>
      <c r="J89" s="380">
        <v>2455</v>
      </c>
      <c r="K89" s="370" t="s">
        <v>595</v>
      </c>
      <c r="L89" s="370">
        <v>4617427</v>
      </c>
      <c r="M89" s="397" t="s">
        <v>558</v>
      </c>
      <c r="N89" s="374">
        <v>46230</v>
      </c>
      <c r="O89" s="370" t="s">
        <v>911</v>
      </c>
      <c r="P89" s="392">
        <f>VLOOKUP($I89,Inward,21,0)</f>
        <v>169395</v>
      </c>
      <c r="R89" s="472" t="s">
        <v>912</v>
      </c>
      <c r="S89" s="527" t="str">
        <f>G89&amp;" "&amp;H89&amp;" "&amp;I89&amp;" "&amp;J89&amp;" "&amp;K89&amp;" "&amp;L89&amp;" "&amp;M89</f>
        <v>20 EN31 400603/O 2455 JSPL 4617427 81</v>
      </c>
      <c r="T89" s="382"/>
      <c r="U89" s="383"/>
    </row>
    <row r="90" spans="1:21" ht="25.5" customHeight="1" x14ac:dyDescent="0.4">
      <c r="E90" s="372">
        <v>714</v>
      </c>
      <c r="F90" s="357" t="s">
        <v>74</v>
      </c>
      <c r="G90" s="373" t="str">
        <f>VLOOKUP($F90,Party,8,0)</f>
        <v>Ponch</v>
      </c>
      <c r="H90" s="357"/>
      <c r="I90" s="357" t="s">
        <v>549</v>
      </c>
      <c r="J90" s="379">
        <f>SUM(J88:J89)</f>
        <v>4928</v>
      </c>
      <c r="K90" s="358">
        <v>4955</v>
      </c>
      <c r="L90" s="475" t="s">
        <v>777</v>
      </c>
      <c r="M90" s="525">
        <f>TableDispatch[[#This Row],[Co.]]*0.25</f>
        <v>1238.75</v>
      </c>
      <c r="N90" s="374">
        <v>46230</v>
      </c>
      <c r="O90" s="375" t="s">
        <v>551</v>
      </c>
      <c r="P90" s="376">
        <f>SUM(P88:P89)</f>
        <v>340032</v>
      </c>
      <c r="R90" s="526"/>
      <c r="T90" s="382"/>
      <c r="U90" s="383"/>
    </row>
    <row r="91" spans="1:21" s="447" customFormat="1" ht="25.5" customHeight="1" x14ac:dyDescent="0.25">
      <c r="B91" s="463"/>
      <c r="C91" s="464"/>
      <c r="D91" s="464"/>
      <c r="E91" s="464"/>
      <c r="F91" s="464"/>
      <c r="G91" s="464"/>
      <c r="J91" s="466"/>
      <c r="M91" s="464"/>
      <c r="N91" s="464"/>
      <c r="O91" s="464"/>
      <c r="P91" s="464"/>
      <c r="Q91" s="466"/>
      <c r="R91" s="467"/>
    </row>
    <row r="92" spans="1:21" ht="25.5" customHeight="1" x14ac:dyDescent="0.4">
      <c r="A92" s="500" t="s">
        <v>949</v>
      </c>
      <c r="B92" s="371">
        <v>46238</v>
      </c>
      <c r="C92" s="370" t="s">
        <v>841</v>
      </c>
      <c r="D92" s="370" t="s">
        <v>948</v>
      </c>
      <c r="E92" s="402" t="s">
        <v>948</v>
      </c>
      <c r="F92" s="402" t="s">
        <v>74</v>
      </c>
      <c r="G92" s="370">
        <v>11</v>
      </c>
      <c r="H92" s="529" t="s">
        <v>453</v>
      </c>
      <c r="I92" s="370">
        <v>400702</v>
      </c>
      <c r="J92" s="370">
        <v>2477</v>
      </c>
      <c r="K92" s="380" t="s">
        <v>595</v>
      </c>
      <c r="L92" s="370">
        <v>4617430</v>
      </c>
      <c r="M92" s="397" t="s">
        <v>558</v>
      </c>
      <c r="N92" s="374">
        <v>46238</v>
      </c>
      <c r="O92" s="370" t="s">
        <v>952</v>
      </c>
      <c r="P92" s="392">
        <f>VLOOKUP($I92,Inward,21,0)</f>
        <v>173390</v>
      </c>
      <c r="R92" s="526" t="s">
        <v>953</v>
      </c>
      <c r="S92" s="527" t="str">
        <f>G92&amp;" "&amp;H92&amp;" "&amp;I92&amp;" "&amp;J92&amp;" "&amp;K92&amp;" "&amp;L92&amp;" "&amp;M92</f>
        <v>11 EN31 400702 2477 JSPL 4617430 81</v>
      </c>
      <c r="T92" s="382"/>
      <c r="U92" s="383"/>
    </row>
    <row r="93" spans="1:21" ht="25.5" customHeight="1" x14ac:dyDescent="0.4">
      <c r="C93" s="370" t="s">
        <v>841</v>
      </c>
      <c r="D93" s="370" t="s">
        <v>948</v>
      </c>
      <c r="E93" s="402" t="s">
        <v>948</v>
      </c>
      <c r="F93" s="402" t="s">
        <v>74</v>
      </c>
      <c r="G93" s="370">
        <v>11</v>
      </c>
      <c r="H93" s="529" t="s">
        <v>453</v>
      </c>
      <c r="I93" s="370">
        <v>400705</v>
      </c>
      <c r="J93" s="370">
        <v>2466</v>
      </c>
      <c r="K93" s="380" t="s">
        <v>595</v>
      </c>
      <c r="L93" s="370">
        <v>4617482</v>
      </c>
      <c r="M93" s="397" t="s">
        <v>558</v>
      </c>
      <c r="N93" s="374">
        <v>46238</v>
      </c>
      <c r="O93" s="370" t="s">
        <v>952</v>
      </c>
      <c r="P93" s="392">
        <f>VLOOKUP($I93,Inward,21,0)</f>
        <v>172620</v>
      </c>
      <c r="R93" s="526" t="s">
        <v>953</v>
      </c>
      <c r="S93" s="527" t="str">
        <f>G93&amp;" "&amp;H93&amp;" "&amp;I93&amp;" "&amp;J93&amp;" "&amp;K93&amp;" "&amp;L93&amp;" "&amp;M93</f>
        <v>11 EN31 400705 2466 JSPL 4617482 81</v>
      </c>
      <c r="T93" s="382"/>
      <c r="U93" s="383"/>
    </row>
    <row r="94" spans="1:21" ht="25.5" customHeight="1" x14ac:dyDescent="0.4">
      <c r="E94" s="402"/>
      <c r="F94" s="555"/>
      <c r="H94" s="557"/>
      <c r="I94" s="557" t="s">
        <v>950</v>
      </c>
      <c r="J94" s="557"/>
      <c r="K94" s="380"/>
      <c r="L94" s="370"/>
      <c r="M94" s="556"/>
      <c r="N94" s="374">
        <v>46238</v>
      </c>
      <c r="P94" s="392"/>
      <c r="R94" s="526"/>
      <c r="S94" s="540"/>
      <c r="T94" s="382"/>
      <c r="U94" s="383"/>
    </row>
    <row r="95" spans="1:21" ht="25.5" customHeight="1" thickBot="1" x14ac:dyDescent="0.3">
      <c r="E95" s="372">
        <v>801</v>
      </c>
      <c r="F95" s="357" t="s">
        <v>74</v>
      </c>
      <c r="G95" s="373" t="str">
        <f>VLOOKUP($F95,Party,8,0)</f>
        <v>Ponch</v>
      </c>
      <c r="H95" s="357"/>
      <c r="I95" s="357" t="s">
        <v>549</v>
      </c>
      <c r="J95" s="379">
        <f>SUM(J92:J93)</f>
        <v>4943</v>
      </c>
      <c r="K95" s="358">
        <v>4970</v>
      </c>
      <c r="L95" s="475" t="s">
        <v>777</v>
      </c>
      <c r="M95" s="525">
        <f>TableDispatch[[#This Row],[Co.]]*0.25</f>
        <v>1242.5</v>
      </c>
      <c r="N95" s="374">
        <v>46238</v>
      </c>
      <c r="O95" s="375" t="s">
        <v>951</v>
      </c>
      <c r="P95" s="376">
        <f>SUM(P92:P93)</f>
        <v>346010</v>
      </c>
      <c r="T95" s="382"/>
      <c r="U95" s="383"/>
    </row>
    <row r="96" spans="1:21" ht="25.5" customHeight="1" thickBot="1" x14ac:dyDescent="0.3">
      <c r="A96" s="500" t="s">
        <v>949</v>
      </c>
      <c r="B96" s="371">
        <v>46240</v>
      </c>
      <c r="C96" s="370" t="s">
        <v>841</v>
      </c>
      <c r="D96" s="402" t="s">
        <v>948</v>
      </c>
      <c r="E96" s="402" t="s">
        <v>948</v>
      </c>
      <c r="F96" s="370" t="s">
        <v>74</v>
      </c>
      <c r="G96" s="370">
        <v>20</v>
      </c>
      <c r="H96" s="370" t="s">
        <v>453</v>
      </c>
      <c r="I96" s="370">
        <v>400701</v>
      </c>
      <c r="J96" s="380">
        <v>2452</v>
      </c>
      <c r="K96" s="370" t="s">
        <v>595</v>
      </c>
      <c r="L96" s="370">
        <v>4617482</v>
      </c>
      <c r="M96" s="397" t="s">
        <v>478</v>
      </c>
      <c r="N96" s="374">
        <v>46240</v>
      </c>
      <c r="O96" s="370" t="s">
        <v>956</v>
      </c>
      <c r="P96" s="392">
        <f>VLOOKUP($I96,Inward,21,0)</f>
        <v>171640</v>
      </c>
      <c r="R96" s="559" t="s">
        <v>958</v>
      </c>
      <c r="S96" s="527" t="str">
        <f>G96&amp;" "&amp;H96&amp;" "&amp;I96&amp;" "&amp;J96&amp;" "&amp;K96&amp;" "&amp;L96&amp;" "&amp;M96</f>
        <v xml:space="preserve">20 EN31 400701 2452 JSPL 4617482 </v>
      </c>
      <c r="T96" s="382"/>
      <c r="U96" s="383"/>
    </row>
    <row r="97" spans="1:21" ht="25.5" customHeight="1" x14ac:dyDescent="0.25">
      <c r="E97" s="402"/>
      <c r="F97" s="555"/>
      <c r="H97" s="557"/>
      <c r="I97" s="557" t="s">
        <v>950</v>
      </c>
      <c r="J97" s="557"/>
      <c r="K97" s="380"/>
      <c r="L97" s="370"/>
      <c r="M97" s="556"/>
      <c r="N97" s="374">
        <v>46240</v>
      </c>
      <c r="P97" s="392"/>
      <c r="T97" s="382"/>
      <c r="U97" s="383"/>
    </row>
    <row r="98" spans="1:21" ht="25.5" customHeight="1" x14ac:dyDescent="0.25">
      <c r="E98" s="372">
        <v>802</v>
      </c>
      <c r="F98" s="357" t="s">
        <v>74</v>
      </c>
      <c r="G98" s="373" t="str">
        <f>VLOOKUP($F98,Party,8,0)</f>
        <v>Ponch</v>
      </c>
      <c r="H98" s="357"/>
      <c r="I98" s="357" t="s">
        <v>549</v>
      </c>
      <c r="J98" s="379">
        <f>SUM(J96)</f>
        <v>2452</v>
      </c>
      <c r="K98" s="358">
        <v>2460</v>
      </c>
      <c r="L98" s="475" t="s">
        <v>777</v>
      </c>
      <c r="M98" s="525">
        <f>TableDispatch[[#This Row],[Co.]]*0.25</f>
        <v>615</v>
      </c>
      <c r="N98" s="374">
        <v>46240</v>
      </c>
      <c r="O98" s="375" t="s">
        <v>951</v>
      </c>
      <c r="P98" s="376">
        <f>SUM(P96)</f>
        <v>171640</v>
      </c>
      <c r="T98" s="382"/>
      <c r="U98" s="383"/>
    </row>
    <row r="99" spans="1:21" ht="25.5" customHeight="1" x14ac:dyDescent="0.4">
      <c r="A99" s="500" t="s">
        <v>949</v>
      </c>
      <c r="B99" s="371">
        <v>46240</v>
      </c>
      <c r="C99" s="370" t="s">
        <v>841</v>
      </c>
      <c r="D99" s="402" t="s">
        <v>955</v>
      </c>
      <c r="E99" s="402" t="s">
        <v>543</v>
      </c>
      <c r="F99" s="370" t="s">
        <v>74</v>
      </c>
      <c r="G99" s="370">
        <v>11</v>
      </c>
      <c r="H99" s="370" t="s">
        <v>453</v>
      </c>
      <c r="I99" s="370">
        <v>400704</v>
      </c>
      <c r="J99" s="380">
        <v>2485</v>
      </c>
      <c r="K99" s="370" t="s">
        <v>595</v>
      </c>
      <c r="L99" s="370">
        <v>4617482</v>
      </c>
      <c r="M99" s="397" t="s">
        <v>577</v>
      </c>
      <c r="N99" s="374">
        <v>46240</v>
      </c>
      <c r="O99" s="370" t="s">
        <v>957</v>
      </c>
      <c r="P99" s="392">
        <f>VLOOKUP($I99,Inward,21,0)</f>
        <v>173950</v>
      </c>
      <c r="R99" s="526" t="s">
        <v>959</v>
      </c>
      <c r="S99" s="527" t="str">
        <f>G99&amp;" "&amp;H99&amp;" "&amp;I99&amp;" "&amp;J99&amp;" "&amp;K99&amp;" "&amp;L99&amp;" "&amp;M99</f>
        <v>11 EN31 400704 2485 JSPL 4617482 80</v>
      </c>
      <c r="T99" s="382"/>
      <c r="U99" s="383"/>
    </row>
    <row r="100" spans="1:21" ht="25.5" customHeight="1" x14ac:dyDescent="0.25">
      <c r="E100" s="372">
        <v>803</v>
      </c>
      <c r="F100" s="357" t="s">
        <v>74</v>
      </c>
      <c r="G100" s="373" t="str">
        <f>VLOOKUP($F100,Party,8,0)</f>
        <v>Ponch</v>
      </c>
      <c r="H100" s="357"/>
      <c r="I100" s="357" t="s">
        <v>549</v>
      </c>
      <c r="J100" s="379">
        <f>SUM(J99)</f>
        <v>2485</v>
      </c>
      <c r="K100" s="358">
        <v>2525</v>
      </c>
      <c r="L100" s="475" t="s">
        <v>777</v>
      </c>
      <c r="M100" s="525">
        <f>TableDispatch[[#This Row],[Co.]]*0.25</f>
        <v>631.25</v>
      </c>
      <c r="N100" s="374">
        <v>46240</v>
      </c>
      <c r="O100" s="375" t="s">
        <v>551</v>
      </c>
      <c r="P100" s="376">
        <f>SUM(P98:P99)</f>
        <v>345590</v>
      </c>
      <c r="T100" s="382"/>
      <c r="U100" s="383"/>
    </row>
    <row r="101" spans="1:21" ht="25.5" customHeight="1" x14ac:dyDescent="0.4">
      <c r="A101" s="500" t="s">
        <v>949</v>
      </c>
      <c r="B101" s="371">
        <v>46242</v>
      </c>
      <c r="C101" s="370">
        <v>4</v>
      </c>
      <c r="D101" s="402" t="s">
        <v>960</v>
      </c>
      <c r="E101" s="402" t="s">
        <v>543</v>
      </c>
      <c r="F101" s="370" t="s">
        <v>57</v>
      </c>
      <c r="G101" s="370">
        <v>17.5</v>
      </c>
      <c r="H101" s="370" t="s">
        <v>453</v>
      </c>
      <c r="I101" s="370">
        <v>650701</v>
      </c>
      <c r="J101" s="380">
        <v>1965</v>
      </c>
      <c r="K101" s="370" t="s">
        <v>476</v>
      </c>
      <c r="L101" s="370" t="s">
        <v>943</v>
      </c>
      <c r="M101" s="397" t="s">
        <v>558</v>
      </c>
      <c r="N101" s="374">
        <v>46242</v>
      </c>
      <c r="O101" s="370" t="s">
        <v>963</v>
      </c>
      <c r="P101" s="392">
        <f>VLOOKUP($I101,Inward,21,0)</f>
        <v>139711.5</v>
      </c>
      <c r="R101" s="526" t="s">
        <v>965</v>
      </c>
      <c r="S101" s="527" t="str">
        <f>G101&amp;" "&amp;H101&amp;" "&amp;I101&amp;" "&amp;J101&amp;" "&amp;K101&amp;" "&amp;L101&amp;" "&amp;M101</f>
        <v>17.5 EN31 650701 1965 TATA B83144 81</v>
      </c>
      <c r="T101" s="382"/>
      <c r="U101" s="383"/>
    </row>
    <row r="102" spans="1:21" ht="25.5" customHeight="1" x14ac:dyDescent="0.4">
      <c r="C102" s="370">
        <v>4</v>
      </c>
      <c r="D102" s="402" t="s">
        <v>961</v>
      </c>
      <c r="E102" s="402" t="s">
        <v>543</v>
      </c>
      <c r="F102" s="370" t="s">
        <v>57</v>
      </c>
      <c r="G102" s="370">
        <v>17.5</v>
      </c>
      <c r="H102" s="370" t="s">
        <v>453</v>
      </c>
      <c r="I102" s="370">
        <v>650702</v>
      </c>
      <c r="J102" s="380">
        <v>1950</v>
      </c>
      <c r="K102" s="370" t="s">
        <v>476</v>
      </c>
      <c r="L102" s="370" t="s">
        <v>943</v>
      </c>
      <c r="M102" s="397" t="s">
        <v>558</v>
      </c>
      <c r="N102" s="374">
        <v>46242</v>
      </c>
      <c r="O102" s="370" t="s">
        <v>963</v>
      </c>
      <c r="P102" s="392">
        <f>VLOOKUP($I102,Inward,21,0)</f>
        <v>138645</v>
      </c>
      <c r="R102" s="526" t="s">
        <v>965</v>
      </c>
      <c r="S102" s="527" t="str">
        <f>G102&amp;" "&amp;H102&amp;" "&amp;I102&amp;" "&amp;J102&amp;" "&amp;K102&amp;" "&amp;L102&amp;" "&amp;M102</f>
        <v>17.5 EN31 650702 1950 TATA B83144 81</v>
      </c>
      <c r="T102" s="382"/>
      <c r="U102" s="383"/>
    </row>
    <row r="103" spans="1:21" ht="25.5" customHeight="1" x14ac:dyDescent="0.25">
      <c r="E103" s="372">
        <v>804</v>
      </c>
      <c r="F103" s="357" t="s">
        <v>57</v>
      </c>
      <c r="G103" s="373" t="str">
        <f>VLOOKUP($F103,Party,8,0)</f>
        <v>Ponch</v>
      </c>
      <c r="H103" s="357"/>
      <c r="I103" s="357" t="s">
        <v>549</v>
      </c>
      <c r="J103" s="379">
        <f>SUM(J101:J102)</f>
        <v>3915</v>
      </c>
      <c r="K103" s="358">
        <v>3940</v>
      </c>
      <c r="L103" s="475" t="s">
        <v>777</v>
      </c>
      <c r="M103" s="525">
        <f>TableDispatch[[#This Row],[Co.]]*0.25</f>
        <v>985</v>
      </c>
      <c r="N103" s="374">
        <v>46242</v>
      </c>
      <c r="O103" s="375" t="s">
        <v>569</v>
      </c>
      <c r="P103" s="376">
        <f>SUM(P101:P102)</f>
        <v>278356.5</v>
      </c>
      <c r="T103" s="382"/>
      <c r="U103" s="383"/>
    </row>
    <row r="104" spans="1:21" ht="25.5" customHeight="1" x14ac:dyDescent="0.4">
      <c r="A104" s="500" t="s">
        <v>949</v>
      </c>
      <c r="B104" s="371">
        <v>46243</v>
      </c>
      <c r="C104" s="370" t="s">
        <v>814</v>
      </c>
      <c r="D104" s="402" t="s">
        <v>967</v>
      </c>
      <c r="E104" s="402" t="s">
        <v>543</v>
      </c>
      <c r="F104" s="370" t="s">
        <v>74</v>
      </c>
      <c r="G104" s="370">
        <v>22.3</v>
      </c>
      <c r="H104" s="370" t="s">
        <v>453</v>
      </c>
      <c r="I104" s="370" t="s">
        <v>954</v>
      </c>
      <c r="J104" s="380">
        <v>2485</v>
      </c>
      <c r="K104" s="370" t="s">
        <v>595</v>
      </c>
      <c r="L104" s="370">
        <v>4617427</v>
      </c>
      <c r="M104" s="397" t="s">
        <v>750</v>
      </c>
      <c r="N104" s="374">
        <v>46243</v>
      </c>
      <c r="O104" s="370" t="s">
        <v>968</v>
      </c>
      <c r="P104" s="392">
        <f>VLOOKUP($I104,Inward,21,0)</f>
        <v>171465</v>
      </c>
      <c r="R104" s="526" t="s">
        <v>970</v>
      </c>
      <c r="S104" s="527" t="str">
        <f t="shared" ref="S104:S106" si="19">G104&amp;" "&amp;H104&amp;" "&amp;I104&amp;" "&amp;J104&amp;" "&amp;K104&amp;" "&amp;L104&amp;" "&amp;M104</f>
        <v>22.3 EN31 400614N/R 2485 JSPL 4617427 79</v>
      </c>
      <c r="T104" s="382"/>
      <c r="U104" s="383"/>
    </row>
    <row r="105" spans="1:21" ht="25.5" customHeight="1" x14ac:dyDescent="0.4">
      <c r="C105" s="370" t="s">
        <v>814</v>
      </c>
      <c r="D105" s="402" t="s">
        <v>960</v>
      </c>
      <c r="E105" s="402" t="s">
        <v>543</v>
      </c>
      <c r="F105" s="370" t="s">
        <v>74</v>
      </c>
      <c r="G105" s="529">
        <v>22.3</v>
      </c>
      <c r="H105" s="370" t="s">
        <v>453</v>
      </c>
      <c r="I105" s="370" t="s">
        <v>966</v>
      </c>
      <c r="J105" s="380">
        <v>620</v>
      </c>
      <c r="K105" s="370" t="s">
        <v>595</v>
      </c>
      <c r="L105" s="370">
        <v>4617427</v>
      </c>
      <c r="M105" s="397" t="s">
        <v>577</v>
      </c>
      <c r="N105" s="374">
        <v>46243</v>
      </c>
      <c r="O105" s="370" t="s">
        <v>968</v>
      </c>
      <c r="P105" s="392">
        <f>VLOOKUP($I105,Inward,21,0)</f>
        <v>42780</v>
      </c>
      <c r="R105" s="526" t="s">
        <v>970</v>
      </c>
      <c r="S105" s="527" t="str">
        <f t="shared" si="19"/>
        <v>22.3 EN31 400617B/O 620 JSPL 4617427 80</v>
      </c>
      <c r="T105" s="382"/>
      <c r="U105" s="383"/>
    </row>
    <row r="106" spans="1:21" ht="25.5" customHeight="1" x14ac:dyDescent="0.4">
      <c r="C106" s="370" t="s">
        <v>841</v>
      </c>
      <c r="D106" s="402" t="s">
        <v>888</v>
      </c>
      <c r="E106" s="402" t="s">
        <v>543</v>
      </c>
      <c r="F106" s="370" t="s">
        <v>74</v>
      </c>
      <c r="G106" s="370">
        <v>11</v>
      </c>
      <c r="H106" s="370" t="s">
        <v>453</v>
      </c>
      <c r="I106" s="370" t="s">
        <v>900</v>
      </c>
      <c r="J106" s="380">
        <v>2481</v>
      </c>
      <c r="K106" s="370" t="s">
        <v>595</v>
      </c>
      <c r="L106" s="370">
        <v>4617430</v>
      </c>
      <c r="M106" s="397" t="s">
        <v>545</v>
      </c>
      <c r="N106" s="374">
        <v>46243</v>
      </c>
      <c r="O106" s="370" t="s">
        <v>969</v>
      </c>
      <c r="P106" s="392">
        <f>VLOOKUP($I106,Inward,21,0)</f>
        <v>173670</v>
      </c>
      <c r="R106" s="526" t="s">
        <v>970</v>
      </c>
      <c r="S106" s="527" t="str">
        <f t="shared" si="19"/>
        <v>11 EN31 400703/O 2481 JSPL 4617430 83</v>
      </c>
      <c r="T106" s="382"/>
      <c r="U106" s="383"/>
    </row>
    <row r="107" spans="1:21" ht="25.5" customHeight="1" x14ac:dyDescent="0.25">
      <c r="D107" s="555"/>
      <c r="E107" s="372">
        <v>805</v>
      </c>
      <c r="F107" s="357" t="s">
        <v>74</v>
      </c>
      <c r="G107" s="373" t="str">
        <f>VLOOKUP($F107,Party,8,0)</f>
        <v>Ponch</v>
      </c>
      <c r="H107" s="357"/>
      <c r="I107" s="357" t="s">
        <v>549</v>
      </c>
      <c r="J107" s="379">
        <f>SUM(J104:J106)</f>
        <v>5586</v>
      </c>
      <c r="K107" s="358">
        <v>5625</v>
      </c>
      <c r="L107" s="475" t="s">
        <v>777</v>
      </c>
      <c r="M107" s="525">
        <f>TableDispatch[[#This Row],[Co.]]*0.25</f>
        <v>1406.25</v>
      </c>
      <c r="N107" s="374">
        <v>46243</v>
      </c>
      <c r="O107" s="375" t="s">
        <v>551</v>
      </c>
      <c r="P107" s="376">
        <f>SUM(P104:P106)</f>
        <v>387915</v>
      </c>
      <c r="T107" s="382"/>
      <c r="U107" s="383"/>
    </row>
    <row r="108" spans="1:21" ht="25.5" customHeight="1" x14ac:dyDescent="0.4">
      <c r="A108" s="500" t="s">
        <v>949</v>
      </c>
      <c r="B108" s="371">
        <v>46258</v>
      </c>
      <c r="C108" s="370" t="s">
        <v>461</v>
      </c>
      <c r="D108" s="402" t="s">
        <v>759</v>
      </c>
      <c r="E108" s="402" t="s">
        <v>543</v>
      </c>
      <c r="F108" s="370" t="s">
        <v>21</v>
      </c>
      <c r="G108" s="370">
        <v>28</v>
      </c>
      <c r="H108" s="370" t="s">
        <v>464</v>
      </c>
      <c r="I108" s="370" t="s">
        <v>758</v>
      </c>
      <c r="J108" s="380">
        <v>2395</v>
      </c>
      <c r="K108" s="370" t="s">
        <v>463</v>
      </c>
      <c r="L108" s="370" t="s">
        <v>465</v>
      </c>
      <c r="M108" s="397" t="s">
        <v>760</v>
      </c>
      <c r="N108" s="374">
        <v>46258</v>
      </c>
      <c r="O108" s="370" t="s">
        <v>973</v>
      </c>
      <c r="P108" s="392">
        <f>VLOOKUP($I108,Inward,21,0)</f>
        <v>154477.5</v>
      </c>
      <c r="R108" s="472" t="s">
        <v>972</v>
      </c>
      <c r="S108" s="527" t="str">
        <f t="shared" ref="S108" si="20">G108&amp;" "&amp;H108&amp;" "&amp;I108&amp;" "&amp;J108&amp;" "&amp;K108&amp;" "&amp;L108&amp;" "&amp;M108</f>
        <v>28 SAE 610103A 2395 BPSL E260172 74</v>
      </c>
      <c r="T108" s="382"/>
      <c r="U108" s="383"/>
    </row>
    <row r="109" spans="1:21" ht="25.5" customHeight="1" x14ac:dyDescent="0.25">
      <c r="C109" s="371"/>
      <c r="D109" s="371"/>
      <c r="E109" s="372">
        <v>806</v>
      </c>
      <c r="F109" s="357" t="s">
        <v>21</v>
      </c>
      <c r="G109" s="373" t="str">
        <f>VLOOKUP($F109,Party,8,0)</f>
        <v>Self/T</v>
      </c>
      <c r="H109" s="357"/>
      <c r="I109" s="357" t="s">
        <v>261</v>
      </c>
      <c r="J109" s="379">
        <f>SUBTOTAL(109,J108)</f>
        <v>2395</v>
      </c>
      <c r="K109" s="358">
        <v>2375</v>
      </c>
      <c r="L109" s="475" t="s">
        <v>777</v>
      </c>
      <c r="M109" s="504"/>
      <c r="N109" s="374">
        <v>46258</v>
      </c>
      <c r="O109" s="375" t="s">
        <v>575</v>
      </c>
      <c r="P109" s="376">
        <f>SUM(P108)</f>
        <v>154477.5</v>
      </c>
      <c r="T109" s="382"/>
      <c r="U109" s="383"/>
    </row>
    <row r="110" spans="1:21" ht="25.5" customHeight="1" x14ac:dyDescent="0.4">
      <c r="A110" s="500" t="s">
        <v>949</v>
      </c>
      <c r="B110" s="371">
        <v>46265</v>
      </c>
      <c r="C110" s="370" t="s">
        <v>814</v>
      </c>
      <c r="D110" s="402" t="s">
        <v>975</v>
      </c>
      <c r="E110" s="402" t="s">
        <v>543</v>
      </c>
      <c r="F110" s="370" t="s">
        <v>74</v>
      </c>
      <c r="G110" s="370">
        <v>20</v>
      </c>
      <c r="H110" s="370" t="s">
        <v>453</v>
      </c>
      <c r="I110" s="370" t="s">
        <v>905</v>
      </c>
      <c r="J110" s="380">
        <v>2473</v>
      </c>
      <c r="K110" s="370" t="s">
        <v>595</v>
      </c>
      <c r="L110" s="370">
        <v>4617428</v>
      </c>
      <c r="M110" s="397">
        <v>70</v>
      </c>
      <c r="N110" s="374">
        <v>46265</v>
      </c>
      <c r="O110" s="370" t="s">
        <v>976</v>
      </c>
      <c r="P110" s="392">
        <f>VLOOKUP($I110,Inward,21,0)</f>
        <v>170637</v>
      </c>
      <c r="R110" s="472" t="s">
        <v>979</v>
      </c>
      <c r="S110" s="527" t="str">
        <f t="shared" ref="S110" si="21">G110&amp;" "&amp;H110&amp;" "&amp;I110&amp;" "&amp;J110&amp;" "&amp;K110&amp;" "&amp;L110&amp;" "&amp;M110</f>
        <v>20 EN31 400604/DFT 2473 JSPL 4617428 70</v>
      </c>
      <c r="T110" s="382"/>
      <c r="U110" s="383"/>
    </row>
    <row r="111" spans="1:21" ht="25.5" customHeight="1" x14ac:dyDescent="0.25">
      <c r="C111" s="371"/>
      <c r="D111" s="371"/>
      <c r="E111" s="372">
        <v>807</v>
      </c>
      <c r="F111" s="357" t="s">
        <v>74</v>
      </c>
      <c r="G111" s="373" t="str">
        <f>VLOOKUP($F111,Party,8,0)</f>
        <v>Ponch</v>
      </c>
      <c r="H111" s="357"/>
      <c r="I111" s="357" t="s">
        <v>549</v>
      </c>
      <c r="J111" s="379">
        <f>SUM(J110)</f>
        <v>2473</v>
      </c>
      <c r="K111" s="358">
        <v>2473</v>
      </c>
      <c r="L111" s="475" t="s">
        <v>978</v>
      </c>
      <c r="M111" s="525">
        <v>1200</v>
      </c>
      <c r="N111" s="374">
        <v>46265</v>
      </c>
      <c r="O111" s="375" t="s">
        <v>977</v>
      </c>
      <c r="P111" s="376">
        <f>SUM(P109)</f>
        <v>154477.5</v>
      </c>
      <c r="T111" s="382"/>
      <c r="U111" s="383"/>
    </row>
    <row r="112" spans="1:21" s="447" customFormat="1" ht="25.5" customHeight="1" x14ac:dyDescent="0.25">
      <c r="B112" s="463"/>
      <c r="C112" s="463"/>
      <c r="D112" s="463"/>
      <c r="E112" s="463"/>
      <c r="F112" s="463"/>
      <c r="G112" s="463"/>
      <c r="H112" s="463"/>
      <c r="I112" s="463"/>
      <c r="J112" s="463"/>
      <c r="K112" s="463"/>
      <c r="L112" s="463"/>
      <c r="M112" s="463"/>
      <c r="N112" s="463"/>
      <c r="O112" s="463"/>
      <c r="P112" s="463"/>
      <c r="Q112" s="466"/>
      <c r="R112" s="467"/>
    </row>
    <row r="113" spans="1:21" ht="25.5" customHeight="1" x14ac:dyDescent="0.4">
      <c r="A113" s="349" t="s">
        <v>980</v>
      </c>
      <c r="B113" s="371">
        <v>46284</v>
      </c>
      <c r="C113" s="370">
        <v>942</v>
      </c>
      <c r="D113" s="402" t="s">
        <v>986</v>
      </c>
      <c r="E113" s="402" t="s">
        <v>543</v>
      </c>
      <c r="F113" s="370" t="s">
        <v>80</v>
      </c>
      <c r="G113" s="370">
        <v>14</v>
      </c>
      <c r="H113" s="370" t="s">
        <v>837</v>
      </c>
      <c r="I113" s="370">
        <v>410901</v>
      </c>
      <c r="J113" s="380">
        <v>1970</v>
      </c>
      <c r="K113" s="370" t="s">
        <v>476</v>
      </c>
      <c r="L113" s="370" t="s">
        <v>981</v>
      </c>
      <c r="M113" s="397" t="s">
        <v>987</v>
      </c>
      <c r="N113" s="374">
        <v>46284</v>
      </c>
      <c r="O113" s="370" t="s">
        <v>988</v>
      </c>
      <c r="P113" s="392">
        <f>VLOOKUP($I113,Inward,21,0)</f>
        <v>148932</v>
      </c>
      <c r="R113" s="564" t="s">
        <v>989</v>
      </c>
      <c r="S113" s="565" t="str">
        <f>G113&amp;" "&amp;H113&amp;" "&amp;I113&amp;" "&amp;J113&amp;" "&amp;K113&amp;" "&amp;L113&amp;" "&amp;M113</f>
        <v>14 15B25 410901 1970 TATA B83651 65</v>
      </c>
      <c r="T113" s="382"/>
      <c r="U113" s="383"/>
    </row>
    <row r="114" spans="1:21" ht="25.5" customHeight="1" x14ac:dyDescent="0.25">
      <c r="C114" s="371"/>
      <c r="D114" s="371"/>
      <c r="E114" s="372">
        <v>901</v>
      </c>
      <c r="F114" s="357" t="s">
        <v>80</v>
      </c>
      <c r="G114" s="373" t="str">
        <f>VLOOKUP($F114,Party,8,0)</f>
        <v>Self/T</v>
      </c>
      <c r="H114" s="357"/>
      <c r="I114" s="357" t="s">
        <v>261</v>
      </c>
      <c r="J114" s="379">
        <f>SUM(J113)</f>
        <v>1970</v>
      </c>
      <c r="K114" s="358"/>
      <c r="L114" s="475" t="s">
        <v>868</v>
      </c>
      <c r="M114" s="563"/>
      <c r="N114" s="374">
        <v>46284</v>
      </c>
      <c r="O114" s="375" t="s">
        <v>871</v>
      </c>
      <c r="P114" s="376">
        <f>SUM(P113)</f>
        <v>148932</v>
      </c>
      <c r="T114" s="382"/>
      <c r="U114" s="383"/>
    </row>
    <row r="115" spans="1:21" ht="25.5" customHeight="1" x14ac:dyDescent="0.4">
      <c r="A115" s="349" t="s">
        <v>980</v>
      </c>
      <c r="B115" s="371">
        <v>46286</v>
      </c>
      <c r="C115" s="370">
        <v>945</v>
      </c>
      <c r="D115" s="402" t="s">
        <v>990</v>
      </c>
      <c r="E115" s="402" t="s">
        <v>543</v>
      </c>
      <c r="F115" s="370" t="s">
        <v>80</v>
      </c>
      <c r="G115" s="370">
        <v>12</v>
      </c>
      <c r="H115" s="370" t="s">
        <v>837</v>
      </c>
      <c r="I115" s="370">
        <v>410904</v>
      </c>
      <c r="J115" s="380">
        <v>1980</v>
      </c>
      <c r="K115" s="370" t="s">
        <v>157</v>
      </c>
      <c r="L115" s="370" t="s">
        <v>984</v>
      </c>
      <c r="M115" s="397" t="s">
        <v>991</v>
      </c>
      <c r="N115" s="374">
        <v>46286</v>
      </c>
      <c r="O115" s="370" t="s">
        <v>992</v>
      </c>
      <c r="P115" s="392">
        <f>VLOOKUP($I115,Inward,21,0)</f>
        <v>149490</v>
      </c>
      <c r="R115" s="472" t="s">
        <v>993</v>
      </c>
      <c r="S115" s="565" t="str">
        <f>G115&amp;" "&amp;H115&amp;" "&amp;I115&amp;" "&amp;J115&amp;" "&amp;K115&amp;" "&amp;L115&amp;" "&amp;M115</f>
        <v>12 15B25 410904 1980 JSW A74567 67</v>
      </c>
      <c r="T115" s="382"/>
      <c r="U115" s="383"/>
    </row>
    <row r="116" spans="1:21" ht="25.5" customHeight="1" x14ac:dyDescent="0.25">
      <c r="E116" s="372">
        <v>902</v>
      </c>
      <c r="F116" s="357" t="s">
        <v>80</v>
      </c>
      <c r="G116" s="373" t="str">
        <f>VLOOKUP($F116,Party,8,0)</f>
        <v>Self/T</v>
      </c>
      <c r="H116" s="357"/>
      <c r="I116" s="357" t="s">
        <v>261</v>
      </c>
      <c r="J116" s="379">
        <f>SUM(J115)</f>
        <v>1980</v>
      </c>
      <c r="K116" s="358"/>
      <c r="L116" s="475" t="s">
        <v>868</v>
      </c>
      <c r="M116" s="563"/>
      <c r="N116" s="374">
        <v>46286</v>
      </c>
      <c r="O116" s="375" t="s">
        <v>871</v>
      </c>
      <c r="P116" s="376">
        <f>SUM(P115)</f>
        <v>149490</v>
      </c>
      <c r="T116" s="382"/>
      <c r="U116" s="383"/>
    </row>
    <row r="117" spans="1:21" ht="25.5" customHeight="1" x14ac:dyDescent="0.4">
      <c r="A117" s="349" t="s">
        <v>980</v>
      </c>
      <c r="B117" s="371">
        <v>46289</v>
      </c>
      <c r="C117" s="370">
        <v>943</v>
      </c>
      <c r="D117" s="402" t="s">
        <v>995</v>
      </c>
      <c r="E117" s="402" t="s">
        <v>543</v>
      </c>
      <c r="F117" s="370" t="s">
        <v>80</v>
      </c>
      <c r="G117" s="370">
        <v>18.5</v>
      </c>
      <c r="H117" s="370" t="s">
        <v>837</v>
      </c>
      <c r="I117" s="370">
        <v>410903</v>
      </c>
      <c r="J117" s="380">
        <v>2040</v>
      </c>
      <c r="K117" s="370" t="s">
        <v>840</v>
      </c>
      <c r="L117" s="370" t="s">
        <v>985</v>
      </c>
      <c r="M117" s="397"/>
      <c r="N117" s="374">
        <v>46289</v>
      </c>
      <c r="O117" s="370" t="s">
        <v>994</v>
      </c>
      <c r="P117" s="392">
        <f>VLOOKUP($I117,Inward,21,0)</f>
        <v>139740</v>
      </c>
      <c r="R117" s="472" t="s">
        <v>996</v>
      </c>
      <c r="S117" s="565" t="str">
        <f>G117&amp;" "&amp;H117&amp;" "&amp;I117&amp;" "&amp;J117&amp;" "&amp;K117&amp;" "&amp;L117&amp;" "&amp;M117</f>
        <v xml:space="preserve">18.5 15B25 410903 2040 VSP 26F01584 </v>
      </c>
      <c r="T117" s="382"/>
      <c r="U117" s="383"/>
    </row>
    <row r="118" spans="1:21" ht="25.5" customHeight="1" x14ac:dyDescent="0.25">
      <c r="E118" s="372">
        <v>903</v>
      </c>
      <c r="F118" s="357" t="s">
        <v>80</v>
      </c>
      <c r="G118" s="373" t="str">
        <f>VLOOKUP($F118,Party,8,0)</f>
        <v>Self/T</v>
      </c>
      <c r="H118" s="357"/>
      <c r="I118" s="357" t="s">
        <v>261</v>
      </c>
      <c r="J118" s="379">
        <f>SUM(J117)</f>
        <v>2040</v>
      </c>
      <c r="K118" s="358"/>
      <c r="L118" s="475" t="s">
        <v>868</v>
      </c>
      <c r="M118" s="563"/>
      <c r="N118" s="374">
        <v>46289</v>
      </c>
      <c r="O118" s="375" t="s">
        <v>871</v>
      </c>
      <c r="P118" s="376">
        <f>SUM(P117)</f>
        <v>139740</v>
      </c>
      <c r="T118" s="382"/>
      <c r="U118" s="383"/>
    </row>
    <row r="119" spans="1:21" ht="25.5" customHeight="1" x14ac:dyDescent="0.4">
      <c r="A119" s="349" t="s">
        <v>980</v>
      </c>
      <c r="B119" s="371">
        <v>46294</v>
      </c>
      <c r="C119" s="370">
        <v>944</v>
      </c>
      <c r="D119" s="402" t="s">
        <v>997</v>
      </c>
      <c r="E119" s="402" t="s">
        <v>557</v>
      </c>
      <c r="F119" s="370" t="s">
        <v>80</v>
      </c>
      <c r="G119" s="370">
        <v>10</v>
      </c>
      <c r="H119" s="370" t="s">
        <v>837</v>
      </c>
      <c r="I119" s="370">
        <v>410902</v>
      </c>
      <c r="J119" s="380">
        <v>1970</v>
      </c>
      <c r="K119" s="370" t="s">
        <v>157</v>
      </c>
      <c r="L119" s="370" t="s">
        <v>984</v>
      </c>
      <c r="M119" s="397" t="s">
        <v>987</v>
      </c>
      <c r="N119" s="374">
        <v>46294</v>
      </c>
      <c r="O119" s="370" t="s">
        <v>998</v>
      </c>
      <c r="P119" s="392">
        <f>VLOOKUP($I119,Inward,21,0)</f>
        <v>148735</v>
      </c>
      <c r="R119" s="472" t="s">
        <v>999</v>
      </c>
      <c r="S119" s="565" t="str">
        <f>G119&amp;" "&amp;H119&amp;" "&amp;I119&amp;" "&amp;J119&amp;" "&amp;K119&amp;" "&amp;L119&amp;" "&amp;M119</f>
        <v>10 15B25 410902 1970 JSW A74567 65</v>
      </c>
      <c r="T119" s="382"/>
      <c r="U119" s="383"/>
    </row>
    <row r="120" spans="1:21" ht="25.5" customHeight="1" x14ac:dyDescent="0.25">
      <c r="E120" s="372">
        <v>904</v>
      </c>
      <c r="F120" s="357" t="s">
        <v>80</v>
      </c>
      <c r="G120" s="373" t="str">
        <f>VLOOKUP($F120,Party,8,0)</f>
        <v>Self/T</v>
      </c>
      <c r="H120" s="357"/>
      <c r="I120" s="357" t="s">
        <v>261</v>
      </c>
      <c r="J120" s="379">
        <f>SUM(J119)</f>
        <v>1970</v>
      </c>
      <c r="K120" s="358"/>
      <c r="L120" s="475" t="s">
        <v>868</v>
      </c>
      <c r="M120" s="563"/>
      <c r="N120" s="374">
        <v>46294</v>
      </c>
      <c r="O120" s="375" t="s">
        <v>871</v>
      </c>
      <c r="P120" s="376">
        <f>SUM(P119)</f>
        <v>148735</v>
      </c>
      <c r="T120" s="382"/>
      <c r="U120" s="383"/>
    </row>
    <row r="121" spans="1:21" ht="25.5" customHeight="1" x14ac:dyDescent="0.25">
      <c r="T121" s="382"/>
      <c r="U121" s="383"/>
    </row>
    <row r="122" spans="1:21" ht="25.5" customHeight="1" x14ac:dyDescent="0.25">
      <c r="T122" s="382" t="e">
        <f t="shared" ref="T122:T128" si="22">VLOOKUP($I122,Inward,22,0)</f>
        <v>#N/A</v>
      </c>
      <c r="U122" s="383" t="e">
        <f t="shared" ref="U122:U127" si="23">VLOOKUP($I122,Inward,23,0)</f>
        <v>#N/A</v>
      </c>
    </row>
    <row r="123" spans="1:21" ht="25.5" customHeight="1" x14ac:dyDescent="0.25">
      <c r="T123" s="382" t="e">
        <f t="shared" si="22"/>
        <v>#N/A</v>
      </c>
      <c r="U123" s="383" t="e">
        <f t="shared" si="23"/>
        <v>#N/A</v>
      </c>
    </row>
    <row r="124" spans="1:21" ht="25.5" customHeight="1" x14ac:dyDescent="0.25">
      <c r="T124" s="382" t="e">
        <f t="shared" si="22"/>
        <v>#N/A</v>
      </c>
      <c r="U124" s="383" t="e">
        <f t="shared" si="23"/>
        <v>#N/A</v>
      </c>
    </row>
    <row r="125" spans="1:21" ht="25.5" customHeight="1" x14ac:dyDescent="0.25">
      <c r="T125" s="382" t="e">
        <f t="shared" si="22"/>
        <v>#N/A</v>
      </c>
      <c r="U125" s="383" t="e">
        <f t="shared" si="23"/>
        <v>#N/A</v>
      </c>
    </row>
    <row r="126" spans="1:21" ht="25.5" customHeight="1" x14ac:dyDescent="0.25">
      <c r="T126" s="382" t="e">
        <f t="shared" si="22"/>
        <v>#N/A</v>
      </c>
      <c r="U126" s="383" t="e">
        <f t="shared" si="23"/>
        <v>#N/A</v>
      </c>
    </row>
    <row r="127" spans="1:21" ht="25.5" customHeight="1" x14ac:dyDescent="0.25">
      <c r="T127" s="382" t="e">
        <f t="shared" si="22"/>
        <v>#N/A</v>
      </c>
      <c r="U127" s="383" t="e">
        <f t="shared" si="23"/>
        <v>#N/A</v>
      </c>
    </row>
    <row r="128" spans="1:21" ht="25.5" customHeight="1" x14ac:dyDescent="0.25">
      <c r="T128" s="382" t="e">
        <f t="shared" si="22"/>
        <v>#N/A</v>
      </c>
      <c r="U128" s="383" t="e">
        <f t="shared" ref="U128" si="24">VLOOKUP($I128,Inward,23,0)</f>
        <v>#N/A</v>
      </c>
    </row>
    <row r="129" spans="3:27" ht="25.5" customHeight="1" x14ac:dyDescent="0.25">
      <c r="T129" s="382" t="e">
        <f t="shared" si="0"/>
        <v>#N/A</v>
      </c>
      <c r="U129" s="383" t="e">
        <f t="shared" si="1"/>
        <v>#N/A</v>
      </c>
    </row>
    <row r="130" spans="3:27" ht="25.5" customHeight="1" thickBot="1" x14ac:dyDescent="0.3">
      <c r="C130" s="579" t="s">
        <v>580</v>
      </c>
      <c r="D130" s="579"/>
      <c r="E130" s="579"/>
      <c r="F130" s="579"/>
      <c r="G130" s="579"/>
      <c r="H130" s="579"/>
      <c r="I130" s="579"/>
      <c r="J130" s="579"/>
      <c r="K130" s="579"/>
      <c r="L130" s="579"/>
      <c r="M130" s="579"/>
      <c r="N130" s="579"/>
      <c r="O130" s="579"/>
      <c r="P130" s="579"/>
      <c r="Q130" s="579"/>
      <c r="R130" s="579"/>
      <c r="S130" s="579"/>
      <c r="T130" s="579"/>
      <c r="U130" s="579"/>
      <c r="V130" s="579"/>
      <c r="W130" s="579"/>
      <c r="X130" s="579"/>
      <c r="Y130" s="579"/>
      <c r="Z130" s="579"/>
      <c r="AA130" s="579"/>
    </row>
    <row r="131" spans="3:27" ht="25.5" customHeight="1" thickBot="1" x14ac:dyDescent="0.3">
      <c r="Q131" s="360" t="s">
        <v>581</v>
      </c>
      <c r="R131" s="405"/>
      <c r="S131" s="406"/>
      <c r="T131" s="406"/>
      <c r="U131" s="406"/>
      <c r="V131" s="406"/>
      <c r="W131" s="406"/>
      <c r="X131" s="406"/>
      <c r="Y131" s="407"/>
      <c r="Z131" s="370"/>
    </row>
    <row r="132" spans="3:27" ht="25.5" customHeight="1" thickBot="1" x14ac:dyDescent="0.3">
      <c r="C132" s="361" t="s">
        <v>121</v>
      </c>
      <c r="D132" s="361" t="s">
        <v>434</v>
      </c>
      <c r="E132" s="361" t="s">
        <v>424</v>
      </c>
      <c r="F132" s="361" t="s">
        <v>120</v>
      </c>
      <c r="G132" s="361" t="s">
        <v>125</v>
      </c>
      <c r="H132" s="361" t="s">
        <v>433</v>
      </c>
      <c r="I132" s="361" t="s">
        <v>432</v>
      </c>
      <c r="J132" s="362" t="s">
        <v>435</v>
      </c>
      <c r="K132" s="363" t="s">
        <v>124</v>
      </c>
      <c r="L132" s="361" t="s">
        <v>438</v>
      </c>
      <c r="M132" s="361" t="s">
        <v>439</v>
      </c>
      <c r="N132" s="364"/>
      <c r="O132" s="393"/>
      <c r="P132" s="393"/>
      <c r="Q132" s="408"/>
      <c r="R132" s="409"/>
      <c r="S132" s="365"/>
      <c r="T132" s="366" t="s">
        <v>417</v>
      </c>
      <c r="U132" s="367"/>
      <c r="V132" s="578">
        <v>44296</v>
      </c>
      <c r="W132" s="578"/>
      <c r="X132" s="410" t="s">
        <v>582</v>
      </c>
      <c r="Y132" s="411"/>
      <c r="Z132" s="370"/>
    </row>
    <row r="133" spans="3:27" ht="25.5" customHeight="1" x14ac:dyDescent="0.25">
      <c r="C133" s="370" cm="1">
        <f t="array" ref="C133:M136">_xlfn.CHOOSECOLS(_xlfn._xlws.FILTER('2627PR_Inward'!$A$3:$X$304,('2627PR_Inward'!$J$3:$J$304&lt;&gt;"") * ('2627PR_Inward'!$Q$3:$Q$304=""),""),4,10,11,3,8,9,2,12,7,15,16)</f>
        <v>13108</v>
      </c>
      <c r="D133" s="402" t="str">
        <v>71</v>
      </c>
      <c r="E133" s="402" t="str">
        <v>11</v>
      </c>
      <c r="F133" s="370" t="str">
        <v>MLN</v>
      </c>
      <c r="G133" s="370">
        <v>17.5</v>
      </c>
      <c r="H133" s="370" t="str">
        <v>EN31</v>
      </c>
      <c r="I133" s="370">
        <v>6506202403</v>
      </c>
      <c r="J133" s="380">
        <v>350</v>
      </c>
      <c r="K133" s="370" t="str">
        <v>RP/DR</v>
      </c>
      <c r="L133" s="370">
        <v>0</v>
      </c>
      <c r="M133" s="397" t="str">
        <v>76</v>
      </c>
      <c r="N133" s="364"/>
      <c r="Q133" s="408"/>
      <c r="R133" s="412" t="s">
        <v>434</v>
      </c>
      <c r="S133" s="413">
        <v>9</v>
      </c>
      <c r="T133" s="414">
        <f>V132-1</f>
        <v>44295</v>
      </c>
      <c r="U133" s="415" t="str">
        <f>IFERROR(VLOOKUP($S133&amp;$T133,LDB,25,0),"EMPTY")</f>
        <v>EMPTY</v>
      </c>
      <c r="V133" s="414" t="str">
        <f>IFERROR(VLOOKUP($S133&amp;$T133,LDB,29,0),"EMPTY")</f>
        <v>EMPTY</v>
      </c>
      <c r="W133" s="416" t="str">
        <f>IFERROR(VLOOKUP($S133&amp;$T133,LDB,30,0),"EMPTY")</f>
        <v>EMPTY</v>
      </c>
      <c r="Y133" s="411"/>
      <c r="Z133" s="370"/>
      <c r="AA133" s="370"/>
    </row>
    <row r="134" spans="3:27" ht="25.5" customHeight="1" x14ac:dyDescent="0.25">
      <c r="C134" s="370" t="str">
        <v>OJW/90</v>
      </c>
      <c r="D134" s="402" t="str">
        <v>164</v>
      </c>
      <c r="E134" s="402" t="str">
        <v>12</v>
      </c>
      <c r="F134" s="370" t="str">
        <v>BC</v>
      </c>
      <c r="G134" s="370">
        <v>21</v>
      </c>
      <c r="H134" s="370" t="str">
        <v>EN31</v>
      </c>
      <c r="I134" s="370">
        <v>610903</v>
      </c>
      <c r="J134" s="380">
        <v>1730</v>
      </c>
      <c r="K134" s="370" t="str">
        <v>JSW</v>
      </c>
      <c r="L134" s="370" t="str">
        <v>A57929</v>
      </c>
      <c r="M134" s="397" t="str">
        <v>80</v>
      </c>
      <c r="N134" s="364"/>
      <c r="O134" s="370" t="s">
        <v>97</v>
      </c>
      <c r="Q134" s="408"/>
      <c r="R134" s="417" t="str">
        <f>IFERROR(VLOOKUP(S133&amp;T133,LDB,2,0),"")</f>
        <v/>
      </c>
      <c r="S134" s="418" t="str">
        <f>IFERROR(VLOOKUP($R134,Loading,2,FALSE),"")</f>
        <v/>
      </c>
      <c r="T134" s="418" t="str">
        <f>IFERROR(VLOOKUP($R134,Loading,5,FALSE),"")</f>
        <v/>
      </c>
      <c r="U134" s="418" t="str">
        <f>IFERROR(VLOOKUP($R134,Loading,6,FALSE),"")</f>
        <v/>
      </c>
      <c r="V134" s="419" t="str">
        <f>IFERROR(VLOOKUP($R134,Loading,4,FALSE),"")</f>
        <v/>
      </c>
      <c r="W134" s="420" t="str">
        <f>IFERROR(VLOOKUP($R134,Loading,7,FALSE),"")</f>
        <v/>
      </c>
      <c r="X134" s="421" t="str">
        <f>IFERROR(IF(VLOOKUP($V134,Delivery,4,FALSE)&lt;&gt;"",VLOOKUP($V134,Delivery,4,FALSE),""),"")</f>
        <v/>
      </c>
      <c r="Y134" s="422"/>
      <c r="Z134" s="370"/>
      <c r="AA134" s="370"/>
    </row>
    <row r="135" spans="3:27" ht="25.5" customHeight="1" x14ac:dyDescent="0.25">
      <c r="C135" s="370" t="str">
        <v>OJW/51</v>
      </c>
      <c r="D135" s="402" t="str">
        <v>259</v>
      </c>
      <c r="E135" s="402" t="str">
        <v>12</v>
      </c>
      <c r="F135" s="370" t="str">
        <v>BC</v>
      </c>
      <c r="G135" s="370">
        <v>28</v>
      </c>
      <c r="H135" s="370" t="str">
        <v>SAE</v>
      </c>
      <c r="I135" s="370" t="str">
        <v>610102B</v>
      </c>
      <c r="J135" s="380">
        <v>980</v>
      </c>
      <c r="K135" s="370" t="str">
        <v>BPSL</v>
      </c>
      <c r="L135" s="370" t="str">
        <v>E260172</v>
      </c>
      <c r="M135" s="397" t="str">
        <v>80</v>
      </c>
      <c r="N135" s="394"/>
      <c r="O135" s="371"/>
      <c r="Q135" s="408"/>
      <c r="R135" s="423" t="str">
        <f>R134</f>
        <v/>
      </c>
      <c r="S135" s="418" t="str">
        <f>IFERROR(VLOOKUP($R134,Loading,2,FALSE),"")</f>
        <v/>
      </c>
      <c r="T135" s="418" t="str">
        <f>IFERROR(VLOOKUP($R134,Loading,9,FALSE),"")</f>
        <v/>
      </c>
      <c r="U135" s="418" t="str">
        <f>IFERROR(VLOOKUP($R134,Loading,10,FALSE),"")</f>
        <v/>
      </c>
      <c r="V135" s="418" t="str">
        <f>IFERROR(VLOOKUP($R134,Loading,8,FALSE),"")</f>
        <v/>
      </c>
      <c r="W135" s="420" t="str">
        <f>IFERROR(VLOOKUP($R134,Loading,11,FALSE),"")</f>
        <v/>
      </c>
      <c r="X135" s="421" t="str">
        <f>IFERROR(IF(VLOOKUP($V135,Delivery,4,FALSE)&lt;&gt;"",VLOOKUP($V135,Delivery,4,FALSE),""),"")</f>
        <v/>
      </c>
      <c r="Y135" s="422"/>
      <c r="Z135" s="370"/>
      <c r="AA135" s="370"/>
    </row>
    <row r="136" spans="3:27" ht="25.5" customHeight="1" x14ac:dyDescent="0.25">
      <c r="C136" s="370" t="str">
        <v>OJW/51</v>
      </c>
      <c r="D136" s="402" t="str">
        <v>253</v>
      </c>
      <c r="E136" s="402" t="str">
        <v>12</v>
      </c>
      <c r="F136" s="370" t="str">
        <v>BC</v>
      </c>
      <c r="G136" s="370">
        <v>21</v>
      </c>
      <c r="H136" s="370" t="str">
        <v>SAE</v>
      </c>
      <c r="I136" s="370" t="str">
        <v>610105A</v>
      </c>
      <c r="J136" s="380">
        <v>2080</v>
      </c>
      <c r="K136" s="370" t="str">
        <v>BPSL</v>
      </c>
      <c r="L136" s="370" t="str">
        <v>E260172</v>
      </c>
      <c r="M136" s="397" t="str">
        <v>80</v>
      </c>
      <c r="O136" s="371"/>
      <c r="Q136" s="408"/>
      <c r="R136" s="423" t="str">
        <f>R134</f>
        <v/>
      </c>
      <c r="S136" s="418" t="str">
        <f>IFERROR(VLOOKUP($R134,Loading,2,FALSE),"")</f>
        <v/>
      </c>
      <c r="T136" s="418" t="str">
        <f>IFERROR(VLOOKUP($R134,Loading,13,FALSE),"")</f>
        <v/>
      </c>
      <c r="U136" s="418" t="str">
        <f>IFERROR(VLOOKUP($R134,Loading,14,FALSE),"")</f>
        <v/>
      </c>
      <c r="V136" s="418" t="str">
        <f>IFERROR(VLOOKUP($R134,Loading,12,FALSE),"")</f>
        <v/>
      </c>
      <c r="W136" s="420" t="str">
        <f>IFERROR(VLOOKUP($R134,Loading,15,FALSE),"")</f>
        <v/>
      </c>
      <c r="X136" s="421" t="str">
        <f>IFERROR(IF(VLOOKUP($V136,Delivery,4,FALSE)&lt;&gt;"",VLOOKUP($V136,Delivery,4,FALSE),""),"")</f>
        <v/>
      </c>
      <c r="Y136" s="422"/>
      <c r="AA136" s="370"/>
    </row>
    <row r="137" spans="3:27" ht="25.5" customHeight="1" x14ac:dyDescent="0.25">
      <c r="D137" s="402"/>
      <c r="E137" s="402"/>
      <c r="H137" s="370"/>
      <c r="I137" s="370"/>
      <c r="K137" s="370"/>
      <c r="L137" s="370"/>
      <c r="M137" s="397"/>
      <c r="N137" s="395"/>
      <c r="O137" s="371"/>
      <c r="Q137" s="408"/>
      <c r="R137" s="424"/>
      <c r="S137" s="425"/>
      <c r="T137" s="426"/>
      <c r="U137" s="426"/>
      <c r="V137" s="427" t="s">
        <v>150</v>
      </c>
      <c r="W137" s="427">
        <f>SUM(W134:W136)</f>
        <v>0</v>
      </c>
      <c r="Y137" s="422"/>
      <c r="AA137" s="370"/>
    </row>
    <row r="138" spans="3:27" ht="25.5" customHeight="1" x14ac:dyDescent="0.25">
      <c r="D138" s="402"/>
      <c r="E138" s="402"/>
      <c r="H138" s="370"/>
      <c r="I138" s="370"/>
      <c r="K138" s="370"/>
      <c r="L138" s="370"/>
      <c r="M138" s="397"/>
      <c r="N138" s="396"/>
      <c r="O138" s="371"/>
      <c r="Q138" s="408"/>
      <c r="R138" s="428" t="s">
        <v>583</v>
      </c>
      <c r="S138" s="429">
        <v>10</v>
      </c>
      <c r="T138" s="430">
        <f>V132-1</f>
        <v>44295</v>
      </c>
      <c r="U138" s="416" t="str">
        <f>IFERROR(VLOOKUP(S138&amp;T138,LDB,25,0),"EMPTY")</f>
        <v>EMPTY</v>
      </c>
      <c r="V138" s="414" t="str">
        <f>IFERROR(VLOOKUP($S138&amp;$T138,LDB,29,0),"EMPTY")</f>
        <v>EMPTY</v>
      </c>
      <c r="W138" s="415" t="str">
        <f>IFERROR(VLOOKUP($S138&amp;$T138,LDB,30,0),"EMPTY")</f>
        <v>EMPTY</v>
      </c>
      <c r="Y138" s="422"/>
      <c r="AA138" s="370"/>
    </row>
    <row r="139" spans="3:27" ht="25.5" customHeight="1" x14ac:dyDescent="0.25">
      <c r="D139" s="402"/>
      <c r="E139" s="402"/>
      <c r="H139" s="370"/>
      <c r="I139" s="370"/>
      <c r="K139" s="370"/>
      <c r="L139" s="370"/>
      <c r="M139" s="397"/>
      <c r="N139" s="396"/>
      <c r="Q139" s="408"/>
      <c r="R139" s="417" t="str">
        <f>IFERROR(VLOOKUP(S138&amp;T138,LDB,2,0),"")</f>
        <v/>
      </c>
      <c r="S139" s="431" t="str">
        <f>IFERROR(VLOOKUP($R139,Loading,2,FALSE),"")</f>
        <v/>
      </c>
      <c r="T139" s="431" t="str">
        <f>IFERROR(VLOOKUP($R139,Loading,5,FALSE),"")</f>
        <v/>
      </c>
      <c r="U139" s="431" t="str">
        <f>IFERROR(VLOOKUP($R139,Loading,6,FALSE),"")</f>
        <v/>
      </c>
      <c r="V139" s="419" t="str">
        <f>IFERROR(VLOOKUP($R139,Loading,4,FALSE),"")</f>
        <v/>
      </c>
      <c r="W139" s="420" t="str">
        <f>IFERROR(VLOOKUP($R139,Loading,7,FALSE),"")</f>
        <v/>
      </c>
      <c r="X139" s="421" t="str">
        <f>IFERROR(IF(VLOOKUP($V139,Delivery,4,FALSE)&lt;&gt;"",VLOOKUP($V139,Delivery,4,FALSE),""),"")</f>
        <v/>
      </c>
      <c r="Y139" s="422"/>
      <c r="AA139" s="370"/>
    </row>
    <row r="140" spans="3:27" ht="25.5" customHeight="1" x14ac:dyDescent="0.25">
      <c r="D140" s="402"/>
      <c r="E140" s="402"/>
      <c r="G140" s="529"/>
      <c r="H140" s="370"/>
      <c r="I140" s="370"/>
      <c r="K140" s="370"/>
      <c r="L140" s="370"/>
      <c r="M140" s="397"/>
      <c r="N140" s="396"/>
      <c r="Q140" s="408"/>
      <c r="R140" s="423" t="str">
        <f>R139</f>
        <v/>
      </c>
      <c r="S140" s="418" t="str">
        <f>IFERROR(VLOOKUP($R139,Loading,2,FALSE),"")</f>
        <v/>
      </c>
      <c r="T140" s="418" t="str">
        <f>IFERROR(VLOOKUP($R139,Loading,9,FALSE),"")</f>
        <v/>
      </c>
      <c r="U140" s="418" t="str">
        <f>IFERROR(VLOOKUP($R139,Loading,10,FALSE),"")</f>
        <v/>
      </c>
      <c r="V140" s="418" t="str">
        <f>IFERROR(VLOOKUP($R139,Loading,8,FALSE),"")</f>
        <v/>
      </c>
      <c r="W140" s="420" t="str">
        <f>IFERROR(VLOOKUP($R139,Loading,11,FALSE),"")</f>
        <v/>
      </c>
      <c r="X140" s="421" t="str">
        <f>IFERROR(IF(VLOOKUP($V140,Delivery,4,FALSE)&lt;&gt;"",VLOOKUP($V140,Delivery,4,FALSE),""),"")</f>
        <v/>
      </c>
      <c r="Y140" s="422"/>
      <c r="AA140" s="370"/>
    </row>
    <row r="141" spans="3:27" ht="25.5" customHeight="1" x14ac:dyDescent="0.25">
      <c r="D141" s="402"/>
      <c r="E141" s="402"/>
      <c r="H141" s="370"/>
      <c r="I141" s="370"/>
      <c r="K141" s="370"/>
      <c r="L141" s="370"/>
      <c r="M141" s="397"/>
      <c r="N141" s="396"/>
      <c r="Q141" s="408"/>
      <c r="R141" s="423" t="str">
        <f>R139</f>
        <v/>
      </c>
      <c r="S141" s="418" t="str">
        <f>IFERROR(VLOOKUP($R139,Loading,2,FALSE),"")</f>
        <v/>
      </c>
      <c r="T141" s="418" t="str">
        <f>IFERROR(VLOOKUP($R139,Loading,13,FALSE),"")</f>
        <v/>
      </c>
      <c r="U141" s="418" t="str">
        <f>IFERROR(VLOOKUP($R139,Loading,14,FALSE),"")</f>
        <v/>
      </c>
      <c r="V141" s="418" t="str">
        <f>IFERROR(VLOOKUP($R139,Loading,12,FALSE),"")</f>
        <v/>
      </c>
      <c r="W141" s="420" t="str">
        <f>IFERROR(VLOOKUP($R139,Loading,15,FALSE),"")</f>
        <v/>
      </c>
      <c r="X141" s="421" t="str">
        <f>IFERROR(IF(VLOOKUP($V141,Delivery,4,FALSE)&lt;&gt;"",VLOOKUP($V141,Delivery,4,FALSE),""),"")</f>
        <v/>
      </c>
      <c r="Y141" s="422"/>
      <c r="AA141" s="370"/>
    </row>
    <row r="142" spans="3:27" ht="25.5" customHeight="1" x14ac:dyDescent="0.25">
      <c r="D142" s="402"/>
      <c r="E142" s="402"/>
      <c r="H142" s="370"/>
      <c r="I142" s="370"/>
      <c r="K142" s="370"/>
      <c r="L142" s="370"/>
      <c r="M142" s="397"/>
      <c r="N142" s="396"/>
      <c r="Q142" s="408"/>
      <c r="R142" s="423"/>
      <c r="S142" s="432"/>
      <c r="T142" s="433"/>
      <c r="U142" s="433"/>
      <c r="V142" s="434" t="s">
        <v>150</v>
      </c>
      <c r="W142" s="434">
        <f>SUM(W139:W141)</f>
        <v>0</v>
      </c>
      <c r="Y142" s="422"/>
      <c r="AA142" s="370"/>
    </row>
    <row r="143" spans="3:27" ht="25.5" customHeight="1" x14ac:dyDescent="0.25">
      <c r="D143" s="402"/>
      <c r="E143" s="402"/>
      <c r="H143" s="370"/>
      <c r="I143" s="370"/>
      <c r="K143" s="370"/>
      <c r="L143" s="370"/>
      <c r="M143" s="397"/>
      <c r="N143" s="396"/>
      <c r="Q143" s="408"/>
      <c r="R143" s="428" t="s">
        <v>583</v>
      </c>
      <c r="S143" s="429">
        <v>11</v>
      </c>
      <c r="T143" s="430">
        <f>V132-1</f>
        <v>44295</v>
      </c>
      <c r="U143" s="416" t="str">
        <f>IFERROR(VLOOKUP(S143&amp;T143,LDB,25,0),"EMPTY")</f>
        <v>EMPTY</v>
      </c>
      <c r="V143" s="414" t="str">
        <f>IFERROR(VLOOKUP($S143&amp;$T143,LDB,29,0),"EMPTY")</f>
        <v>EMPTY</v>
      </c>
      <c r="W143" s="415" t="str">
        <f>IFERROR(VLOOKUP($S143&amp;$T143,LDB,30,0),"EMPTY")</f>
        <v>EMPTY</v>
      </c>
      <c r="Y143" s="422"/>
      <c r="AA143" s="370"/>
    </row>
    <row r="144" spans="3:27" ht="25.5" customHeight="1" x14ac:dyDescent="0.25">
      <c r="D144" s="402"/>
      <c r="E144" s="402"/>
      <c r="H144" s="370"/>
      <c r="I144" s="370"/>
      <c r="K144" s="370"/>
      <c r="L144" s="370"/>
      <c r="M144" s="397"/>
      <c r="N144" s="396"/>
      <c r="Q144" s="408"/>
      <c r="R144" s="417" t="str">
        <f>IFERROR(VLOOKUP(S143&amp;T143,LDB,2,0),"")</f>
        <v/>
      </c>
      <c r="S144" s="418" t="str">
        <f>IFERROR(VLOOKUP($R144,Loading,2,FALSE),"")</f>
        <v/>
      </c>
      <c r="T144" s="418" t="str">
        <f>IFERROR(VLOOKUP($R$144,Loading,5,FALSE),"")</f>
        <v/>
      </c>
      <c r="U144" s="418" t="str">
        <f>IFERROR(VLOOKUP($R144,Loading,6,FALSE),"")</f>
        <v/>
      </c>
      <c r="V144" s="419" t="str">
        <f>IFERROR(VLOOKUP($R144,Loading,4,FALSE),"")</f>
        <v/>
      </c>
      <c r="W144" s="420" t="str">
        <f>IFERROR(VLOOKUP($R144,Loading,8,FALSE),"")</f>
        <v/>
      </c>
      <c r="X144" s="421" t="str">
        <f>IFERROR(IF(VLOOKUP($V144,Delivery,6,FALSE)&lt;&gt;"",VLOOKUP($V144,Delivery,6,FALSE),""),"")</f>
        <v/>
      </c>
      <c r="Y144" s="422"/>
    </row>
    <row r="145" spans="4:26" ht="25.5" customHeight="1" x14ac:dyDescent="0.25">
      <c r="D145" s="402"/>
      <c r="E145" s="402"/>
      <c r="H145" s="370"/>
      <c r="I145" s="370"/>
      <c r="K145" s="370"/>
      <c r="L145" s="370"/>
      <c r="M145" s="397"/>
      <c r="Q145" s="408"/>
      <c r="R145" s="423" t="str">
        <f>R144</f>
        <v/>
      </c>
      <c r="S145" s="418" t="str">
        <f>IFERROR(VLOOKUP($R144,Loading,2,FALSE),"")</f>
        <v/>
      </c>
      <c r="T145" s="418" t="str">
        <f>IFERROR(VLOOKUP($R$144,Loading,11,FALSE),"")</f>
        <v/>
      </c>
      <c r="U145" s="418" t="str">
        <f>IFERROR(VLOOKUP($R145,Loading,12,FALSE),"")</f>
        <v/>
      </c>
      <c r="V145" s="419" t="str">
        <f>IFERROR(VLOOKUP($R145,Loading,10,FALSE),"")</f>
        <v/>
      </c>
      <c r="W145" s="420" t="str">
        <f>IFERROR(VLOOKUP($R145,Loading,14,FALSE),"")</f>
        <v/>
      </c>
      <c r="X145" s="421" t="str">
        <f>IFERROR(IF(VLOOKUP($V145,Delivery,4,FALSE)&lt;&gt;"",VLOOKUP($V145,Delivery,4,FALSE),""),"")</f>
        <v/>
      </c>
      <c r="Y145" s="422"/>
    </row>
    <row r="146" spans="4:26" ht="25.5" customHeight="1" x14ac:dyDescent="0.25">
      <c r="D146" s="402"/>
      <c r="E146" s="402"/>
      <c r="H146" s="370"/>
      <c r="I146" s="370"/>
      <c r="K146" s="370"/>
      <c r="L146" s="370"/>
      <c r="M146" s="397"/>
      <c r="Q146" s="408"/>
      <c r="R146" s="423" t="str">
        <f>R144</f>
        <v/>
      </c>
      <c r="S146" s="418" t="str">
        <f>IFERROR(VLOOKUP($R144,Loading,2,FALSE),"")</f>
        <v/>
      </c>
      <c r="T146" s="418" t="str">
        <f>IFERROR(VLOOKUP($R$144,Loading,17,FALSE),"")</f>
        <v/>
      </c>
      <c r="U146" s="418" t="str">
        <f>IFERROR(VLOOKUP($R$144,Loading,18,FALSE),"")</f>
        <v/>
      </c>
      <c r="V146" s="418" t="str">
        <f>IFERROR(VLOOKUP($R144,Loading,16,FALSE),"")</f>
        <v/>
      </c>
      <c r="W146" s="420" t="str">
        <f>IFERROR(VLOOKUP($R144,Loading,20,FALSE),"")</f>
        <v/>
      </c>
      <c r="X146" s="421" t="str">
        <f>IFERROR(IF(VLOOKUP($V146,Delivery,4,FALSE)&lt;&gt;"",VLOOKUP($V146,Delivery,4,FALSE),""),"")</f>
        <v/>
      </c>
      <c r="Y146" s="422"/>
    </row>
    <row r="147" spans="4:26" ht="25.5" customHeight="1" x14ac:dyDescent="0.25">
      <c r="D147" s="402"/>
      <c r="E147" s="402"/>
      <c r="H147" s="370"/>
      <c r="I147" s="370"/>
      <c r="K147" s="370"/>
      <c r="L147" s="370"/>
      <c r="M147" s="397"/>
      <c r="N147" s="370" t="s">
        <v>97</v>
      </c>
      <c r="Q147" s="408"/>
      <c r="R147" s="423"/>
      <c r="S147" s="435"/>
      <c r="T147" s="436"/>
      <c r="U147" s="436"/>
      <c r="V147" s="427" t="s">
        <v>150</v>
      </c>
      <c r="W147" s="427">
        <f>SUM(W144:W146)</f>
        <v>0</v>
      </c>
      <c r="Y147" s="422"/>
    </row>
    <row r="148" spans="4:26" ht="25.5" customHeight="1" x14ac:dyDescent="0.25">
      <c r="D148" s="402"/>
      <c r="E148" s="402"/>
      <c r="H148" s="370"/>
      <c r="I148" s="370"/>
      <c r="K148" s="370"/>
      <c r="L148" s="370"/>
      <c r="M148" s="397"/>
      <c r="Q148" s="408"/>
      <c r="R148" s="428" t="s">
        <v>583</v>
      </c>
      <c r="S148" s="429">
        <v>12</v>
      </c>
      <c r="T148" s="430">
        <f>V132-1</f>
        <v>44295</v>
      </c>
      <c r="U148" s="416" t="str">
        <f>IFERROR(VLOOKUP(S148&amp;T148,LDB,25,0),"EMPTY")</f>
        <v>EMPTY</v>
      </c>
      <c r="V148" s="414" t="str">
        <f>IFERROR(VLOOKUP($S148&amp;$T148,LDB,29,0),"EMPTY")</f>
        <v>EMPTY</v>
      </c>
      <c r="W148" s="415" t="str">
        <f>IFERROR(VLOOKUP($S148&amp;$T148,LDB,30,0),"EMPTY")</f>
        <v>EMPTY</v>
      </c>
      <c r="Y148" s="422"/>
    </row>
    <row r="149" spans="4:26" ht="25.5" customHeight="1" x14ac:dyDescent="0.25">
      <c r="D149" s="402"/>
      <c r="E149" s="402"/>
      <c r="H149" s="370"/>
      <c r="I149" s="370"/>
      <c r="K149" s="370"/>
      <c r="L149" s="370"/>
      <c r="M149" s="397"/>
      <c r="Q149" s="408"/>
      <c r="R149" s="417" t="str">
        <f>IFERROR(VLOOKUP(S148&amp;T148,LDB,2,0),"")</f>
        <v/>
      </c>
      <c r="S149" s="418" t="str">
        <f>IFERROR(VLOOKUP('25526PR_Process'!$H27,Loading,2,FALSE),"")</f>
        <v/>
      </c>
      <c r="T149" s="418" t="str">
        <f>IFERROR(VLOOKUP('25526PR_Process'!$H27,Loading,5,FALSE),"")</f>
        <v/>
      </c>
      <c r="U149" s="418" t="str">
        <f>IFERROR(VLOOKUP('25526PR_Process'!$H27,Loading,6,FALSE),"")</f>
        <v/>
      </c>
      <c r="V149" s="419" t="str">
        <f>IFERROR(VLOOKUP('25526PR_Process'!$H27,Loading,7,FALSE),"")</f>
        <v/>
      </c>
      <c r="W149" s="420" t="str">
        <f>IFERROR(VLOOKUP('25526PR_Process'!$H27,Loading,8,FALSE),"")</f>
        <v/>
      </c>
      <c r="X149" s="421" t="str">
        <f>IFERROR(IF(VLOOKUP($V149,Delivery,4,FALSE)&lt;&gt;"",VLOOKUP($V149,Delivery,4,FALSE),""),"")</f>
        <v/>
      </c>
      <c r="Y149" s="422"/>
    </row>
    <row r="150" spans="4:26" ht="25.5" customHeight="1" x14ac:dyDescent="0.25">
      <c r="D150" s="402"/>
      <c r="E150" s="402"/>
      <c r="H150" s="370"/>
      <c r="I150" s="370"/>
      <c r="K150" s="370"/>
      <c r="L150" s="370"/>
      <c r="M150" s="397"/>
      <c r="O150" s="393"/>
      <c r="P150" s="393"/>
      <c r="Q150" s="408"/>
      <c r="R150" s="423" t="str">
        <f>'25526PR_Process'!H27</f>
        <v/>
      </c>
      <c r="S150" s="418" t="str">
        <f>IFERROR(VLOOKUP('25526PR_Process'!$H27,Loading,2,FALSE),"")</f>
        <v/>
      </c>
      <c r="T150" s="418" t="str">
        <f>IFERROR(VLOOKUP('25526PR_Process'!$H27,Loading,11,FALSE),"")</f>
        <v/>
      </c>
      <c r="U150" s="418" t="str">
        <f>IFERROR(VLOOKUP('25526PR_Process'!$H27,Loading,12,FALSE),"")</f>
        <v/>
      </c>
      <c r="V150" s="418" t="str">
        <f>IFERROR(VLOOKUP('25526PR_Process'!$H27,Loading,3,FALSE),"")</f>
        <v/>
      </c>
      <c r="W150" s="420" t="str">
        <f>IFERROR(VLOOKUP('25526PR_Process'!$H27,Loading,14,FALSE),"")</f>
        <v/>
      </c>
      <c r="X150" s="421" t="str">
        <f>IFERROR(IF(VLOOKUP($V150,Delivery,4,FALSE)&lt;&gt;"",VLOOKUP($V150,Delivery,4,FALSE),""),"")</f>
        <v/>
      </c>
      <c r="Y150" s="422"/>
    </row>
    <row r="151" spans="4:26" ht="25.5" customHeight="1" x14ac:dyDescent="0.25">
      <c r="D151" s="402"/>
      <c r="E151" s="402"/>
      <c r="H151" s="370"/>
      <c r="I151" s="370"/>
      <c r="K151" s="370"/>
      <c r="L151" s="370"/>
      <c r="M151" s="397"/>
      <c r="O151" s="393"/>
      <c r="P151" s="393"/>
      <c r="Q151" s="408"/>
      <c r="R151" s="423" t="str">
        <f>'25526PR_Process'!H27</f>
        <v/>
      </c>
      <c r="S151" s="418" t="str">
        <f>IFERROR(VLOOKUP('25526PR_Process'!$H27,Loading,2,FALSE),"")</f>
        <v/>
      </c>
      <c r="T151" s="418" t="str">
        <f>IFERROR(VLOOKUP('25526PR_Process'!$H27,Loading,17,FALSE),"")</f>
        <v/>
      </c>
      <c r="U151" s="418" t="str">
        <f>IFERROR(VLOOKUP('25526PR_Process'!$H27,Loading,18,FALSE),"")</f>
        <v/>
      </c>
      <c r="V151" s="418" t="str">
        <f>IFERROR(VLOOKUP('25526PR_Process'!$H27,Loading,19,FALSE),"")</f>
        <v/>
      </c>
      <c r="W151" s="420" t="str">
        <f>IFERROR(VLOOKUP('25526PR_Process'!$H27,Loading,20,FALSE),"")</f>
        <v/>
      </c>
      <c r="X151" s="421" t="str">
        <f>IFERROR(IF(VLOOKUP($V151,Delivery,4,FALSE)&lt;&gt;"",VLOOKUP($V151,Delivery,4,FALSE),""),"")</f>
        <v/>
      </c>
      <c r="Y151" s="422"/>
    </row>
    <row r="152" spans="4:26" ht="25.5" customHeight="1" thickBot="1" x14ac:dyDescent="0.3">
      <c r="D152" s="402"/>
      <c r="E152" s="402"/>
      <c r="H152" s="370"/>
      <c r="I152" s="370"/>
      <c r="K152" s="370"/>
      <c r="L152" s="370"/>
      <c r="M152" s="397"/>
      <c r="O152" s="377"/>
      <c r="P152" s="377"/>
      <c r="Q152" s="437"/>
      <c r="R152" s="438"/>
      <c r="S152" s="439"/>
      <c r="T152" s="440"/>
      <c r="U152" s="440"/>
      <c r="V152" s="441" t="s">
        <v>150</v>
      </c>
      <c r="W152" s="441">
        <f>SUM(W149:W151)</f>
        <v>0</v>
      </c>
      <c r="X152" s="442"/>
      <c r="Y152" s="422"/>
    </row>
    <row r="153" spans="4:26" ht="25.5" customHeight="1" thickBot="1" x14ac:dyDescent="0.3">
      <c r="D153" s="402"/>
      <c r="E153" s="402"/>
      <c r="H153" s="370"/>
      <c r="I153" s="370"/>
      <c r="K153" s="370"/>
      <c r="L153" s="370"/>
      <c r="M153" s="397"/>
      <c r="Q153" s="443"/>
      <c r="R153" s="444"/>
      <c r="S153" s="445"/>
      <c r="T153" s="445"/>
      <c r="U153" s="445"/>
      <c r="V153" s="445"/>
      <c r="W153" s="445"/>
      <c r="X153" s="445"/>
      <c r="Y153" s="446"/>
    </row>
    <row r="154" spans="4:26" ht="25.5" customHeight="1" x14ac:dyDescent="0.25">
      <c r="D154" s="402"/>
      <c r="E154" s="402"/>
      <c r="H154" s="370"/>
      <c r="I154" s="370"/>
      <c r="K154" s="370"/>
      <c r="L154" s="370"/>
      <c r="M154" s="397"/>
    </row>
    <row r="155" spans="4:26" ht="25.5" customHeight="1" x14ac:dyDescent="0.25">
      <c r="D155" s="402"/>
      <c r="E155" s="402"/>
      <c r="H155" s="370"/>
      <c r="I155" s="370"/>
      <c r="K155" s="370"/>
      <c r="L155" s="370"/>
      <c r="M155" s="397"/>
    </row>
    <row r="156" spans="4:26" ht="25.5" customHeight="1" x14ac:dyDescent="0.25">
      <c r="D156" s="402"/>
      <c r="E156" s="402"/>
      <c r="H156" s="370"/>
      <c r="I156" s="370"/>
      <c r="K156" s="370"/>
      <c r="L156" s="370"/>
      <c r="M156" s="397"/>
    </row>
    <row r="157" spans="4:26" ht="25.5" customHeight="1" x14ac:dyDescent="0.25">
      <c r="D157" s="402"/>
      <c r="E157" s="402"/>
      <c r="H157" s="370"/>
      <c r="I157" s="370"/>
      <c r="K157" s="370"/>
      <c r="L157" s="370"/>
      <c r="M157" s="397"/>
    </row>
    <row r="158" spans="4:26" ht="25.5" customHeight="1" x14ac:dyDescent="0.25">
      <c r="D158" s="402"/>
      <c r="E158" s="402"/>
      <c r="H158" s="370"/>
      <c r="I158" s="370"/>
      <c r="K158" s="370"/>
      <c r="L158" s="370"/>
      <c r="M158" s="397"/>
    </row>
    <row r="159" spans="4:26" ht="25.5" customHeight="1" x14ac:dyDescent="0.25">
      <c r="D159" s="402"/>
      <c r="E159" s="402"/>
      <c r="H159" s="370"/>
      <c r="I159" s="370"/>
      <c r="K159" s="370"/>
      <c r="L159" s="370"/>
      <c r="M159" s="397"/>
    </row>
    <row r="160" spans="4:26" ht="25.5" customHeight="1" x14ac:dyDescent="0.25">
      <c r="D160" s="402"/>
      <c r="E160" s="402"/>
      <c r="H160" s="370"/>
      <c r="I160" s="370"/>
      <c r="K160" s="370"/>
      <c r="L160" s="370"/>
      <c r="M160" s="397"/>
      <c r="P160" s="370" cm="1">
        <f t="array" ref="P160:Z163">_xlfn.CHOOSECOLS(_xlfn._xlws.FILTER('2627PR_Inward'!$A$3:$X$304,('2627PR_Inward'!$J$3:$J$304&lt;&gt;"") * ('2627PR_Inward'!$Q$3:$Q$304=""),""),4,10,11,3,8,9,2,12,7,15,16)</f>
        <v>13108</v>
      </c>
      <c r="Q160" s="380" t="str">
        <v>71</v>
      </c>
      <c r="R160" s="381" t="str">
        <v>11</v>
      </c>
      <c r="S160" s="378" t="str">
        <v>MLN</v>
      </c>
      <c r="T160" s="378">
        <v>17.5</v>
      </c>
      <c r="U160" s="378" t="str">
        <v>EN31</v>
      </c>
      <c r="V160" s="378">
        <v>6506202403</v>
      </c>
      <c r="W160" s="378">
        <v>350</v>
      </c>
      <c r="X160" s="378" t="str">
        <v>RP/DR</v>
      </c>
      <c r="Y160" s="378">
        <v>0</v>
      </c>
      <c r="Z160" s="378" t="str">
        <v>76</v>
      </c>
    </row>
    <row r="161" spans="1:27" ht="25.5" customHeight="1" x14ac:dyDescent="0.25">
      <c r="D161" s="402"/>
      <c r="E161" s="402"/>
      <c r="H161" s="370"/>
      <c r="I161" s="370"/>
      <c r="K161" s="370"/>
      <c r="L161" s="370"/>
      <c r="M161" s="397"/>
      <c r="P161" s="370" t="str">
        <v>OJW/90</v>
      </c>
      <c r="Q161" s="380" t="str">
        <v>164</v>
      </c>
      <c r="R161" s="381" t="str">
        <v>12</v>
      </c>
      <c r="S161" s="378" t="str">
        <v>BC</v>
      </c>
      <c r="T161" s="378">
        <v>21</v>
      </c>
      <c r="U161" s="378" t="str">
        <v>EN31</v>
      </c>
      <c r="V161" s="378">
        <v>610903</v>
      </c>
      <c r="W161" s="378">
        <v>1730</v>
      </c>
      <c r="X161" s="378" t="str">
        <v>JSW</v>
      </c>
      <c r="Y161" s="378" t="str">
        <v>A57929</v>
      </c>
      <c r="Z161" s="378" t="str">
        <v>80</v>
      </c>
    </row>
    <row r="162" spans="1:27" ht="25.5" customHeight="1" x14ac:dyDescent="0.25">
      <c r="D162" s="402"/>
      <c r="E162" s="402"/>
      <c r="H162" s="370"/>
      <c r="I162" s="370"/>
      <c r="K162" s="370"/>
      <c r="L162" s="370"/>
      <c r="M162" s="397"/>
      <c r="P162" s="370" t="str">
        <v>OJW/51</v>
      </c>
      <c r="Q162" s="380" t="str">
        <v>259</v>
      </c>
      <c r="R162" s="381" t="str">
        <v>12</v>
      </c>
      <c r="S162" s="378" t="str">
        <v>BC</v>
      </c>
      <c r="T162" s="378">
        <v>28</v>
      </c>
      <c r="U162" s="378" t="str">
        <v>SAE</v>
      </c>
      <c r="V162" s="378" t="str">
        <v>610102B</v>
      </c>
      <c r="W162" s="378">
        <v>980</v>
      </c>
      <c r="X162" s="378" t="str">
        <v>BPSL</v>
      </c>
      <c r="Y162" s="378" t="str">
        <v>E260172</v>
      </c>
      <c r="Z162" s="378" t="str">
        <v>80</v>
      </c>
    </row>
    <row r="163" spans="1:27" ht="25.5" customHeight="1" x14ac:dyDescent="0.25">
      <c r="D163" s="402"/>
      <c r="E163" s="402"/>
      <c r="H163" s="370"/>
      <c r="I163" s="370"/>
      <c r="K163" s="370"/>
      <c r="L163" s="370"/>
      <c r="M163" s="397"/>
      <c r="P163" s="370" t="str">
        <v>OJW/51</v>
      </c>
      <c r="Q163" s="380" t="str">
        <v>253</v>
      </c>
      <c r="R163" s="381" t="str">
        <v>12</v>
      </c>
      <c r="S163" s="378" t="str">
        <v>BC</v>
      </c>
      <c r="T163" s="378">
        <v>21</v>
      </c>
      <c r="U163" s="378" t="str">
        <v>SAE</v>
      </c>
      <c r="V163" s="378" t="str">
        <v>610105A</v>
      </c>
      <c r="W163" s="378">
        <v>2080</v>
      </c>
      <c r="X163" s="378" t="str">
        <v>BPSL</v>
      </c>
      <c r="Y163" s="378" t="str">
        <v>E260172</v>
      </c>
      <c r="Z163" s="378" t="str">
        <v>80</v>
      </c>
    </row>
    <row r="164" spans="1:27" ht="25.5" customHeight="1" x14ac:dyDescent="0.25">
      <c r="D164" s="402"/>
      <c r="E164" s="402"/>
      <c r="H164" s="370"/>
      <c r="I164" s="370"/>
      <c r="K164" s="370"/>
      <c r="L164" s="370"/>
      <c r="M164" s="397"/>
    </row>
    <row r="165" spans="1:27" ht="25.5" customHeight="1" x14ac:dyDescent="0.25">
      <c r="D165" s="402"/>
      <c r="E165" s="402"/>
      <c r="H165" s="370"/>
      <c r="I165" s="370"/>
      <c r="K165" s="370"/>
      <c r="L165" s="370"/>
      <c r="M165" s="397"/>
    </row>
    <row r="166" spans="1:27" ht="25.5" customHeight="1" x14ac:dyDescent="0.25">
      <c r="D166" s="402"/>
      <c r="E166" s="402"/>
      <c r="H166" s="370"/>
      <c r="I166" s="370"/>
      <c r="K166" s="370"/>
      <c r="L166" s="370"/>
      <c r="M166" s="397"/>
    </row>
    <row r="167" spans="1:27" ht="25.5" customHeight="1" x14ac:dyDescent="0.25">
      <c r="D167" s="402"/>
      <c r="E167" s="402"/>
      <c r="H167" s="370"/>
      <c r="I167" s="370"/>
      <c r="K167" s="370"/>
      <c r="L167" s="370"/>
      <c r="M167" s="397"/>
    </row>
    <row r="168" spans="1:27" ht="25.5" customHeight="1" x14ac:dyDescent="0.25">
      <c r="D168" s="402"/>
      <c r="E168" s="402"/>
      <c r="H168" s="370"/>
      <c r="I168" s="370"/>
      <c r="K168" s="370"/>
      <c r="L168" s="370"/>
      <c r="M168" s="397"/>
    </row>
    <row r="169" spans="1:27" ht="25.5" customHeight="1" x14ac:dyDescent="0.25">
      <c r="D169" s="402"/>
      <c r="E169" s="402"/>
      <c r="H169" s="370"/>
      <c r="I169" s="370"/>
      <c r="K169" s="370"/>
      <c r="L169" s="370"/>
      <c r="M169" s="397"/>
    </row>
    <row r="170" spans="1:27" ht="25.5" customHeight="1" x14ac:dyDescent="0.25">
      <c r="D170" s="402"/>
      <c r="E170" s="402"/>
      <c r="H170" s="370"/>
      <c r="I170" s="370"/>
      <c r="K170" s="370"/>
      <c r="L170" s="370"/>
      <c r="M170" s="397"/>
    </row>
    <row r="171" spans="1:27" ht="25.5" customHeight="1" x14ac:dyDescent="0.25">
      <c r="D171" s="402"/>
      <c r="E171" s="402"/>
      <c r="H171" s="370"/>
      <c r="I171" s="370"/>
      <c r="K171" s="370"/>
      <c r="L171" s="370"/>
      <c r="M171" s="397"/>
    </row>
    <row r="172" spans="1:27" ht="25.5" customHeight="1" x14ac:dyDescent="0.25">
      <c r="D172" s="402"/>
      <c r="E172" s="402"/>
      <c r="H172" s="370"/>
      <c r="I172" s="370"/>
      <c r="K172" s="370"/>
      <c r="L172" s="370"/>
      <c r="M172" s="397"/>
    </row>
    <row r="173" spans="1:27" ht="25.5" customHeight="1" x14ac:dyDescent="0.25">
      <c r="D173" s="402"/>
      <c r="E173" s="402"/>
      <c r="H173" s="370"/>
      <c r="I173" s="370"/>
      <c r="K173" s="370"/>
      <c r="L173" s="370"/>
      <c r="M173" s="397"/>
    </row>
    <row r="174" spans="1:27" ht="25.5" customHeight="1" x14ac:dyDescent="0.25">
      <c r="D174" s="402"/>
      <c r="E174" s="402"/>
      <c r="H174" s="370"/>
      <c r="I174" s="370"/>
      <c r="K174" s="370"/>
      <c r="L174" s="370"/>
      <c r="M174" s="397"/>
    </row>
    <row r="175" spans="1:27" ht="25.5" customHeight="1" x14ac:dyDescent="0.25">
      <c r="D175" s="402"/>
      <c r="E175" s="402"/>
      <c r="H175" s="370"/>
      <c r="I175" s="370"/>
      <c r="K175" s="370"/>
      <c r="L175" s="370"/>
      <c r="M175" s="397"/>
    </row>
    <row r="176" spans="1:27" s="447" customFormat="1" ht="25.5" customHeight="1" x14ac:dyDescent="0.25">
      <c r="A176" s="378"/>
      <c r="B176" s="371"/>
      <c r="C176" s="370"/>
      <c r="D176" s="402"/>
      <c r="E176" s="402"/>
      <c r="F176" s="370"/>
      <c r="G176" s="370"/>
      <c r="H176" s="370"/>
      <c r="I176" s="370"/>
      <c r="J176" s="380"/>
      <c r="K176" s="370"/>
      <c r="L176" s="370"/>
      <c r="M176" s="397"/>
      <c r="N176" s="370"/>
      <c r="O176" s="370"/>
      <c r="P176" s="370"/>
      <c r="Q176" s="380"/>
      <c r="R176" s="381"/>
      <c r="S176" s="378"/>
      <c r="T176" s="378"/>
      <c r="U176" s="378"/>
      <c r="V176" s="378"/>
      <c r="W176" s="378"/>
      <c r="X176" s="378"/>
      <c r="Y176" s="378"/>
      <c r="Z176" s="378"/>
      <c r="AA176" s="378"/>
    </row>
    <row r="177" spans="4:13" ht="25.5" customHeight="1" x14ac:dyDescent="0.25">
      <c r="D177" s="402"/>
      <c r="E177" s="402"/>
      <c r="H177" s="370"/>
      <c r="I177" s="370"/>
      <c r="K177" s="370"/>
      <c r="L177" s="370"/>
      <c r="M177" s="397"/>
    </row>
    <row r="178" spans="4:13" ht="25.5" customHeight="1" x14ac:dyDescent="0.25">
      <c r="D178" s="402"/>
      <c r="E178" s="402"/>
      <c r="H178" s="370"/>
      <c r="I178" s="370"/>
      <c r="K178" s="370"/>
      <c r="L178" s="370"/>
      <c r="M178" s="397"/>
    </row>
    <row r="179" spans="4:13" ht="25.5" customHeight="1" x14ac:dyDescent="0.25">
      <c r="D179" s="402"/>
      <c r="E179" s="402"/>
      <c r="H179" s="370"/>
      <c r="I179" s="370"/>
      <c r="K179" s="370"/>
      <c r="L179" s="370"/>
      <c r="M179" s="397"/>
    </row>
    <row r="180" spans="4:13" ht="25.5" customHeight="1" x14ac:dyDescent="0.25">
      <c r="D180" s="402"/>
      <c r="E180" s="402"/>
      <c r="H180" s="370"/>
      <c r="I180" s="370"/>
      <c r="K180" s="370"/>
      <c r="L180" s="370"/>
      <c r="M180" s="397"/>
    </row>
    <row r="181" spans="4:13" ht="25.5" customHeight="1" x14ac:dyDescent="0.25">
      <c r="D181" s="402"/>
      <c r="E181" s="402"/>
      <c r="H181" s="370"/>
      <c r="I181" s="370"/>
      <c r="K181" s="370"/>
      <c r="L181" s="370"/>
      <c r="M181" s="397"/>
    </row>
    <row r="182" spans="4:13" ht="25.5" customHeight="1" x14ac:dyDescent="0.25">
      <c r="D182" s="402"/>
      <c r="E182" s="402"/>
      <c r="H182" s="370"/>
      <c r="I182" s="370"/>
      <c r="K182" s="370"/>
      <c r="L182" s="370"/>
      <c r="M182" s="397"/>
    </row>
    <row r="183" spans="4:13" ht="25.5" customHeight="1" x14ac:dyDescent="0.25">
      <c r="D183" s="402"/>
      <c r="E183" s="402"/>
      <c r="H183" s="370"/>
      <c r="I183" s="370"/>
      <c r="K183" s="370"/>
      <c r="L183" s="370"/>
      <c r="M183" s="397"/>
    </row>
    <row r="184" spans="4:13" ht="25.5" customHeight="1" x14ac:dyDescent="0.25">
      <c r="D184" s="402"/>
      <c r="E184" s="402"/>
      <c r="H184" s="370"/>
      <c r="I184" s="370"/>
      <c r="K184" s="370"/>
      <c r="L184" s="370"/>
      <c r="M184" s="397"/>
    </row>
    <row r="185" spans="4:13" ht="25.5" customHeight="1" x14ac:dyDescent="0.25">
      <c r="D185" s="402"/>
      <c r="E185" s="402"/>
      <c r="H185" s="370"/>
      <c r="I185" s="370"/>
      <c r="K185" s="370"/>
      <c r="L185" s="370"/>
      <c r="M185" s="397"/>
    </row>
    <row r="186" spans="4:13" ht="25.5" customHeight="1" x14ac:dyDescent="0.25">
      <c r="D186" s="402"/>
      <c r="E186" s="402"/>
      <c r="H186" s="370"/>
      <c r="I186" s="370"/>
      <c r="K186" s="370"/>
      <c r="L186" s="370"/>
      <c r="M186" s="397"/>
    </row>
    <row r="187" spans="4:13" ht="25.5" customHeight="1" x14ac:dyDescent="0.25">
      <c r="D187" s="402"/>
      <c r="E187" s="402"/>
      <c r="H187" s="370"/>
      <c r="I187" s="370"/>
      <c r="K187" s="370"/>
      <c r="L187" s="370"/>
      <c r="M187" s="397"/>
    </row>
    <row r="188" spans="4:13" ht="25.5" customHeight="1" x14ac:dyDescent="0.25">
      <c r="D188" s="402"/>
      <c r="E188" s="402"/>
      <c r="H188" s="370"/>
      <c r="I188" s="370"/>
      <c r="K188" s="370"/>
      <c r="L188" s="370"/>
      <c r="M188" s="397"/>
    </row>
    <row r="189" spans="4:13" ht="25.5" customHeight="1" x14ac:dyDescent="0.25">
      <c r="D189" s="402"/>
      <c r="E189" s="402"/>
      <c r="H189" s="370"/>
      <c r="I189" s="370"/>
      <c r="K189" s="370"/>
      <c r="L189" s="370"/>
      <c r="M189" s="397"/>
    </row>
    <row r="190" spans="4:13" ht="25.5" customHeight="1" x14ac:dyDescent="0.25">
      <c r="D190" s="402"/>
      <c r="E190" s="402"/>
      <c r="H190" s="370"/>
      <c r="I190" s="370"/>
      <c r="K190" s="370"/>
      <c r="L190" s="370"/>
      <c r="M190" s="397"/>
    </row>
    <row r="191" spans="4:13" ht="25.5" customHeight="1" x14ac:dyDescent="0.25">
      <c r="D191" s="402"/>
      <c r="E191" s="402"/>
      <c r="H191" s="370"/>
      <c r="I191" s="370"/>
      <c r="K191" s="370"/>
      <c r="L191" s="370"/>
      <c r="M191" s="397"/>
    </row>
    <row r="192" spans="4:13" ht="25.5" customHeight="1" x14ac:dyDescent="0.25">
      <c r="D192" s="402"/>
      <c r="E192" s="402"/>
      <c r="H192" s="370"/>
      <c r="I192" s="370"/>
      <c r="K192" s="370"/>
      <c r="L192" s="370"/>
      <c r="M192" s="397"/>
    </row>
    <row r="193" spans="4:13" ht="25.5" customHeight="1" x14ac:dyDescent="0.25">
      <c r="D193" s="402"/>
      <c r="E193" s="402"/>
      <c r="H193" s="370"/>
      <c r="I193" s="370"/>
      <c r="K193" s="370"/>
      <c r="L193" s="370"/>
      <c r="M193" s="397"/>
    </row>
    <row r="194" spans="4:13" ht="25.5" customHeight="1" x14ac:dyDescent="0.25">
      <c r="D194" s="402"/>
      <c r="E194" s="402"/>
      <c r="H194" s="370"/>
      <c r="I194" s="370"/>
      <c r="K194" s="370"/>
      <c r="L194" s="370"/>
      <c r="M194" s="397"/>
    </row>
    <row r="195" spans="4:13" ht="25.5" customHeight="1" x14ac:dyDescent="0.25">
      <c r="D195" s="402"/>
      <c r="E195" s="402"/>
      <c r="H195" s="370"/>
      <c r="I195" s="370"/>
      <c r="K195" s="370"/>
      <c r="L195" s="370"/>
      <c r="M195" s="397"/>
    </row>
    <row r="196" spans="4:13" ht="25.5" customHeight="1" x14ac:dyDescent="0.25">
      <c r="D196" s="402"/>
      <c r="E196" s="402"/>
      <c r="H196" s="370"/>
      <c r="I196" s="370"/>
      <c r="K196" s="370"/>
      <c r="L196" s="370"/>
      <c r="M196" s="397"/>
    </row>
    <row r="197" spans="4:13" ht="25.5" customHeight="1" x14ac:dyDescent="0.25">
      <c r="D197" s="402"/>
      <c r="E197" s="402"/>
      <c r="H197" s="370"/>
      <c r="I197" s="370"/>
      <c r="K197" s="370"/>
      <c r="L197" s="370"/>
      <c r="M197" s="397"/>
    </row>
    <row r="198" spans="4:13" ht="25.5" customHeight="1" x14ac:dyDescent="0.25">
      <c r="D198" s="402"/>
      <c r="E198" s="402"/>
      <c r="H198" s="370"/>
      <c r="I198" s="370"/>
      <c r="K198" s="370"/>
      <c r="L198" s="370"/>
      <c r="M198" s="397"/>
    </row>
    <row r="199" spans="4:13" ht="25.5" customHeight="1" x14ac:dyDescent="0.25">
      <c r="D199" s="402"/>
      <c r="E199" s="402"/>
      <c r="H199" s="370"/>
      <c r="I199" s="370"/>
      <c r="K199" s="370"/>
      <c r="L199" s="370"/>
      <c r="M199" s="397"/>
    </row>
    <row r="200" spans="4:13" ht="25.5" customHeight="1" x14ac:dyDescent="0.25">
      <c r="D200" s="402"/>
      <c r="E200" s="402"/>
      <c r="H200" s="370"/>
      <c r="I200" s="370"/>
      <c r="K200" s="370"/>
      <c r="L200" s="370"/>
      <c r="M200" s="397"/>
    </row>
    <row r="201" spans="4:13" ht="25.5" customHeight="1" x14ac:dyDescent="0.25">
      <c r="D201" s="402"/>
      <c r="E201" s="402"/>
      <c r="H201" s="370"/>
      <c r="I201" s="370"/>
      <c r="K201" s="370"/>
      <c r="L201" s="370"/>
      <c r="M201" s="397"/>
    </row>
    <row r="202" spans="4:13" ht="25.5" customHeight="1" x14ac:dyDescent="0.25">
      <c r="D202" s="402"/>
      <c r="E202" s="402"/>
      <c r="H202" s="370"/>
      <c r="I202" s="370"/>
      <c r="K202" s="370"/>
      <c r="L202" s="370"/>
      <c r="M202" s="397"/>
    </row>
    <row r="203" spans="4:13" ht="25.5" customHeight="1" x14ac:dyDescent="0.25">
      <c r="D203" s="402"/>
      <c r="E203" s="402"/>
      <c r="H203" s="370"/>
      <c r="I203" s="370"/>
      <c r="K203" s="370"/>
      <c r="L203" s="370"/>
      <c r="M203" s="397"/>
    </row>
    <row r="204" spans="4:13" ht="25.5" customHeight="1" x14ac:dyDescent="0.25">
      <c r="D204" s="402"/>
      <c r="E204" s="402"/>
      <c r="H204" s="370"/>
      <c r="I204" s="370"/>
      <c r="K204" s="370"/>
      <c r="L204" s="370"/>
      <c r="M204" s="397"/>
    </row>
    <row r="205" spans="4:13" ht="25.5" customHeight="1" x14ac:dyDescent="0.25">
      <c r="D205" s="402"/>
      <c r="E205" s="402"/>
      <c r="H205" s="370"/>
      <c r="I205" s="370"/>
      <c r="K205" s="370"/>
      <c r="L205" s="370"/>
      <c r="M205" s="397"/>
    </row>
    <row r="206" spans="4:13" ht="25.5" customHeight="1" x14ac:dyDescent="0.25">
      <c r="D206" s="402"/>
      <c r="E206" s="402"/>
      <c r="H206" s="370"/>
      <c r="I206" s="370"/>
      <c r="K206" s="370"/>
      <c r="L206" s="370"/>
      <c r="M206" s="397"/>
    </row>
    <row r="207" spans="4:13" ht="25.5" customHeight="1" x14ac:dyDescent="0.25">
      <c r="D207" s="402"/>
      <c r="E207" s="402"/>
      <c r="H207" s="370"/>
      <c r="I207" s="370"/>
      <c r="K207" s="370"/>
      <c r="L207" s="370"/>
      <c r="M207" s="397"/>
    </row>
    <row r="208" spans="4:13" ht="25.5" customHeight="1" x14ac:dyDescent="0.25">
      <c r="D208" s="402"/>
      <c r="E208" s="402"/>
      <c r="H208" s="370"/>
      <c r="I208" s="370"/>
      <c r="K208" s="370"/>
      <c r="L208" s="370"/>
      <c r="M208" s="397"/>
    </row>
    <row r="209" spans="4:50" ht="25.5" customHeight="1" x14ac:dyDescent="0.25">
      <c r="D209" s="402"/>
      <c r="E209" s="402"/>
      <c r="H209" s="370"/>
      <c r="I209" s="370"/>
      <c r="K209" s="370"/>
      <c r="L209" s="370"/>
      <c r="M209" s="397"/>
      <c r="AW209" s="381"/>
    </row>
    <row r="210" spans="4:50" ht="25.5" customHeight="1" x14ac:dyDescent="0.25">
      <c r="D210" s="402"/>
      <c r="E210" s="402"/>
      <c r="H210" s="370"/>
      <c r="I210" s="370"/>
      <c r="K210" s="370"/>
      <c r="L210" s="370"/>
      <c r="M210" s="397"/>
      <c r="AW210" s="448"/>
      <c r="AX210" s="359"/>
    </row>
    <row r="211" spans="4:50" ht="25.5" customHeight="1" x14ac:dyDescent="0.25">
      <c r="D211" s="402"/>
      <c r="E211" s="402"/>
      <c r="H211" s="370"/>
      <c r="I211" s="370"/>
      <c r="K211" s="370"/>
      <c r="L211" s="370"/>
      <c r="M211" s="397"/>
      <c r="AW211" s="448"/>
      <c r="AX211" s="359"/>
    </row>
    <row r="212" spans="4:50" ht="25.5" customHeight="1" x14ac:dyDescent="0.25">
      <c r="D212" s="402"/>
      <c r="E212" s="402"/>
      <c r="H212" s="370"/>
      <c r="I212" s="370"/>
      <c r="K212" s="370"/>
      <c r="L212" s="370"/>
      <c r="M212" s="397"/>
      <c r="AW212" s="381"/>
    </row>
    <row r="213" spans="4:50" ht="25.5" customHeight="1" x14ac:dyDescent="0.25">
      <c r="D213" s="402"/>
      <c r="E213" s="402"/>
      <c r="H213" s="370"/>
      <c r="I213" s="370"/>
      <c r="K213" s="370"/>
      <c r="L213" s="370"/>
      <c r="M213" s="397"/>
      <c r="AW213" s="448"/>
      <c r="AX213" s="359"/>
    </row>
    <row r="214" spans="4:50" ht="25.5" customHeight="1" x14ac:dyDescent="0.25">
      <c r="D214" s="402"/>
      <c r="E214" s="402"/>
      <c r="H214" s="370"/>
      <c r="I214" s="370"/>
      <c r="K214" s="370"/>
      <c r="L214" s="370"/>
      <c r="M214" s="397"/>
      <c r="AW214" s="448"/>
      <c r="AX214" s="359"/>
    </row>
    <row r="215" spans="4:50" ht="25.5" customHeight="1" x14ac:dyDescent="0.25">
      <c r="D215" s="402"/>
      <c r="E215" s="402"/>
      <c r="H215" s="370"/>
      <c r="I215" s="370"/>
      <c r="K215" s="370"/>
      <c r="L215" s="370"/>
      <c r="M215" s="397"/>
      <c r="AW215" s="381"/>
    </row>
    <row r="216" spans="4:50" ht="25.5" customHeight="1" x14ac:dyDescent="0.25">
      <c r="D216" s="402"/>
      <c r="E216" s="402"/>
      <c r="H216" s="370"/>
      <c r="I216" s="370"/>
      <c r="K216" s="370"/>
      <c r="L216" s="370"/>
      <c r="M216" s="397"/>
      <c r="AW216" s="448"/>
      <c r="AX216" s="359"/>
    </row>
    <row r="217" spans="4:50" ht="25.5" customHeight="1" x14ac:dyDescent="0.25">
      <c r="D217" s="402"/>
      <c r="E217" s="402"/>
      <c r="H217" s="370"/>
      <c r="I217" s="370"/>
      <c r="K217" s="370"/>
      <c r="L217" s="370"/>
      <c r="M217" s="397"/>
      <c r="AW217" s="448"/>
      <c r="AX217" s="359"/>
    </row>
    <row r="218" spans="4:50" ht="25.5" customHeight="1" x14ac:dyDescent="0.25">
      <c r="D218" s="402"/>
      <c r="E218" s="402"/>
      <c r="H218" s="370"/>
      <c r="I218" s="370"/>
      <c r="K218" s="370"/>
      <c r="L218" s="370"/>
      <c r="M218" s="397"/>
      <c r="AW218" s="381"/>
    </row>
    <row r="219" spans="4:50" ht="25.5" customHeight="1" x14ac:dyDescent="0.25">
      <c r="D219" s="402"/>
      <c r="E219" s="402"/>
      <c r="H219" s="370"/>
      <c r="I219" s="370"/>
      <c r="K219" s="370"/>
      <c r="L219" s="370"/>
      <c r="M219" s="397"/>
      <c r="AW219" s="448"/>
      <c r="AX219" s="359"/>
    </row>
    <row r="220" spans="4:50" ht="25.5" customHeight="1" x14ac:dyDescent="0.25">
      <c r="D220" s="402"/>
      <c r="E220" s="402"/>
      <c r="H220" s="370"/>
      <c r="I220" s="370"/>
      <c r="K220" s="370"/>
      <c r="L220" s="370"/>
      <c r="M220" s="397"/>
      <c r="AW220" s="381"/>
    </row>
    <row r="221" spans="4:50" ht="25.5" customHeight="1" x14ac:dyDescent="0.25">
      <c r="D221" s="402"/>
      <c r="E221" s="402"/>
      <c r="H221" s="370"/>
      <c r="I221" s="370"/>
      <c r="K221" s="370"/>
      <c r="L221" s="370"/>
      <c r="M221" s="397"/>
      <c r="AW221" s="448"/>
      <c r="AX221" s="359"/>
    </row>
    <row r="222" spans="4:50" ht="25.5" customHeight="1" x14ac:dyDescent="0.25">
      <c r="D222" s="402"/>
      <c r="E222" s="402"/>
      <c r="H222" s="370"/>
      <c r="I222" s="370"/>
      <c r="K222" s="370"/>
      <c r="L222" s="370"/>
      <c r="M222" s="397"/>
      <c r="AW222" s="448"/>
      <c r="AX222" s="359"/>
    </row>
    <row r="223" spans="4:50" ht="25.5" customHeight="1" x14ac:dyDescent="0.25">
      <c r="D223" s="402"/>
      <c r="E223" s="402"/>
      <c r="H223" s="370"/>
      <c r="I223" s="370"/>
      <c r="K223" s="370"/>
      <c r="L223" s="370"/>
      <c r="M223" s="397"/>
      <c r="AW223" s="381"/>
    </row>
    <row r="224" spans="4:50" ht="25.5" customHeight="1" x14ac:dyDescent="0.25">
      <c r="D224" s="402"/>
      <c r="E224" s="402"/>
      <c r="H224" s="370"/>
      <c r="I224" s="370"/>
      <c r="K224" s="370"/>
      <c r="L224" s="370"/>
      <c r="M224" s="397"/>
    </row>
    <row r="225" spans="4:13" ht="25.5" customHeight="1" x14ac:dyDescent="0.25">
      <c r="D225" s="402"/>
      <c r="E225" s="402"/>
      <c r="H225" s="370"/>
      <c r="I225" s="370"/>
      <c r="K225" s="370"/>
      <c r="L225" s="370"/>
      <c r="M225" s="397"/>
    </row>
    <row r="226" spans="4:13" ht="25.5" customHeight="1" x14ac:dyDescent="0.25">
      <c r="D226" s="402"/>
      <c r="E226" s="402"/>
      <c r="H226" s="370"/>
      <c r="I226" s="370"/>
      <c r="K226" s="370"/>
      <c r="L226" s="370"/>
      <c r="M226" s="397"/>
    </row>
    <row r="227" spans="4:13" ht="25.5" customHeight="1" x14ac:dyDescent="0.25">
      <c r="D227" s="402"/>
      <c r="E227" s="402"/>
      <c r="H227" s="370"/>
      <c r="I227" s="370"/>
      <c r="K227" s="370"/>
      <c r="L227" s="370"/>
      <c r="M227" s="397"/>
    </row>
    <row r="228" spans="4:13" ht="25.5" customHeight="1" x14ac:dyDescent="0.25">
      <c r="D228" s="402"/>
      <c r="E228" s="402"/>
      <c r="H228" s="370"/>
      <c r="I228" s="370"/>
      <c r="K228" s="370"/>
      <c r="L228" s="370"/>
      <c r="M228" s="397"/>
    </row>
    <row r="229" spans="4:13" ht="25.5" customHeight="1" x14ac:dyDescent="0.25">
      <c r="D229" s="402"/>
      <c r="E229" s="402"/>
      <c r="H229" s="370"/>
      <c r="I229" s="370"/>
      <c r="K229" s="370"/>
      <c r="L229" s="370"/>
      <c r="M229" s="397"/>
    </row>
    <row r="230" spans="4:13" ht="25.5" customHeight="1" x14ac:dyDescent="0.25">
      <c r="D230" s="402"/>
      <c r="E230" s="402"/>
      <c r="H230" s="370"/>
      <c r="I230" s="370"/>
      <c r="K230" s="370"/>
      <c r="L230" s="370"/>
      <c r="M230" s="397"/>
    </row>
    <row r="231" spans="4:13" ht="25.5" customHeight="1" x14ac:dyDescent="0.25">
      <c r="D231" s="402"/>
      <c r="E231" s="402"/>
      <c r="H231" s="370"/>
      <c r="I231" s="370"/>
      <c r="K231" s="370"/>
      <c r="L231" s="370"/>
      <c r="M231" s="397"/>
    </row>
    <row r="232" spans="4:13" ht="25.5" customHeight="1" x14ac:dyDescent="0.25">
      <c r="D232" s="402"/>
      <c r="E232" s="402"/>
      <c r="H232" s="370"/>
      <c r="I232" s="370"/>
      <c r="K232" s="370"/>
      <c r="L232" s="370"/>
      <c r="M232" s="397"/>
    </row>
    <row r="233" spans="4:13" ht="25.5" customHeight="1" x14ac:dyDescent="0.25">
      <c r="D233" s="402"/>
      <c r="E233" s="402"/>
      <c r="H233" s="370"/>
      <c r="I233" s="370"/>
      <c r="K233" s="370"/>
      <c r="L233" s="370"/>
      <c r="M233" s="397"/>
    </row>
    <row r="234" spans="4:13" ht="25.5" customHeight="1" x14ac:dyDescent="0.25">
      <c r="D234" s="402"/>
      <c r="E234" s="402"/>
      <c r="H234" s="370"/>
      <c r="I234" s="370"/>
      <c r="K234" s="370"/>
      <c r="L234" s="370"/>
      <c r="M234" s="397"/>
    </row>
    <row r="235" spans="4:13" ht="25.5" customHeight="1" x14ac:dyDescent="0.25">
      <c r="D235" s="402"/>
      <c r="E235" s="402"/>
      <c r="H235" s="370"/>
      <c r="I235" s="370"/>
      <c r="K235" s="370"/>
      <c r="L235" s="370"/>
      <c r="M235" s="397"/>
    </row>
    <row r="236" spans="4:13" ht="25.5" customHeight="1" x14ac:dyDescent="0.25">
      <c r="D236" s="402"/>
      <c r="E236" s="402"/>
      <c r="H236" s="370"/>
      <c r="I236" s="370"/>
      <c r="K236" s="370"/>
      <c r="L236" s="370"/>
      <c r="M236" s="397"/>
    </row>
    <row r="237" spans="4:13" ht="25.5" customHeight="1" x14ac:dyDescent="0.25">
      <c r="D237" s="402"/>
      <c r="E237" s="402"/>
      <c r="H237" s="370"/>
      <c r="I237" s="370"/>
      <c r="K237" s="370"/>
      <c r="L237" s="370"/>
      <c r="M237" s="397"/>
    </row>
    <row r="238" spans="4:13" ht="25.5" customHeight="1" x14ac:dyDescent="0.25">
      <c r="D238" s="402"/>
      <c r="E238" s="402"/>
      <c r="H238" s="370"/>
      <c r="I238" s="370"/>
      <c r="K238" s="370"/>
      <c r="L238" s="370"/>
      <c r="M238" s="397"/>
    </row>
    <row r="239" spans="4:13" ht="25.5" customHeight="1" x14ac:dyDescent="0.25">
      <c r="D239" s="402"/>
      <c r="E239" s="402"/>
      <c r="H239" s="370"/>
      <c r="I239" s="370"/>
      <c r="K239" s="370"/>
      <c r="L239" s="370"/>
      <c r="M239" s="397"/>
    </row>
    <row r="240" spans="4:13" ht="25.5" customHeight="1" x14ac:dyDescent="0.25">
      <c r="D240" s="402"/>
      <c r="E240" s="402"/>
      <c r="H240" s="370"/>
      <c r="I240" s="370"/>
      <c r="K240" s="370"/>
      <c r="L240" s="370"/>
      <c r="M240" s="397"/>
    </row>
    <row r="241" spans="4:13" ht="25.5" customHeight="1" x14ac:dyDescent="0.25">
      <c r="D241" s="402"/>
      <c r="E241" s="402"/>
      <c r="H241" s="370"/>
      <c r="I241" s="370"/>
      <c r="K241" s="370"/>
      <c r="L241" s="370"/>
      <c r="M241" s="397"/>
    </row>
    <row r="242" spans="4:13" ht="25.5" customHeight="1" x14ac:dyDescent="0.25">
      <c r="D242" s="402"/>
      <c r="E242" s="402"/>
      <c r="H242" s="370"/>
      <c r="I242" s="370"/>
      <c r="K242" s="370"/>
      <c r="L242" s="370"/>
      <c r="M242" s="397"/>
    </row>
    <row r="243" spans="4:13" ht="25.5" customHeight="1" x14ac:dyDescent="0.25">
      <c r="D243" s="402"/>
      <c r="E243" s="402"/>
      <c r="H243" s="370"/>
      <c r="I243" s="370"/>
      <c r="K243" s="370"/>
      <c r="L243" s="370"/>
      <c r="M243" s="397"/>
    </row>
    <row r="244" spans="4:13" ht="25.5" customHeight="1" x14ac:dyDescent="0.25">
      <c r="D244" s="402"/>
      <c r="E244" s="402"/>
      <c r="H244" s="370"/>
      <c r="I244" s="370"/>
      <c r="K244" s="370"/>
      <c r="L244" s="370"/>
      <c r="M244" s="397"/>
    </row>
    <row r="245" spans="4:13" ht="25.5" customHeight="1" x14ac:dyDescent="0.25">
      <c r="D245" s="402"/>
      <c r="E245" s="402"/>
      <c r="H245" s="370"/>
      <c r="I245" s="370"/>
      <c r="K245" s="370"/>
      <c r="L245" s="370"/>
      <c r="M245" s="397"/>
    </row>
    <row r="246" spans="4:13" ht="25.5" customHeight="1" x14ac:dyDescent="0.25">
      <c r="D246" s="402"/>
      <c r="E246" s="402"/>
      <c r="H246" s="370"/>
      <c r="I246" s="370"/>
      <c r="K246" s="370"/>
      <c r="L246" s="370"/>
      <c r="M246" s="397"/>
    </row>
    <row r="247" spans="4:13" ht="25.5" customHeight="1" x14ac:dyDescent="0.25">
      <c r="D247" s="402"/>
      <c r="E247" s="402"/>
      <c r="H247" s="370"/>
      <c r="I247" s="370"/>
      <c r="K247" s="370"/>
      <c r="L247" s="370"/>
      <c r="M247" s="397"/>
    </row>
    <row r="248" spans="4:13" ht="25.5" customHeight="1" x14ac:dyDescent="0.25">
      <c r="D248" s="402"/>
      <c r="E248" s="402"/>
      <c r="H248" s="370"/>
      <c r="I248" s="370"/>
      <c r="K248" s="370"/>
      <c r="L248" s="370"/>
      <c r="M248" s="397"/>
    </row>
    <row r="249" spans="4:13" ht="25.5" customHeight="1" x14ac:dyDescent="0.25">
      <c r="D249" s="402"/>
      <c r="E249" s="402"/>
      <c r="H249" s="370"/>
      <c r="I249" s="370"/>
      <c r="K249" s="370"/>
      <c r="L249" s="370"/>
      <c r="M249" s="397"/>
    </row>
    <row r="250" spans="4:13" ht="25.5" customHeight="1" x14ac:dyDescent="0.25">
      <c r="D250" s="402"/>
      <c r="E250" s="402"/>
      <c r="H250" s="370"/>
      <c r="I250" s="370"/>
      <c r="K250" s="370"/>
      <c r="L250" s="370"/>
      <c r="M250" s="397"/>
    </row>
    <row r="251" spans="4:13" ht="25.5" customHeight="1" x14ac:dyDescent="0.25">
      <c r="D251" s="402"/>
      <c r="E251" s="402"/>
      <c r="H251" s="370"/>
      <c r="I251" s="370"/>
      <c r="K251" s="370"/>
      <c r="L251" s="370"/>
      <c r="M251" s="397"/>
    </row>
    <row r="252" spans="4:13" ht="25.5" customHeight="1" x14ac:dyDescent="0.25">
      <c r="D252" s="402"/>
      <c r="E252" s="402"/>
      <c r="H252" s="370"/>
      <c r="I252" s="370"/>
      <c r="K252" s="370"/>
      <c r="L252" s="370"/>
      <c r="M252" s="397"/>
    </row>
    <row r="253" spans="4:13" ht="25.5" customHeight="1" x14ac:dyDescent="0.25">
      <c r="D253" s="402"/>
      <c r="E253" s="402"/>
      <c r="H253" s="370"/>
      <c r="I253" s="370"/>
      <c r="K253" s="370"/>
      <c r="L253" s="370"/>
      <c r="M253" s="397"/>
    </row>
    <row r="254" spans="4:13" ht="25.5" customHeight="1" x14ac:dyDescent="0.25">
      <c r="D254" s="402"/>
      <c r="E254" s="402"/>
      <c r="H254" s="370"/>
      <c r="I254" s="370"/>
      <c r="K254" s="370"/>
      <c r="L254" s="370"/>
      <c r="M254" s="397"/>
    </row>
    <row r="255" spans="4:13" ht="25.5" customHeight="1" x14ac:dyDescent="0.25">
      <c r="D255" s="402"/>
      <c r="E255" s="402"/>
      <c r="H255" s="370"/>
      <c r="I255" s="370"/>
      <c r="K255" s="370"/>
      <c r="L255" s="370"/>
      <c r="M255" s="397"/>
    </row>
    <row r="256" spans="4:13" ht="25.5" customHeight="1" x14ac:dyDescent="0.25">
      <c r="D256" s="402"/>
      <c r="E256" s="402"/>
      <c r="H256" s="370"/>
      <c r="I256" s="370"/>
      <c r="K256" s="370"/>
      <c r="L256" s="370"/>
      <c r="M256" s="397"/>
    </row>
    <row r="257" spans="4:13" ht="25.5" customHeight="1" x14ac:dyDescent="0.25">
      <c r="D257" s="402"/>
      <c r="E257" s="402"/>
      <c r="H257" s="370"/>
      <c r="I257" s="370"/>
      <c r="K257" s="370"/>
      <c r="L257" s="370"/>
      <c r="M257" s="397"/>
    </row>
    <row r="258" spans="4:13" ht="25.5" customHeight="1" x14ac:dyDescent="0.25">
      <c r="D258" s="402"/>
      <c r="E258" s="402"/>
      <c r="H258" s="370"/>
      <c r="I258" s="370"/>
      <c r="K258" s="370"/>
      <c r="L258" s="370"/>
      <c r="M258" s="397"/>
    </row>
    <row r="259" spans="4:13" ht="25.5" customHeight="1" x14ac:dyDescent="0.25">
      <c r="D259" s="402"/>
      <c r="E259" s="402"/>
      <c r="H259" s="370"/>
      <c r="I259" s="370"/>
      <c r="K259" s="370"/>
      <c r="L259" s="370"/>
      <c r="M259" s="397"/>
    </row>
    <row r="260" spans="4:13" ht="25.5" customHeight="1" x14ac:dyDescent="0.25">
      <c r="D260" s="402"/>
      <c r="E260" s="402"/>
      <c r="H260" s="370"/>
      <c r="I260" s="370"/>
      <c r="K260" s="370"/>
      <c r="L260" s="370"/>
      <c r="M260" s="397"/>
    </row>
    <row r="261" spans="4:13" ht="25.5" customHeight="1" x14ac:dyDescent="0.25">
      <c r="D261" s="402"/>
      <c r="E261" s="402"/>
      <c r="H261" s="370"/>
      <c r="I261" s="370"/>
      <c r="K261" s="370"/>
      <c r="L261" s="370"/>
      <c r="M261" s="397"/>
    </row>
    <row r="262" spans="4:13" ht="25.5" customHeight="1" x14ac:dyDescent="0.25">
      <c r="D262" s="402"/>
      <c r="E262" s="402"/>
      <c r="H262" s="370"/>
      <c r="I262" s="370"/>
      <c r="K262" s="370"/>
      <c r="L262" s="370"/>
      <c r="M262" s="397"/>
    </row>
    <row r="263" spans="4:13" ht="25.5" customHeight="1" x14ac:dyDescent="0.25">
      <c r="D263" s="402"/>
      <c r="E263" s="402"/>
      <c r="H263" s="370"/>
      <c r="I263" s="370"/>
      <c r="K263" s="370"/>
      <c r="L263" s="370"/>
      <c r="M263" s="397"/>
    </row>
    <row r="264" spans="4:13" ht="25.5" customHeight="1" x14ac:dyDescent="0.25">
      <c r="D264" s="402"/>
      <c r="E264" s="402"/>
      <c r="H264" s="370"/>
      <c r="I264" s="370"/>
      <c r="K264" s="370"/>
      <c r="L264" s="370"/>
      <c r="M264" s="397"/>
    </row>
    <row r="265" spans="4:13" ht="25.5" customHeight="1" x14ac:dyDescent="0.25">
      <c r="D265" s="402"/>
      <c r="E265" s="402"/>
      <c r="H265" s="370"/>
      <c r="I265" s="370"/>
      <c r="K265" s="370"/>
      <c r="L265" s="370"/>
      <c r="M265" s="397"/>
    </row>
    <row r="266" spans="4:13" ht="25.5" customHeight="1" x14ac:dyDescent="0.25">
      <c r="D266" s="402"/>
      <c r="E266" s="402"/>
      <c r="H266" s="370"/>
      <c r="I266" s="370"/>
      <c r="K266" s="370"/>
      <c r="L266" s="370"/>
      <c r="M266" s="397"/>
    </row>
    <row r="267" spans="4:13" ht="25.5" customHeight="1" x14ac:dyDescent="0.25">
      <c r="D267" s="402"/>
      <c r="E267" s="402"/>
      <c r="H267" s="370"/>
      <c r="I267" s="370"/>
      <c r="K267" s="370"/>
      <c r="L267" s="370"/>
      <c r="M267" s="397"/>
    </row>
    <row r="268" spans="4:13" ht="25.5" customHeight="1" x14ac:dyDescent="0.25">
      <c r="D268" s="402"/>
      <c r="E268" s="402"/>
      <c r="H268" s="370"/>
      <c r="I268" s="370"/>
      <c r="K268" s="370"/>
      <c r="L268" s="370"/>
      <c r="M268" s="397"/>
    </row>
    <row r="269" spans="4:13" ht="25.5" customHeight="1" x14ac:dyDescent="0.25">
      <c r="D269" s="402"/>
      <c r="E269" s="402"/>
      <c r="H269" s="370"/>
      <c r="I269" s="370"/>
      <c r="K269" s="370"/>
      <c r="L269" s="370"/>
      <c r="M269" s="397"/>
    </row>
    <row r="270" spans="4:13" ht="25.5" customHeight="1" x14ac:dyDescent="0.25">
      <c r="D270" s="402"/>
      <c r="E270" s="402"/>
      <c r="H270" s="370"/>
      <c r="I270" s="370"/>
      <c r="K270" s="370"/>
      <c r="L270" s="370"/>
      <c r="M270" s="397"/>
    </row>
    <row r="271" spans="4:13" ht="25.5" customHeight="1" x14ac:dyDescent="0.25">
      <c r="D271" s="402"/>
      <c r="E271" s="402"/>
      <c r="H271" s="370"/>
      <c r="I271" s="370"/>
      <c r="K271" s="370"/>
      <c r="L271" s="370"/>
      <c r="M271" s="397"/>
    </row>
    <row r="272" spans="4:13" ht="25.5" customHeight="1" x14ac:dyDescent="0.25">
      <c r="D272" s="402"/>
      <c r="E272" s="402"/>
      <c r="H272" s="370"/>
      <c r="I272" s="370"/>
      <c r="K272" s="370"/>
      <c r="L272" s="370"/>
      <c r="M272" s="397"/>
    </row>
    <row r="273" spans="4:13" ht="25.5" customHeight="1" x14ac:dyDescent="0.25">
      <c r="D273" s="402"/>
      <c r="E273" s="402"/>
      <c r="H273" s="370"/>
      <c r="I273" s="370"/>
      <c r="K273" s="370"/>
      <c r="L273" s="370"/>
      <c r="M273" s="397"/>
    </row>
    <row r="274" spans="4:13" ht="25.5" customHeight="1" x14ac:dyDescent="0.25">
      <c r="D274" s="402"/>
      <c r="E274" s="402"/>
      <c r="H274" s="370"/>
      <c r="I274" s="370"/>
      <c r="K274" s="370"/>
      <c r="L274" s="370"/>
      <c r="M274" s="397"/>
    </row>
    <row r="275" spans="4:13" ht="25.5" customHeight="1" x14ac:dyDescent="0.25">
      <c r="D275" s="402"/>
      <c r="E275" s="402"/>
      <c r="H275" s="370"/>
      <c r="I275" s="370"/>
      <c r="K275" s="370"/>
      <c r="L275" s="370"/>
      <c r="M275" s="397"/>
    </row>
    <row r="276" spans="4:13" ht="25.5" customHeight="1" x14ac:dyDescent="0.25">
      <c r="D276" s="402"/>
      <c r="E276" s="402"/>
      <c r="H276" s="370"/>
      <c r="I276" s="370"/>
      <c r="K276" s="370"/>
      <c r="L276" s="370"/>
      <c r="M276" s="397"/>
    </row>
    <row r="277" spans="4:13" ht="25.5" customHeight="1" x14ac:dyDescent="0.25">
      <c r="D277" s="402"/>
      <c r="E277" s="402"/>
      <c r="H277" s="370"/>
      <c r="I277" s="370"/>
      <c r="K277" s="370"/>
      <c r="L277" s="370"/>
      <c r="M277" s="397"/>
    </row>
    <row r="278" spans="4:13" ht="25.5" customHeight="1" x14ac:dyDescent="0.25">
      <c r="D278" s="402"/>
      <c r="E278" s="402"/>
      <c r="H278" s="370"/>
      <c r="I278" s="370"/>
      <c r="K278" s="370"/>
      <c r="L278" s="370"/>
      <c r="M278" s="397"/>
    </row>
    <row r="279" spans="4:13" ht="25.5" customHeight="1" x14ac:dyDescent="0.25">
      <c r="D279" s="402"/>
      <c r="E279" s="402"/>
      <c r="H279" s="370"/>
      <c r="I279" s="370"/>
      <c r="K279" s="370"/>
      <c r="L279" s="370"/>
      <c r="M279" s="397"/>
    </row>
    <row r="280" spans="4:13" ht="25.5" customHeight="1" x14ac:dyDescent="0.25">
      <c r="D280" s="402"/>
      <c r="E280" s="402"/>
      <c r="H280" s="370"/>
      <c r="I280" s="370"/>
      <c r="K280" s="370"/>
      <c r="L280" s="370"/>
      <c r="M280" s="397"/>
    </row>
    <row r="281" spans="4:13" ht="25.5" customHeight="1" x14ac:dyDescent="0.25">
      <c r="D281" s="402"/>
      <c r="E281" s="402"/>
      <c r="H281" s="370"/>
      <c r="I281" s="370"/>
      <c r="K281" s="370"/>
      <c r="L281" s="370"/>
      <c r="M281" s="397"/>
    </row>
    <row r="282" spans="4:13" ht="25.5" customHeight="1" x14ac:dyDescent="0.25">
      <c r="D282" s="402"/>
      <c r="E282" s="402"/>
      <c r="H282" s="370"/>
      <c r="I282" s="370"/>
      <c r="K282" s="370"/>
      <c r="L282" s="370"/>
      <c r="M282" s="397"/>
    </row>
    <row r="283" spans="4:13" ht="25.5" customHeight="1" x14ac:dyDescent="0.25">
      <c r="D283" s="402"/>
      <c r="E283" s="402"/>
      <c r="H283" s="370"/>
      <c r="I283" s="370"/>
      <c r="K283" s="370"/>
      <c r="L283" s="370"/>
      <c r="M283" s="397"/>
    </row>
    <row r="284" spans="4:13" ht="25.5" customHeight="1" x14ac:dyDescent="0.25">
      <c r="D284" s="402"/>
      <c r="E284" s="402"/>
      <c r="H284" s="370"/>
      <c r="I284" s="370"/>
      <c r="K284" s="370"/>
      <c r="L284" s="370"/>
      <c r="M284" s="397"/>
    </row>
    <row r="285" spans="4:13" ht="25.5" customHeight="1" x14ac:dyDescent="0.25">
      <c r="D285" s="402"/>
      <c r="E285" s="402"/>
      <c r="H285" s="370"/>
      <c r="I285" s="370"/>
      <c r="K285" s="370"/>
      <c r="L285" s="370"/>
      <c r="M285" s="397"/>
    </row>
    <row r="286" spans="4:13" ht="25.5" customHeight="1" x14ac:dyDescent="0.25">
      <c r="D286" s="402"/>
      <c r="E286" s="402"/>
      <c r="H286" s="370"/>
      <c r="I286" s="370"/>
      <c r="K286" s="370"/>
      <c r="L286" s="370"/>
      <c r="M286" s="397"/>
    </row>
    <row r="287" spans="4:13" ht="25.5" customHeight="1" x14ac:dyDescent="0.25">
      <c r="D287" s="402"/>
      <c r="E287" s="402"/>
      <c r="H287" s="370"/>
      <c r="I287" s="370"/>
      <c r="K287" s="370"/>
      <c r="L287" s="370"/>
      <c r="M287" s="397"/>
    </row>
    <row r="288" spans="4:13" ht="25.5" customHeight="1" x14ac:dyDescent="0.25">
      <c r="D288" s="402"/>
      <c r="E288" s="402"/>
      <c r="H288" s="370"/>
      <c r="I288" s="370"/>
      <c r="K288" s="370"/>
      <c r="L288" s="370"/>
      <c r="M288" s="397"/>
    </row>
    <row r="289" spans="4:13" ht="25.5" customHeight="1" x14ac:dyDescent="0.25">
      <c r="D289" s="402"/>
      <c r="E289" s="402"/>
      <c r="H289" s="370"/>
      <c r="I289" s="370"/>
      <c r="K289" s="370"/>
      <c r="L289" s="370"/>
      <c r="M289" s="397"/>
    </row>
    <row r="290" spans="4:13" ht="25.5" customHeight="1" x14ac:dyDescent="0.25">
      <c r="D290" s="402"/>
      <c r="E290" s="402"/>
      <c r="H290" s="370"/>
      <c r="I290" s="370"/>
      <c r="K290" s="370"/>
      <c r="L290" s="370"/>
      <c r="M290" s="397"/>
    </row>
    <row r="291" spans="4:13" ht="25.5" customHeight="1" x14ac:dyDescent="0.25">
      <c r="D291" s="402"/>
      <c r="E291" s="402"/>
      <c r="H291" s="370"/>
      <c r="I291" s="370"/>
      <c r="K291" s="370"/>
      <c r="L291" s="370"/>
      <c r="M291" s="397"/>
    </row>
    <row r="292" spans="4:13" ht="25.5" customHeight="1" x14ac:dyDescent="0.25">
      <c r="D292" s="402"/>
      <c r="E292" s="402"/>
      <c r="H292" s="370"/>
      <c r="I292" s="370"/>
      <c r="K292" s="370"/>
      <c r="L292" s="370"/>
      <c r="M292" s="397"/>
    </row>
    <row r="293" spans="4:13" ht="25.5" customHeight="1" x14ac:dyDescent="0.25">
      <c r="D293" s="402"/>
      <c r="E293" s="402"/>
      <c r="H293" s="370"/>
      <c r="I293" s="370"/>
      <c r="K293" s="370"/>
      <c r="L293" s="370"/>
      <c r="M293" s="397"/>
    </row>
    <row r="294" spans="4:13" ht="25.5" customHeight="1" x14ac:dyDescent="0.25">
      <c r="D294" s="402"/>
      <c r="E294" s="402"/>
      <c r="H294" s="370"/>
      <c r="I294" s="370"/>
      <c r="K294" s="370"/>
      <c r="L294" s="370"/>
      <c r="M294" s="397"/>
    </row>
    <row r="295" spans="4:13" ht="25.5" customHeight="1" x14ac:dyDescent="0.25">
      <c r="D295" s="402"/>
      <c r="E295" s="402"/>
      <c r="H295" s="370"/>
      <c r="I295" s="370"/>
      <c r="K295" s="370"/>
      <c r="L295" s="370"/>
      <c r="M295" s="397"/>
    </row>
    <row r="296" spans="4:13" ht="25.5" customHeight="1" x14ac:dyDescent="0.25">
      <c r="D296" s="402"/>
      <c r="E296" s="402"/>
      <c r="H296" s="370"/>
      <c r="I296" s="370"/>
      <c r="K296" s="370"/>
      <c r="L296" s="370"/>
      <c r="M296" s="397"/>
    </row>
    <row r="297" spans="4:13" ht="25.5" customHeight="1" x14ac:dyDescent="0.25">
      <c r="D297" s="402"/>
      <c r="E297" s="402"/>
      <c r="H297" s="370"/>
      <c r="I297" s="370"/>
      <c r="K297" s="370"/>
      <c r="L297" s="370"/>
      <c r="M297" s="397"/>
    </row>
    <row r="298" spans="4:13" ht="25.5" customHeight="1" x14ac:dyDescent="0.25">
      <c r="D298" s="449"/>
      <c r="E298" s="449"/>
      <c r="H298" s="370"/>
      <c r="I298" s="370"/>
      <c r="K298" s="370"/>
      <c r="L298" s="370"/>
    </row>
    <row r="299" spans="4:13" ht="25.5" customHeight="1" x14ac:dyDescent="0.25">
      <c r="D299" s="449"/>
      <c r="E299" s="449"/>
      <c r="H299" s="370"/>
      <c r="I299" s="370"/>
      <c r="K299" s="370"/>
      <c r="L299" s="370"/>
    </row>
    <row r="300" spans="4:13" ht="25.5" customHeight="1" x14ac:dyDescent="0.25">
      <c r="D300" s="449"/>
      <c r="E300" s="449"/>
      <c r="H300" s="370"/>
      <c r="I300" s="370"/>
      <c r="K300" s="370"/>
      <c r="L300" s="370"/>
    </row>
    <row r="301" spans="4:13" ht="25.5" customHeight="1" x14ac:dyDescent="0.25">
      <c r="D301" s="449"/>
      <c r="E301" s="449"/>
      <c r="H301" s="370"/>
      <c r="I301" s="370"/>
      <c r="K301" s="370"/>
      <c r="L301" s="370"/>
    </row>
    <row r="302" spans="4:13" ht="25.5" customHeight="1" x14ac:dyDescent="0.25">
      <c r="D302" s="449"/>
      <c r="E302" s="449"/>
      <c r="H302" s="370"/>
      <c r="I302" s="370"/>
      <c r="K302" s="370"/>
      <c r="L302" s="370"/>
    </row>
    <row r="303" spans="4:13" ht="25.5" customHeight="1" x14ac:dyDescent="0.25">
      <c r="D303" s="449"/>
      <c r="E303" s="449"/>
      <c r="H303" s="370"/>
      <c r="I303" s="370"/>
      <c r="K303" s="370"/>
      <c r="L303" s="370"/>
    </row>
    <row r="304" spans="4:13" ht="25.5" customHeight="1" x14ac:dyDescent="0.25">
      <c r="D304" s="449"/>
      <c r="E304" s="449"/>
      <c r="H304" s="370"/>
      <c r="I304" s="370"/>
      <c r="K304" s="370"/>
      <c r="L304" s="370"/>
    </row>
    <row r="305" spans="4:12" ht="25.5" customHeight="1" x14ac:dyDescent="0.25">
      <c r="D305" s="449"/>
      <c r="E305" s="449"/>
      <c r="H305" s="370"/>
      <c r="I305" s="370"/>
      <c r="K305" s="370"/>
      <c r="L305" s="370"/>
    </row>
    <row r="306" spans="4:12" ht="25.5" customHeight="1" x14ac:dyDescent="0.25">
      <c r="D306" s="449"/>
      <c r="E306" s="449"/>
      <c r="H306" s="370"/>
      <c r="I306" s="370"/>
      <c r="K306" s="370"/>
      <c r="L306" s="370"/>
    </row>
    <row r="307" spans="4:12" ht="25.5" customHeight="1" x14ac:dyDescent="0.25">
      <c r="D307" s="449"/>
      <c r="E307" s="449"/>
      <c r="H307" s="370"/>
      <c r="I307" s="370"/>
      <c r="K307" s="370"/>
      <c r="L307" s="370"/>
    </row>
    <row r="308" spans="4:12" ht="25.5" customHeight="1" x14ac:dyDescent="0.25">
      <c r="D308" s="449"/>
      <c r="E308" s="449"/>
      <c r="H308" s="370"/>
      <c r="I308" s="370"/>
      <c r="K308" s="370"/>
      <c r="L308" s="370"/>
    </row>
    <row r="309" spans="4:12" ht="25.5" customHeight="1" x14ac:dyDescent="0.25">
      <c r="D309" s="449"/>
      <c r="E309" s="449"/>
      <c r="H309" s="370"/>
      <c r="I309" s="370"/>
      <c r="K309" s="370"/>
      <c r="L309" s="370"/>
    </row>
    <row r="310" spans="4:12" ht="25.5" customHeight="1" x14ac:dyDescent="0.25">
      <c r="D310" s="449"/>
      <c r="E310" s="449"/>
      <c r="H310" s="370"/>
      <c r="I310" s="370"/>
      <c r="K310" s="370"/>
      <c r="L310" s="370"/>
    </row>
    <row r="311" spans="4:12" ht="25.5" customHeight="1" x14ac:dyDescent="0.25">
      <c r="D311" s="449"/>
      <c r="E311" s="449"/>
      <c r="H311" s="370"/>
      <c r="I311" s="370"/>
      <c r="K311" s="370"/>
      <c r="L311" s="370"/>
    </row>
    <row r="312" spans="4:12" ht="25.5" customHeight="1" x14ac:dyDescent="0.25">
      <c r="D312" s="449"/>
      <c r="E312" s="449"/>
      <c r="H312" s="370"/>
      <c r="I312" s="370"/>
      <c r="K312" s="370"/>
      <c r="L312" s="370"/>
    </row>
    <row r="313" spans="4:12" ht="25.5" customHeight="1" x14ac:dyDescent="0.25">
      <c r="D313" s="449"/>
      <c r="E313" s="449"/>
      <c r="H313" s="370"/>
      <c r="I313" s="370"/>
      <c r="K313" s="370"/>
      <c r="L313" s="370"/>
    </row>
    <row r="314" spans="4:12" ht="25.5" customHeight="1" x14ac:dyDescent="0.25">
      <c r="D314" s="449"/>
      <c r="E314" s="449"/>
      <c r="H314" s="370"/>
      <c r="I314" s="370"/>
      <c r="K314" s="370"/>
      <c r="L314" s="370"/>
    </row>
    <row r="315" spans="4:12" ht="25.5" customHeight="1" x14ac:dyDescent="0.25">
      <c r="D315" s="449"/>
      <c r="E315" s="449"/>
      <c r="H315" s="370"/>
      <c r="I315" s="370"/>
      <c r="K315" s="370"/>
      <c r="L315" s="370"/>
    </row>
    <row r="316" spans="4:12" ht="25.5" customHeight="1" x14ac:dyDescent="0.25">
      <c r="D316" s="449"/>
      <c r="E316" s="449"/>
      <c r="H316" s="370"/>
      <c r="I316" s="370"/>
      <c r="K316" s="370"/>
      <c r="L316" s="370"/>
    </row>
    <row r="317" spans="4:12" ht="25.5" customHeight="1" x14ac:dyDescent="0.25">
      <c r="D317" s="449"/>
      <c r="E317" s="449"/>
      <c r="H317" s="370"/>
      <c r="I317" s="370"/>
      <c r="K317" s="370"/>
      <c r="L317" s="370"/>
    </row>
    <row r="318" spans="4:12" ht="25.5" customHeight="1" x14ac:dyDescent="0.25">
      <c r="D318" s="449"/>
      <c r="E318" s="449"/>
      <c r="H318" s="370"/>
      <c r="I318" s="370"/>
      <c r="K318" s="370"/>
      <c r="L318" s="370"/>
    </row>
    <row r="319" spans="4:12" ht="25.5" customHeight="1" x14ac:dyDescent="0.25">
      <c r="D319" s="449"/>
      <c r="E319" s="449"/>
      <c r="H319" s="370"/>
      <c r="I319" s="370"/>
      <c r="K319" s="370"/>
      <c r="L319" s="370"/>
    </row>
    <row r="320" spans="4:12" ht="25.5" customHeight="1" x14ac:dyDescent="0.25">
      <c r="D320" s="449"/>
      <c r="E320" s="449"/>
      <c r="H320" s="370"/>
      <c r="I320" s="370"/>
      <c r="K320" s="370"/>
      <c r="L320" s="370"/>
    </row>
    <row r="321" spans="4:12" ht="25.5" customHeight="1" x14ac:dyDescent="0.25">
      <c r="D321" s="449"/>
      <c r="E321" s="449"/>
      <c r="H321" s="370"/>
      <c r="I321" s="370"/>
      <c r="K321" s="370"/>
      <c r="L321" s="370"/>
    </row>
    <row r="322" spans="4:12" ht="25.5" customHeight="1" x14ac:dyDescent="0.25">
      <c r="D322" s="449"/>
      <c r="E322" s="449"/>
      <c r="H322" s="370"/>
      <c r="I322" s="370"/>
      <c r="K322" s="370"/>
      <c r="L322" s="370"/>
    </row>
    <row r="323" spans="4:12" ht="25.5" customHeight="1" x14ac:dyDescent="0.25">
      <c r="D323" s="449"/>
      <c r="E323" s="449"/>
      <c r="H323" s="370"/>
      <c r="I323" s="370"/>
      <c r="K323" s="370"/>
      <c r="L323" s="370"/>
    </row>
    <row r="324" spans="4:12" ht="25.5" customHeight="1" x14ac:dyDescent="0.25">
      <c r="D324" s="449"/>
      <c r="E324" s="449"/>
      <c r="H324" s="370"/>
      <c r="I324" s="370"/>
      <c r="K324" s="370"/>
      <c r="L324" s="370"/>
    </row>
    <row r="325" spans="4:12" ht="25.5" customHeight="1" x14ac:dyDescent="0.25">
      <c r="D325" s="449"/>
      <c r="E325" s="449"/>
      <c r="H325" s="370"/>
      <c r="I325" s="370"/>
      <c r="K325" s="370"/>
      <c r="L325" s="370"/>
    </row>
    <row r="326" spans="4:12" ht="25.5" customHeight="1" x14ac:dyDescent="0.25">
      <c r="D326" s="449"/>
      <c r="E326" s="449"/>
      <c r="H326" s="370"/>
      <c r="I326" s="370"/>
      <c r="K326" s="370"/>
      <c r="L326" s="370"/>
    </row>
    <row r="327" spans="4:12" ht="25.5" customHeight="1" x14ac:dyDescent="0.25">
      <c r="D327" s="449"/>
      <c r="E327" s="449"/>
      <c r="H327" s="370"/>
      <c r="I327" s="370"/>
      <c r="K327" s="370"/>
      <c r="L327" s="370"/>
    </row>
    <row r="328" spans="4:12" ht="25.5" customHeight="1" x14ac:dyDescent="0.25">
      <c r="D328" s="449"/>
      <c r="E328" s="449"/>
      <c r="H328" s="370"/>
      <c r="I328" s="370"/>
      <c r="K328" s="370"/>
      <c r="L328" s="370"/>
    </row>
    <row r="329" spans="4:12" ht="25.5" customHeight="1" x14ac:dyDescent="0.25">
      <c r="D329" s="449"/>
      <c r="E329" s="449"/>
      <c r="H329" s="370"/>
      <c r="I329" s="370"/>
      <c r="K329" s="370"/>
      <c r="L329" s="370"/>
    </row>
    <row r="330" spans="4:12" ht="25.5" customHeight="1" x14ac:dyDescent="0.25">
      <c r="D330" s="449"/>
      <c r="E330" s="449"/>
      <c r="H330" s="370"/>
      <c r="I330" s="370"/>
      <c r="K330" s="370"/>
      <c r="L330" s="370"/>
    </row>
    <row r="331" spans="4:12" ht="25.5" customHeight="1" x14ac:dyDescent="0.25">
      <c r="D331" s="449"/>
      <c r="E331" s="449"/>
      <c r="H331" s="370"/>
      <c r="I331" s="370"/>
      <c r="K331" s="370"/>
      <c r="L331" s="370"/>
    </row>
    <row r="332" spans="4:12" ht="25.5" customHeight="1" x14ac:dyDescent="0.25">
      <c r="D332" s="449"/>
      <c r="E332" s="449"/>
      <c r="H332" s="370"/>
      <c r="I332" s="370"/>
      <c r="K332" s="370"/>
      <c r="L332" s="370"/>
    </row>
    <row r="333" spans="4:12" ht="25.5" customHeight="1" x14ac:dyDescent="0.25">
      <c r="D333" s="449"/>
      <c r="E333" s="449"/>
      <c r="H333" s="370"/>
      <c r="I333" s="370"/>
      <c r="K333" s="370"/>
      <c r="L333" s="370"/>
    </row>
    <row r="334" spans="4:12" ht="25.5" customHeight="1" x14ac:dyDescent="0.25">
      <c r="D334" s="449"/>
      <c r="E334" s="449"/>
      <c r="H334" s="370"/>
      <c r="I334" s="370"/>
      <c r="K334" s="370"/>
      <c r="L334" s="370"/>
    </row>
    <row r="335" spans="4:12" ht="25.5" customHeight="1" x14ac:dyDescent="0.25">
      <c r="D335" s="449"/>
      <c r="E335" s="449"/>
      <c r="H335" s="370"/>
      <c r="I335" s="370"/>
      <c r="K335" s="370"/>
      <c r="L335" s="370"/>
    </row>
    <row r="336" spans="4:12" ht="25.5" customHeight="1" x14ac:dyDescent="0.25">
      <c r="D336" s="449"/>
      <c r="E336" s="449"/>
      <c r="H336" s="370"/>
      <c r="I336" s="370"/>
      <c r="K336" s="370"/>
      <c r="L336" s="370"/>
    </row>
    <row r="337" spans="4:12" ht="25.5" customHeight="1" x14ac:dyDescent="0.25">
      <c r="D337" s="449"/>
      <c r="E337" s="449"/>
      <c r="H337" s="370"/>
      <c r="I337" s="370"/>
      <c r="K337" s="370"/>
      <c r="L337" s="370"/>
    </row>
    <row r="338" spans="4:12" ht="25.5" customHeight="1" x14ac:dyDescent="0.25">
      <c r="D338" s="449"/>
      <c r="E338" s="449"/>
      <c r="H338" s="370"/>
      <c r="I338" s="370"/>
      <c r="K338" s="370"/>
      <c r="L338" s="370"/>
    </row>
    <row r="339" spans="4:12" ht="25.5" customHeight="1" x14ac:dyDescent="0.25">
      <c r="D339" s="449"/>
      <c r="E339" s="449"/>
      <c r="H339" s="370"/>
      <c r="I339" s="370"/>
      <c r="K339" s="370"/>
      <c r="L339" s="370"/>
    </row>
    <row r="340" spans="4:12" ht="25.5" customHeight="1" x14ac:dyDescent="0.25">
      <c r="D340" s="449"/>
      <c r="E340" s="449"/>
      <c r="H340" s="370"/>
      <c r="I340" s="370"/>
      <c r="K340" s="370"/>
      <c r="L340" s="370"/>
    </row>
    <row r="341" spans="4:12" ht="25.5" customHeight="1" x14ac:dyDescent="0.25">
      <c r="D341" s="449"/>
      <c r="E341" s="449"/>
      <c r="H341" s="370"/>
      <c r="I341" s="370"/>
      <c r="K341" s="370"/>
      <c r="L341" s="370"/>
    </row>
    <row r="342" spans="4:12" ht="25.5" customHeight="1" x14ac:dyDescent="0.25">
      <c r="D342" s="449"/>
      <c r="E342" s="449"/>
      <c r="H342" s="370"/>
      <c r="I342" s="370"/>
      <c r="K342" s="370"/>
      <c r="L342" s="370"/>
    </row>
    <row r="343" spans="4:12" ht="25.5" customHeight="1" x14ac:dyDescent="0.25">
      <c r="D343" s="449"/>
      <c r="E343" s="449"/>
      <c r="H343" s="370"/>
      <c r="I343" s="370"/>
      <c r="K343" s="370"/>
      <c r="L343" s="370"/>
    </row>
    <row r="344" spans="4:12" ht="25.5" customHeight="1" x14ac:dyDescent="0.25">
      <c r="D344" s="449"/>
      <c r="E344" s="449"/>
      <c r="H344" s="370"/>
      <c r="I344" s="370"/>
      <c r="K344" s="370"/>
      <c r="L344" s="370"/>
    </row>
    <row r="345" spans="4:12" ht="25.5" customHeight="1" x14ac:dyDescent="0.25">
      <c r="D345" s="449"/>
      <c r="E345" s="449"/>
      <c r="H345" s="370"/>
      <c r="I345" s="370"/>
      <c r="K345" s="370"/>
      <c r="L345" s="370"/>
    </row>
    <row r="346" spans="4:12" ht="25.5" customHeight="1" x14ac:dyDescent="0.25">
      <c r="D346" s="449"/>
      <c r="E346" s="449"/>
      <c r="H346" s="370"/>
      <c r="I346" s="370"/>
      <c r="K346" s="370"/>
      <c r="L346" s="370"/>
    </row>
    <row r="347" spans="4:12" ht="25.5" customHeight="1" x14ac:dyDescent="0.25">
      <c r="D347" s="449"/>
      <c r="E347" s="449"/>
      <c r="H347" s="370"/>
      <c r="I347" s="370"/>
      <c r="K347" s="370"/>
      <c r="L347" s="370"/>
    </row>
    <row r="348" spans="4:12" ht="25.5" customHeight="1" x14ac:dyDescent="0.25">
      <c r="D348" s="449"/>
      <c r="E348" s="449"/>
      <c r="H348" s="370"/>
      <c r="I348" s="370"/>
      <c r="K348" s="370"/>
      <c r="L348" s="370"/>
    </row>
    <row r="349" spans="4:12" ht="25.5" customHeight="1" x14ac:dyDescent="0.25">
      <c r="D349" s="449"/>
      <c r="E349" s="449"/>
      <c r="H349" s="370"/>
      <c r="I349" s="370"/>
      <c r="K349" s="370"/>
      <c r="L349" s="370"/>
    </row>
    <row r="350" spans="4:12" ht="25.5" customHeight="1" x14ac:dyDescent="0.25">
      <c r="D350" s="449"/>
      <c r="E350" s="449"/>
      <c r="H350" s="370"/>
      <c r="I350" s="370"/>
      <c r="K350" s="370"/>
      <c r="L350" s="370"/>
    </row>
    <row r="351" spans="4:12" ht="25.5" customHeight="1" x14ac:dyDescent="0.25">
      <c r="D351" s="449"/>
      <c r="E351" s="449"/>
      <c r="H351" s="370"/>
      <c r="I351" s="370"/>
      <c r="K351" s="370"/>
      <c r="L351" s="370"/>
    </row>
    <row r="352" spans="4:12" ht="25.5" customHeight="1" x14ac:dyDescent="0.25">
      <c r="D352" s="449"/>
      <c r="E352" s="449"/>
      <c r="H352" s="370"/>
      <c r="I352" s="370"/>
      <c r="K352" s="370"/>
      <c r="L352" s="370"/>
    </row>
    <row r="353" spans="4:12" ht="25.5" customHeight="1" x14ac:dyDescent="0.25">
      <c r="D353" s="449"/>
      <c r="E353" s="449"/>
      <c r="H353" s="370"/>
      <c r="I353" s="370"/>
      <c r="K353" s="370"/>
      <c r="L353" s="370"/>
    </row>
    <row r="354" spans="4:12" ht="25.5" customHeight="1" x14ac:dyDescent="0.25">
      <c r="D354" s="449"/>
      <c r="E354" s="449"/>
      <c r="H354" s="370"/>
      <c r="I354" s="370"/>
      <c r="K354" s="370"/>
      <c r="L354" s="370"/>
    </row>
    <row r="355" spans="4:12" ht="25.5" customHeight="1" x14ac:dyDescent="0.25">
      <c r="D355" s="449"/>
      <c r="E355" s="449"/>
      <c r="H355" s="370"/>
      <c r="I355" s="370"/>
      <c r="K355" s="370"/>
      <c r="L355" s="370"/>
    </row>
    <row r="356" spans="4:12" ht="25.5" customHeight="1" x14ac:dyDescent="0.25">
      <c r="D356" s="449"/>
      <c r="E356" s="449"/>
      <c r="H356" s="370"/>
      <c r="I356" s="370"/>
      <c r="K356" s="370"/>
      <c r="L356" s="370"/>
    </row>
    <row r="357" spans="4:12" ht="25.5" customHeight="1" x14ac:dyDescent="0.25">
      <c r="D357" s="449"/>
      <c r="E357" s="449"/>
      <c r="H357" s="370"/>
      <c r="I357" s="370"/>
      <c r="K357" s="370"/>
      <c r="L357" s="370"/>
    </row>
    <row r="358" spans="4:12" ht="25.5" customHeight="1" x14ac:dyDescent="0.25">
      <c r="D358" s="449"/>
      <c r="E358" s="449"/>
      <c r="H358" s="370"/>
      <c r="I358" s="370"/>
      <c r="K358" s="370"/>
      <c r="L358" s="370"/>
    </row>
    <row r="359" spans="4:12" ht="25.5" customHeight="1" x14ac:dyDescent="0.25">
      <c r="D359" s="449"/>
      <c r="E359" s="449"/>
      <c r="H359" s="370"/>
      <c r="I359" s="370"/>
      <c r="K359" s="370"/>
      <c r="L359" s="370"/>
    </row>
    <row r="360" spans="4:12" ht="25.5" customHeight="1" x14ac:dyDescent="0.25">
      <c r="D360" s="449"/>
      <c r="E360" s="449"/>
      <c r="H360" s="370"/>
      <c r="I360" s="370"/>
      <c r="K360" s="370"/>
      <c r="L360" s="370"/>
    </row>
    <row r="361" spans="4:12" ht="25.5" customHeight="1" x14ac:dyDescent="0.25">
      <c r="D361" s="449"/>
      <c r="E361" s="449"/>
      <c r="H361" s="370"/>
      <c r="I361" s="370"/>
      <c r="K361" s="370"/>
      <c r="L361" s="370"/>
    </row>
    <row r="362" spans="4:12" ht="25.5" customHeight="1" x14ac:dyDescent="0.25">
      <c r="D362" s="449"/>
      <c r="E362" s="449"/>
      <c r="H362" s="370"/>
      <c r="I362" s="370"/>
      <c r="K362" s="370"/>
      <c r="L362" s="370"/>
    </row>
    <row r="363" spans="4:12" ht="25.5" customHeight="1" x14ac:dyDescent="0.25">
      <c r="D363" s="449"/>
      <c r="E363" s="449"/>
      <c r="H363" s="370"/>
      <c r="I363" s="370"/>
      <c r="K363" s="370"/>
      <c r="L363" s="370"/>
    </row>
    <row r="364" spans="4:12" ht="25.5" customHeight="1" x14ac:dyDescent="0.25">
      <c r="D364" s="449"/>
      <c r="E364" s="449"/>
      <c r="H364" s="370"/>
      <c r="I364" s="370"/>
      <c r="K364" s="370"/>
      <c r="L364" s="370"/>
    </row>
    <row r="365" spans="4:12" ht="25.5" customHeight="1" x14ac:dyDescent="0.25">
      <c r="D365" s="449"/>
      <c r="E365" s="449"/>
      <c r="H365" s="370"/>
      <c r="I365" s="370"/>
      <c r="K365" s="370"/>
      <c r="L365" s="370"/>
    </row>
    <row r="366" spans="4:12" ht="25.5" customHeight="1" x14ac:dyDescent="0.25">
      <c r="D366" s="449"/>
      <c r="E366" s="449"/>
      <c r="H366" s="370"/>
      <c r="I366" s="370"/>
      <c r="K366" s="370"/>
      <c r="L366" s="370"/>
    </row>
    <row r="367" spans="4:12" ht="25.5" customHeight="1" x14ac:dyDescent="0.25">
      <c r="D367" s="449"/>
      <c r="E367" s="449"/>
      <c r="H367" s="370"/>
      <c r="I367" s="370"/>
      <c r="K367" s="370"/>
      <c r="L367" s="370"/>
    </row>
    <row r="368" spans="4:12" ht="25.5" customHeight="1" x14ac:dyDescent="0.25">
      <c r="D368" s="449"/>
      <c r="E368" s="449"/>
      <c r="H368" s="370"/>
      <c r="I368" s="370"/>
      <c r="K368" s="370"/>
      <c r="L368" s="370"/>
    </row>
    <row r="369" spans="4:12" ht="25.5" customHeight="1" x14ac:dyDescent="0.25">
      <c r="D369" s="449"/>
      <c r="E369" s="449"/>
      <c r="H369" s="370"/>
      <c r="I369" s="370"/>
      <c r="K369" s="370"/>
      <c r="L369" s="370"/>
    </row>
    <row r="370" spans="4:12" ht="25.5" customHeight="1" x14ac:dyDescent="0.25">
      <c r="D370" s="449"/>
      <c r="E370" s="449"/>
      <c r="H370" s="370"/>
      <c r="I370" s="370"/>
      <c r="K370" s="370"/>
      <c r="L370" s="370"/>
    </row>
    <row r="371" spans="4:12" ht="25.5" customHeight="1" x14ac:dyDescent="0.25">
      <c r="D371" s="449"/>
      <c r="E371" s="449"/>
      <c r="H371" s="370"/>
      <c r="I371" s="370"/>
      <c r="K371" s="370"/>
      <c r="L371" s="370"/>
    </row>
    <row r="372" spans="4:12" ht="25.5" customHeight="1" x14ac:dyDescent="0.25">
      <c r="D372" s="449"/>
      <c r="E372" s="449"/>
      <c r="H372" s="370"/>
      <c r="I372" s="370"/>
      <c r="K372" s="370"/>
      <c r="L372" s="370"/>
    </row>
    <row r="373" spans="4:12" ht="25.5" customHeight="1" x14ac:dyDescent="0.25">
      <c r="D373" s="449"/>
      <c r="E373" s="449"/>
      <c r="H373" s="370"/>
      <c r="I373" s="370"/>
      <c r="K373" s="370"/>
      <c r="L373" s="370"/>
    </row>
    <row r="374" spans="4:12" ht="25.5" customHeight="1" x14ac:dyDescent="0.25">
      <c r="D374" s="449"/>
      <c r="E374" s="449"/>
      <c r="H374" s="370"/>
      <c r="I374" s="370"/>
      <c r="K374" s="370"/>
      <c r="L374" s="370"/>
    </row>
    <row r="375" spans="4:12" ht="25.5" customHeight="1" x14ac:dyDescent="0.25">
      <c r="D375" s="449"/>
      <c r="E375" s="449"/>
      <c r="H375" s="370"/>
      <c r="I375" s="370"/>
      <c r="K375" s="370"/>
      <c r="L375" s="370"/>
    </row>
    <row r="376" spans="4:12" ht="25.5" customHeight="1" x14ac:dyDescent="0.25">
      <c r="D376" s="449"/>
      <c r="E376" s="449"/>
      <c r="H376" s="370"/>
      <c r="I376" s="370"/>
      <c r="K376" s="370"/>
      <c r="L376" s="370"/>
    </row>
    <row r="377" spans="4:12" ht="25.5" customHeight="1" x14ac:dyDescent="0.25">
      <c r="D377" s="449"/>
      <c r="E377" s="449"/>
      <c r="H377" s="370"/>
      <c r="I377" s="370"/>
      <c r="K377" s="370"/>
      <c r="L377" s="370"/>
    </row>
    <row r="378" spans="4:12" ht="25.5" customHeight="1" x14ac:dyDescent="0.25">
      <c r="D378" s="449"/>
      <c r="E378" s="449"/>
      <c r="H378" s="370"/>
      <c r="I378" s="370"/>
      <c r="K378" s="370"/>
      <c r="L378" s="370"/>
    </row>
    <row r="379" spans="4:12" ht="25.5" customHeight="1" x14ac:dyDescent="0.25">
      <c r="D379" s="449"/>
      <c r="E379" s="449"/>
      <c r="H379" s="370"/>
      <c r="I379" s="370"/>
      <c r="K379" s="370"/>
      <c r="L379" s="370"/>
    </row>
    <row r="380" spans="4:12" ht="25.5" customHeight="1" x14ac:dyDescent="0.25">
      <c r="D380" s="449"/>
      <c r="E380" s="449"/>
      <c r="H380" s="370"/>
      <c r="I380" s="370"/>
      <c r="K380" s="370"/>
      <c r="L380" s="370"/>
    </row>
    <row r="381" spans="4:12" ht="25.5" customHeight="1" x14ac:dyDescent="0.25">
      <c r="D381" s="449"/>
      <c r="E381" s="449"/>
      <c r="H381" s="370"/>
      <c r="I381" s="370"/>
      <c r="K381" s="370"/>
      <c r="L381" s="370"/>
    </row>
    <row r="382" spans="4:12" ht="25.5" customHeight="1" x14ac:dyDescent="0.25">
      <c r="D382" s="449"/>
      <c r="E382" s="449"/>
      <c r="H382" s="370"/>
      <c r="I382" s="370"/>
      <c r="K382" s="370"/>
      <c r="L382" s="370"/>
    </row>
    <row r="383" spans="4:12" ht="25.5" customHeight="1" x14ac:dyDescent="0.25">
      <c r="D383" s="449"/>
      <c r="E383" s="449"/>
      <c r="H383" s="370"/>
      <c r="I383" s="370"/>
      <c r="K383" s="370"/>
      <c r="L383" s="370"/>
    </row>
    <row r="384" spans="4:12" ht="25.5" customHeight="1" x14ac:dyDescent="0.25">
      <c r="D384" s="449"/>
      <c r="E384" s="449"/>
      <c r="H384" s="370"/>
      <c r="I384" s="370"/>
      <c r="K384" s="370"/>
      <c r="L384" s="370"/>
    </row>
    <row r="385" spans="4:12" ht="25.5" customHeight="1" x14ac:dyDescent="0.25">
      <c r="D385" s="449"/>
      <c r="E385" s="449"/>
      <c r="H385" s="370"/>
      <c r="I385" s="370"/>
      <c r="K385" s="370"/>
      <c r="L385" s="370"/>
    </row>
    <row r="386" spans="4:12" ht="25.5" customHeight="1" x14ac:dyDescent="0.25">
      <c r="D386" s="449"/>
      <c r="E386" s="449"/>
      <c r="H386" s="370"/>
      <c r="I386" s="370"/>
      <c r="K386" s="370"/>
      <c r="L386" s="370"/>
    </row>
    <row r="387" spans="4:12" ht="25.5" customHeight="1" x14ac:dyDescent="0.25">
      <c r="D387" s="449"/>
      <c r="E387" s="449"/>
      <c r="H387" s="370"/>
      <c r="I387" s="370"/>
      <c r="K387" s="370"/>
      <c r="L387" s="370"/>
    </row>
    <row r="388" spans="4:12" ht="25.5" customHeight="1" x14ac:dyDescent="0.25">
      <c r="D388" s="449"/>
      <c r="E388" s="449"/>
      <c r="H388" s="370"/>
      <c r="I388" s="370"/>
      <c r="K388" s="370"/>
      <c r="L388" s="370"/>
    </row>
    <row r="389" spans="4:12" ht="25.5" customHeight="1" x14ac:dyDescent="0.25">
      <c r="D389" s="449"/>
      <c r="E389" s="449"/>
      <c r="H389" s="370"/>
      <c r="I389" s="370"/>
      <c r="K389" s="370"/>
      <c r="L389" s="370"/>
    </row>
    <row r="390" spans="4:12" ht="25.5" customHeight="1" x14ac:dyDescent="0.25">
      <c r="D390" s="449"/>
      <c r="E390" s="449"/>
      <c r="H390" s="370"/>
      <c r="I390" s="370"/>
      <c r="K390" s="370"/>
      <c r="L390" s="370"/>
    </row>
    <row r="391" spans="4:12" ht="25.5" customHeight="1" x14ac:dyDescent="0.25">
      <c r="D391" s="449"/>
      <c r="E391" s="449"/>
      <c r="H391" s="370"/>
      <c r="I391" s="370"/>
      <c r="K391" s="370"/>
      <c r="L391" s="370"/>
    </row>
    <row r="392" spans="4:12" ht="25.5" customHeight="1" x14ac:dyDescent="0.25">
      <c r="D392" s="449"/>
      <c r="E392" s="449"/>
      <c r="H392" s="370"/>
      <c r="I392" s="370"/>
      <c r="K392" s="370"/>
      <c r="L392" s="370"/>
    </row>
    <row r="393" spans="4:12" ht="25.5" customHeight="1" x14ac:dyDescent="0.25">
      <c r="D393" s="449"/>
      <c r="E393" s="449"/>
      <c r="H393" s="370"/>
      <c r="I393" s="370"/>
      <c r="K393" s="370"/>
      <c r="L393" s="370"/>
    </row>
    <row r="394" spans="4:12" ht="25.5" customHeight="1" x14ac:dyDescent="0.25">
      <c r="D394" s="449"/>
      <c r="E394" s="449"/>
      <c r="H394" s="370"/>
      <c r="I394" s="370"/>
      <c r="K394" s="370"/>
      <c r="L394" s="370"/>
    </row>
    <row r="395" spans="4:12" ht="25.5" customHeight="1" x14ac:dyDescent="0.25">
      <c r="D395" s="449"/>
      <c r="E395" s="449"/>
      <c r="H395" s="370"/>
      <c r="I395" s="370"/>
      <c r="K395" s="370"/>
      <c r="L395" s="370"/>
    </row>
    <row r="396" spans="4:12" ht="25.5" customHeight="1" x14ac:dyDescent="0.25">
      <c r="D396" s="449"/>
      <c r="E396" s="449"/>
      <c r="H396" s="370"/>
      <c r="I396" s="370"/>
      <c r="K396" s="370"/>
      <c r="L396" s="370"/>
    </row>
    <row r="397" spans="4:12" ht="25.5" customHeight="1" x14ac:dyDescent="0.25">
      <c r="D397" s="449"/>
      <c r="E397" s="449"/>
      <c r="H397" s="370"/>
      <c r="I397" s="370"/>
      <c r="K397" s="370"/>
      <c r="L397" s="370"/>
    </row>
    <row r="398" spans="4:12" ht="25.5" customHeight="1" x14ac:dyDescent="0.25">
      <c r="D398" s="449"/>
      <c r="E398" s="449"/>
      <c r="H398" s="370"/>
      <c r="I398" s="370"/>
      <c r="K398" s="370"/>
      <c r="L398" s="370"/>
    </row>
    <row r="399" spans="4:12" ht="25.5" customHeight="1" x14ac:dyDescent="0.25">
      <c r="D399" s="449"/>
      <c r="E399" s="449"/>
      <c r="H399" s="370"/>
      <c r="I399" s="370"/>
      <c r="K399" s="370"/>
      <c r="L399" s="370"/>
    </row>
    <row r="400" spans="4:12" ht="25.5" customHeight="1" x14ac:dyDescent="0.25">
      <c r="D400" s="449"/>
      <c r="E400" s="449"/>
      <c r="H400" s="370"/>
      <c r="I400" s="370"/>
      <c r="K400" s="370"/>
      <c r="L400" s="370"/>
    </row>
    <row r="401" spans="4:12" ht="25.5" customHeight="1" x14ac:dyDescent="0.25">
      <c r="D401" s="449"/>
      <c r="E401" s="449"/>
      <c r="H401" s="370"/>
      <c r="I401" s="370"/>
      <c r="K401" s="370"/>
      <c r="L401" s="370"/>
    </row>
    <row r="402" spans="4:12" ht="25.5" customHeight="1" x14ac:dyDescent="0.25">
      <c r="D402" s="449"/>
      <c r="E402" s="449"/>
      <c r="H402" s="370"/>
      <c r="I402" s="370"/>
      <c r="K402" s="370"/>
      <c r="L402" s="370"/>
    </row>
    <row r="403" spans="4:12" ht="25.5" customHeight="1" x14ac:dyDescent="0.25">
      <c r="D403" s="449"/>
      <c r="E403" s="449"/>
      <c r="H403" s="370"/>
      <c r="I403" s="370"/>
      <c r="K403" s="370"/>
      <c r="L403" s="370"/>
    </row>
    <row r="404" spans="4:12" ht="25.5" customHeight="1" x14ac:dyDescent="0.25">
      <c r="D404" s="449"/>
      <c r="E404" s="449"/>
      <c r="H404" s="370"/>
      <c r="I404" s="370"/>
      <c r="K404" s="370"/>
      <c r="L404" s="370"/>
    </row>
    <row r="405" spans="4:12" ht="25.5" customHeight="1" x14ac:dyDescent="0.25">
      <c r="D405" s="449"/>
      <c r="E405" s="449"/>
      <c r="H405" s="370"/>
      <c r="I405" s="370"/>
      <c r="K405" s="370"/>
      <c r="L405" s="370"/>
    </row>
    <row r="406" spans="4:12" ht="25.5" customHeight="1" x14ac:dyDescent="0.25">
      <c r="D406" s="449"/>
      <c r="E406" s="449"/>
      <c r="H406" s="370"/>
      <c r="I406" s="370"/>
      <c r="K406" s="370"/>
      <c r="L406" s="370"/>
    </row>
    <row r="407" spans="4:12" ht="25.5" customHeight="1" x14ac:dyDescent="0.25">
      <c r="D407" s="449"/>
      <c r="E407" s="449"/>
      <c r="H407" s="370"/>
      <c r="I407" s="370"/>
      <c r="K407" s="370"/>
      <c r="L407" s="370"/>
    </row>
    <row r="408" spans="4:12" ht="25.5" customHeight="1" x14ac:dyDescent="0.25">
      <c r="D408" s="449"/>
      <c r="E408" s="449"/>
      <c r="H408" s="370"/>
      <c r="I408" s="370"/>
      <c r="K408" s="370"/>
      <c r="L408" s="370"/>
    </row>
    <row r="409" spans="4:12" ht="25.5" customHeight="1" x14ac:dyDescent="0.25">
      <c r="D409" s="449"/>
      <c r="E409" s="449"/>
      <c r="H409" s="370"/>
      <c r="I409" s="370"/>
      <c r="K409" s="370"/>
      <c r="L409" s="370"/>
    </row>
    <row r="410" spans="4:12" ht="25.5" customHeight="1" x14ac:dyDescent="0.25">
      <c r="D410" s="449"/>
      <c r="E410" s="449"/>
      <c r="H410" s="370"/>
      <c r="I410" s="370"/>
      <c r="K410" s="370"/>
      <c r="L410" s="370"/>
    </row>
    <row r="411" spans="4:12" ht="25.5" customHeight="1" x14ac:dyDescent="0.25">
      <c r="D411" s="449"/>
      <c r="E411" s="449"/>
      <c r="H411" s="370"/>
      <c r="I411" s="370"/>
      <c r="K411" s="370"/>
      <c r="L411" s="370"/>
    </row>
    <row r="412" spans="4:12" ht="25.5" customHeight="1" x14ac:dyDescent="0.25">
      <c r="D412" s="449"/>
      <c r="E412" s="449"/>
      <c r="H412" s="370"/>
      <c r="I412" s="370"/>
      <c r="K412" s="370"/>
      <c r="L412" s="370"/>
    </row>
    <row r="413" spans="4:12" ht="25.5" customHeight="1" x14ac:dyDescent="0.25">
      <c r="D413" s="449"/>
      <c r="E413" s="449"/>
      <c r="H413" s="370"/>
      <c r="I413" s="370"/>
      <c r="K413" s="370"/>
      <c r="L413" s="370"/>
    </row>
    <row r="414" spans="4:12" ht="25.5" customHeight="1" x14ac:dyDescent="0.25">
      <c r="D414" s="449"/>
      <c r="E414" s="449"/>
      <c r="H414" s="370"/>
      <c r="I414" s="370"/>
      <c r="K414" s="370"/>
      <c r="L414" s="370"/>
    </row>
    <row r="415" spans="4:12" ht="25.5" customHeight="1" x14ac:dyDescent="0.25">
      <c r="D415" s="449"/>
      <c r="E415" s="449"/>
      <c r="H415" s="370"/>
      <c r="I415" s="370"/>
      <c r="K415" s="370"/>
      <c r="L415" s="370"/>
    </row>
    <row r="416" spans="4:12" ht="25.5" customHeight="1" x14ac:dyDescent="0.25">
      <c r="D416" s="449"/>
      <c r="E416" s="449"/>
      <c r="H416" s="370"/>
      <c r="I416" s="370"/>
      <c r="K416" s="370"/>
      <c r="L416" s="370"/>
    </row>
    <row r="417" spans="4:12" ht="25.5" customHeight="1" x14ac:dyDescent="0.25">
      <c r="D417" s="449"/>
      <c r="E417" s="449"/>
      <c r="H417" s="370"/>
      <c r="I417" s="370"/>
      <c r="K417" s="370"/>
      <c r="L417" s="370"/>
    </row>
    <row r="418" spans="4:12" ht="25.5" customHeight="1" x14ac:dyDescent="0.25">
      <c r="D418" s="449"/>
      <c r="E418" s="449"/>
      <c r="H418" s="370"/>
      <c r="I418" s="370"/>
      <c r="K418" s="370"/>
      <c r="L418" s="370"/>
    </row>
    <row r="419" spans="4:12" ht="25.5" customHeight="1" x14ac:dyDescent="0.25">
      <c r="D419" s="449"/>
      <c r="E419" s="449"/>
      <c r="H419" s="370"/>
      <c r="I419" s="370"/>
      <c r="K419" s="370"/>
      <c r="L419" s="370"/>
    </row>
    <row r="420" spans="4:12" ht="25.5" customHeight="1" x14ac:dyDescent="0.25">
      <c r="D420" s="449"/>
      <c r="E420" s="449"/>
      <c r="H420" s="370"/>
      <c r="I420" s="370"/>
      <c r="K420" s="370"/>
      <c r="L420" s="370"/>
    </row>
    <row r="421" spans="4:12" ht="25.5" customHeight="1" x14ac:dyDescent="0.25">
      <c r="D421" s="449"/>
      <c r="E421" s="449"/>
      <c r="H421" s="370"/>
      <c r="I421" s="370"/>
      <c r="K421" s="370"/>
      <c r="L421" s="370"/>
    </row>
    <row r="422" spans="4:12" ht="25.5" customHeight="1" x14ac:dyDescent="0.25">
      <c r="D422" s="449"/>
      <c r="E422" s="449"/>
      <c r="H422" s="370"/>
      <c r="I422" s="370"/>
      <c r="K422" s="370"/>
      <c r="L422" s="370"/>
    </row>
    <row r="423" spans="4:12" ht="25.5" customHeight="1" x14ac:dyDescent="0.25">
      <c r="D423" s="449"/>
      <c r="E423" s="449"/>
      <c r="H423" s="370"/>
      <c r="I423" s="370"/>
      <c r="K423" s="370"/>
      <c r="L423" s="370"/>
    </row>
    <row r="424" spans="4:12" ht="25.5" customHeight="1" x14ac:dyDescent="0.25">
      <c r="D424" s="449"/>
      <c r="E424" s="449"/>
      <c r="H424" s="370"/>
      <c r="I424" s="370"/>
      <c r="K424" s="370"/>
      <c r="L424" s="370"/>
    </row>
    <row r="425" spans="4:12" ht="25.5" customHeight="1" x14ac:dyDescent="0.25">
      <c r="D425" s="449"/>
      <c r="E425" s="449"/>
      <c r="H425" s="370"/>
      <c r="I425" s="370"/>
      <c r="K425" s="370"/>
      <c r="L425" s="370"/>
    </row>
    <row r="426" spans="4:12" ht="25.5" customHeight="1" x14ac:dyDescent="0.25">
      <c r="D426" s="449"/>
      <c r="E426" s="449"/>
      <c r="H426" s="370"/>
      <c r="I426" s="370"/>
      <c r="K426" s="370"/>
      <c r="L426" s="370"/>
    </row>
    <row r="427" spans="4:12" x14ac:dyDescent="0.25">
      <c r="D427" s="449"/>
      <c r="E427" s="449"/>
      <c r="H427" s="370"/>
      <c r="I427" s="370"/>
      <c r="K427" s="370"/>
      <c r="L427" s="370"/>
    </row>
    <row r="428" spans="4:12" x14ac:dyDescent="0.25">
      <c r="D428" s="449"/>
      <c r="E428" s="449"/>
      <c r="H428" s="370"/>
      <c r="I428" s="370"/>
      <c r="K428" s="370"/>
      <c r="L428" s="370"/>
    </row>
    <row r="429" spans="4:12" x14ac:dyDescent="0.25">
      <c r="D429" s="449"/>
      <c r="E429" s="449"/>
      <c r="H429" s="370"/>
      <c r="I429" s="370"/>
      <c r="K429" s="370"/>
      <c r="L429" s="370"/>
    </row>
    <row r="430" spans="4:12" x14ac:dyDescent="0.25">
      <c r="D430" s="449"/>
      <c r="E430" s="449"/>
      <c r="H430" s="370"/>
      <c r="I430" s="370"/>
      <c r="K430" s="370"/>
      <c r="L430" s="370"/>
    </row>
    <row r="431" spans="4:12" x14ac:dyDescent="0.25">
      <c r="D431" s="449"/>
      <c r="E431" s="449"/>
      <c r="H431" s="370"/>
      <c r="I431" s="370"/>
      <c r="K431" s="370"/>
      <c r="L431" s="370"/>
    </row>
    <row r="432" spans="4:12" x14ac:dyDescent="0.25">
      <c r="D432" s="449"/>
      <c r="E432" s="449"/>
      <c r="H432" s="370"/>
      <c r="I432" s="370"/>
      <c r="K432" s="370"/>
      <c r="L432" s="370"/>
    </row>
    <row r="433" spans="4:12" x14ac:dyDescent="0.25">
      <c r="D433" s="449"/>
      <c r="E433" s="449"/>
      <c r="H433" s="370"/>
      <c r="I433" s="370"/>
      <c r="K433" s="370"/>
      <c r="L433" s="370"/>
    </row>
    <row r="434" spans="4:12" x14ac:dyDescent="0.25">
      <c r="D434" s="449"/>
      <c r="E434" s="449"/>
      <c r="H434" s="370"/>
      <c r="I434" s="370"/>
      <c r="K434" s="370"/>
      <c r="L434" s="370"/>
    </row>
    <row r="435" spans="4:12" x14ac:dyDescent="0.25">
      <c r="D435" s="449"/>
      <c r="E435" s="449"/>
      <c r="H435" s="370"/>
      <c r="I435" s="370"/>
      <c r="K435" s="370"/>
      <c r="L435" s="370"/>
    </row>
    <row r="436" spans="4:12" x14ac:dyDescent="0.25">
      <c r="D436" s="449"/>
      <c r="E436" s="449"/>
      <c r="H436" s="370"/>
      <c r="I436" s="370"/>
      <c r="K436" s="370"/>
      <c r="L436" s="370"/>
    </row>
    <row r="437" spans="4:12" x14ac:dyDescent="0.25">
      <c r="D437" s="449"/>
      <c r="E437" s="449"/>
      <c r="H437" s="370"/>
      <c r="I437" s="370"/>
      <c r="K437" s="370"/>
      <c r="L437" s="370"/>
    </row>
    <row r="438" spans="4:12" x14ac:dyDescent="0.25">
      <c r="D438" s="449"/>
      <c r="E438" s="449"/>
      <c r="H438" s="370"/>
      <c r="I438" s="370"/>
      <c r="K438" s="370"/>
      <c r="L438" s="370"/>
    </row>
    <row r="439" spans="4:12" x14ac:dyDescent="0.25">
      <c r="D439" s="449"/>
      <c r="E439" s="449"/>
      <c r="H439" s="370"/>
      <c r="I439" s="370"/>
      <c r="K439" s="370"/>
      <c r="L439" s="370"/>
    </row>
    <row r="440" spans="4:12" x14ac:dyDescent="0.25">
      <c r="D440" s="449"/>
      <c r="E440" s="449"/>
      <c r="H440" s="370"/>
      <c r="I440" s="370"/>
      <c r="K440" s="370"/>
      <c r="L440" s="370"/>
    </row>
    <row r="441" spans="4:12" x14ac:dyDescent="0.25">
      <c r="D441" s="449"/>
      <c r="E441" s="449"/>
      <c r="H441" s="370"/>
      <c r="I441" s="370"/>
      <c r="K441" s="370"/>
      <c r="L441" s="370"/>
    </row>
    <row r="442" spans="4:12" x14ac:dyDescent="0.25">
      <c r="D442" s="449"/>
      <c r="E442" s="449"/>
      <c r="H442" s="370"/>
      <c r="I442" s="370"/>
      <c r="K442" s="370"/>
      <c r="L442" s="370"/>
    </row>
    <row r="443" spans="4:12" x14ac:dyDescent="0.25">
      <c r="D443" s="449"/>
      <c r="E443" s="449"/>
      <c r="H443" s="370"/>
      <c r="I443" s="370"/>
      <c r="K443" s="370"/>
      <c r="L443" s="370"/>
    </row>
    <row r="444" spans="4:12" x14ac:dyDescent="0.25">
      <c r="D444" s="449"/>
      <c r="E444" s="449"/>
      <c r="H444" s="370"/>
      <c r="I444" s="370"/>
      <c r="K444" s="370"/>
      <c r="L444" s="370"/>
    </row>
    <row r="445" spans="4:12" x14ac:dyDescent="0.25">
      <c r="D445" s="449"/>
      <c r="E445" s="449"/>
      <c r="H445" s="370"/>
      <c r="I445" s="370"/>
      <c r="K445" s="370"/>
      <c r="L445" s="370"/>
    </row>
    <row r="446" spans="4:12" x14ac:dyDescent="0.25">
      <c r="D446" s="449"/>
      <c r="E446" s="449"/>
      <c r="H446" s="370"/>
      <c r="I446" s="370"/>
      <c r="K446" s="370"/>
      <c r="L446" s="370"/>
    </row>
    <row r="447" spans="4:12" x14ac:dyDescent="0.25">
      <c r="D447" s="449"/>
      <c r="E447" s="449"/>
      <c r="H447" s="370"/>
      <c r="I447" s="370"/>
      <c r="K447" s="370"/>
      <c r="L447" s="370"/>
    </row>
    <row r="448" spans="4:12" x14ac:dyDescent="0.25">
      <c r="D448" s="449"/>
      <c r="E448" s="449"/>
      <c r="H448" s="370"/>
      <c r="I448" s="370"/>
      <c r="K448" s="370"/>
      <c r="L448" s="370"/>
    </row>
    <row r="449" spans="4:12" x14ac:dyDescent="0.25">
      <c r="D449" s="449"/>
      <c r="E449" s="449"/>
      <c r="H449" s="370"/>
      <c r="I449" s="370"/>
      <c r="K449" s="370"/>
      <c r="L449" s="370"/>
    </row>
    <row r="450" spans="4:12" x14ac:dyDescent="0.25">
      <c r="D450" s="449"/>
      <c r="E450" s="449"/>
      <c r="H450" s="370"/>
      <c r="I450" s="370"/>
      <c r="K450" s="370"/>
      <c r="L450" s="370"/>
    </row>
    <row r="451" spans="4:12" x14ac:dyDescent="0.25">
      <c r="D451" s="449"/>
      <c r="E451" s="449"/>
      <c r="H451" s="370"/>
      <c r="I451" s="370"/>
      <c r="K451" s="370"/>
      <c r="L451" s="370"/>
    </row>
    <row r="452" spans="4:12" x14ac:dyDescent="0.25">
      <c r="D452" s="449"/>
      <c r="E452" s="449"/>
      <c r="H452" s="370"/>
      <c r="I452" s="370"/>
      <c r="K452" s="370"/>
      <c r="L452" s="370"/>
    </row>
    <row r="453" spans="4:12" x14ac:dyDescent="0.25">
      <c r="D453" s="449"/>
      <c r="E453" s="449"/>
      <c r="H453" s="370"/>
      <c r="I453" s="370"/>
      <c r="K453" s="370"/>
      <c r="L453" s="370"/>
    </row>
    <row r="454" spans="4:12" x14ac:dyDescent="0.25">
      <c r="D454" s="449"/>
      <c r="E454" s="449"/>
      <c r="H454" s="370"/>
      <c r="I454" s="370"/>
      <c r="K454" s="370"/>
      <c r="L454" s="370"/>
    </row>
    <row r="455" spans="4:12" x14ac:dyDescent="0.25">
      <c r="D455" s="449"/>
      <c r="E455" s="449"/>
      <c r="H455" s="370"/>
      <c r="I455" s="370"/>
      <c r="K455" s="370"/>
      <c r="L455" s="370"/>
    </row>
    <row r="456" spans="4:12" x14ac:dyDescent="0.25">
      <c r="D456" s="449"/>
      <c r="E456" s="449"/>
      <c r="H456" s="370"/>
      <c r="I456" s="370"/>
      <c r="K456" s="370"/>
      <c r="L456" s="370"/>
    </row>
    <row r="457" spans="4:12" x14ac:dyDescent="0.25">
      <c r="D457" s="449"/>
      <c r="E457" s="449"/>
      <c r="H457" s="370"/>
      <c r="I457" s="370"/>
      <c r="K457" s="370"/>
      <c r="L457" s="370"/>
    </row>
    <row r="458" spans="4:12" x14ac:dyDescent="0.25">
      <c r="D458" s="449"/>
      <c r="E458" s="449"/>
      <c r="H458" s="370"/>
      <c r="I458" s="370"/>
      <c r="K458" s="370"/>
      <c r="L458" s="370"/>
    </row>
    <row r="459" spans="4:12" x14ac:dyDescent="0.25">
      <c r="D459" s="449"/>
      <c r="E459" s="449"/>
      <c r="H459" s="370"/>
      <c r="I459" s="370"/>
      <c r="K459" s="370"/>
      <c r="L459" s="370"/>
    </row>
    <row r="460" spans="4:12" x14ac:dyDescent="0.25">
      <c r="D460" s="449"/>
      <c r="E460" s="449"/>
      <c r="H460" s="370"/>
      <c r="I460" s="370"/>
      <c r="K460" s="370"/>
      <c r="L460" s="370"/>
    </row>
    <row r="461" spans="4:12" x14ac:dyDescent="0.25">
      <c r="D461" s="449"/>
      <c r="E461" s="449"/>
      <c r="H461" s="370"/>
      <c r="I461" s="370"/>
      <c r="K461" s="370"/>
      <c r="L461" s="370"/>
    </row>
    <row r="462" spans="4:12" x14ac:dyDescent="0.25">
      <c r="D462" s="449"/>
      <c r="E462" s="449"/>
      <c r="H462" s="370"/>
      <c r="I462" s="370"/>
      <c r="K462" s="370"/>
      <c r="L462" s="370"/>
    </row>
    <row r="463" spans="4:12" x14ac:dyDescent="0.25">
      <c r="D463" s="449"/>
      <c r="E463" s="449"/>
      <c r="H463" s="370"/>
      <c r="I463" s="370"/>
      <c r="K463" s="370"/>
      <c r="L463" s="370"/>
    </row>
    <row r="464" spans="4:12" x14ac:dyDescent="0.25">
      <c r="D464" s="449"/>
      <c r="E464" s="449"/>
      <c r="H464" s="370"/>
      <c r="I464" s="370"/>
      <c r="K464" s="370"/>
      <c r="L464" s="370"/>
    </row>
    <row r="465" spans="4:12" x14ac:dyDescent="0.25">
      <c r="D465" s="449"/>
      <c r="E465" s="449"/>
      <c r="H465" s="370"/>
      <c r="I465" s="370"/>
      <c r="K465" s="370"/>
      <c r="L465" s="370"/>
    </row>
    <row r="466" spans="4:12" x14ac:dyDescent="0.25">
      <c r="D466" s="449"/>
      <c r="E466" s="449"/>
      <c r="H466" s="370"/>
      <c r="I466" s="370"/>
      <c r="K466" s="370"/>
      <c r="L466" s="370"/>
    </row>
    <row r="467" spans="4:12" x14ac:dyDescent="0.25">
      <c r="D467" s="449"/>
      <c r="E467" s="449"/>
      <c r="H467" s="370"/>
      <c r="I467" s="370"/>
      <c r="K467" s="370"/>
      <c r="L467" s="370"/>
    </row>
    <row r="468" spans="4:12" x14ac:dyDescent="0.25">
      <c r="D468" s="449"/>
      <c r="E468" s="449"/>
      <c r="H468" s="370"/>
      <c r="I468" s="370"/>
      <c r="K468" s="370"/>
      <c r="L468" s="370"/>
    </row>
    <row r="469" spans="4:12" x14ac:dyDescent="0.25">
      <c r="D469" s="449"/>
      <c r="E469" s="449"/>
      <c r="H469" s="370"/>
      <c r="I469" s="370"/>
      <c r="K469" s="370"/>
      <c r="L469" s="370"/>
    </row>
    <row r="470" spans="4:12" x14ac:dyDescent="0.25">
      <c r="D470" s="449"/>
      <c r="E470" s="449"/>
      <c r="H470" s="370"/>
      <c r="I470" s="370"/>
      <c r="K470" s="370"/>
      <c r="L470" s="370"/>
    </row>
    <row r="471" spans="4:12" x14ac:dyDescent="0.25">
      <c r="D471" s="449"/>
      <c r="E471" s="449"/>
      <c r="H471" s="370"/>
      <c r="I471" s="370"/>
      <c r="K471" s="370"/>
      <c r="L471" s="370"/>
    </row>
    <row r="472" spans="4:12" x14ac:dyDescent="0.25">
      <c r="D472" s="449"/>
      <c r="E472" s="449"/>
      <c r="H472" s="370"/>
      <c r="I472" s="370"/>
      <c r="K472" s="370"/>
      <c r="L472" s="370"/>
    </row>
    <row r="473" spans="4:12" x14ac:dyDescent="0.25">
      <c r="D473" s="449"/>
      <c r="E473" s="449"/>
      <c r="H473" s="370"/>
      <c r="I473" s="370"/>
      <c r="K473" s="370"/>
      <c r="L473" s="370"/>
    </row>
    <row r="474" spans="4:12" x14ac:dyDescent="0.25">
      <c r="D474" s="449"/>
      <c r="E474" s="449"/>
      <c r="H474" s="370"/>
      <c r="I474" s="370"/>
      <c r="K474" s="370"/>
      <c r="L474" s="370"/>
    </row>
    <row r="475" spans="4:12" x14ac:dyDescent="0.25">
      <c r="D475" s="449"/>
      <c r="E475" s="449"/>
      <c r="H475" s="370"/>
      <c r="I475" s="370"/>
      <c r="K475" s="370"/>
      <c r="L475" s="370"/>
    </row>
    <row r="476" spans="4:12" x14ac:dyDescent="0.25">
      <c r="D476" s="449"/>
      <c r="E476" s="449"/>
      <c r="H476" s="370"/>
      <c r="I476" s="370"/>
      <c r="K476" s="370"/>
      <c r="L476" s="370"/>
    </row>
    <row r="477" spans="4:12" x14ac:dyDescent="0.25">
      <c r="D477" s="449"/>
      <c r="E477" s="449"/>
      <c r="H477" s="370"/>
      <c r="I477" s="370"/>
      <c r="K477" s="370"/>
      <c r="L477" s="370"/>
    </row>
    <row r="478" spans="4:12" x14ac:dyDescent="0.25">
      <c r="D478" s="449"/>
      <c r="E478" s="449"/>
      <c r="H478" s="370"/>
      <c r="I478" s="370"/>
      <c r="K478" s="370"/>
      <c r="L478" s="370"/>
    </row>
    <row r="479" spans="4:12" x14ac:dyDescent="0.25">
      <c r="D479" s="449"/>
      <c r="E479" s="449"/>
      <c r="H479" s="370"/>
      <c r="I479" s="370"/>
      <c r="K479" s="370"/>
      <c r="L479" s="370"/>
    </row>
    <row r="480" spans="4:12" x14ac:dyDescent="0.25">
      <c r="D480" s="449"/>
      <c r="E480" s="449"/>
      <c r="H480" s="370"/>
      <c r="I480" s="370"/>
      <c r="K480" s="370"/>
      <c r="L480" s="370"/>
    </row>
    <row r="481" spans="4:12" x14ac:dyDescent="0.25">
      <c r="D481" s="449"/>
      <c r="E481" s="449"/>
      <c r="H481" s="370"/>
      <c r="I481" s="370"/>
      <c r="K481" s="370"/>
      <c r="L481" s="370"/>
    </row>
    <row r="482" spans="4:12" x14ac:dyDescent="0.25">
      <c r="D482" s="449"/>
      <c r="E482" s="449"/>
      <c r="H482" s="370"/>
      <c r="I482" s="370"/>
      <c r="K482" s="370"/>
      <c r="L482" s="370"/>
    </row>
    <row r="483" spans="4:12" x14ac:dyDescent="0.25">
      <c r="D483" s="449"/>
      <c r="E483" s="449"/>
      <c r="H483" s="370"/>
      <c r="I483" s="370"/>
      <c r="K483" s="370"/>
      <c r="L483" s="370"/>
    </row>
    <row r="484" spans="4:12" x14ac:dyDescent="0.25">
      <c r="D484" s="449"/>
      <c r="E484" s="449"/>
      <c r="H484" s="370"/>
      <c r="I484" s="370"/>
      <c r="K484" s="370"/>
      <c r="L484" s="370"/>
    </row>
    <row r="485" spans="4:12" x14ac:dyDescent="0.25">
      <c r="D485" s="449"/>
      <c r="E485" s="449"/>
      <c r="H485" s="370"/>
      <c r="I485" s="370"/>
      <c r="K485" s="370"/>
      <c r="L485" s="370"/>
    </row>
    <row r="486" spans="4:12" x14ac:dyDescent="0.25">
      <c r="D486" s="449"/>
      <c r="E486" s="449"/>
      <c r="H486" s="370"/>
      <c r="I486" s="370"/>
      <c r="K486" s="370"/>
      <c r="L486" s="370"/>
    </row>
    <row r="487" spans="4:12" x14ac:dyDescent="0.25">
      <c r="D487" s="449"/>
      <c r="E487" s="449"/>
      <c r="H487" s="370"/>
      <c r="I487" s="370"/>
      <c r="K487" s="370"/>
      <c r="L487" s="370"/>
    </row>
    <row r="488" spans="4:12" x14ac:dyDescent="0.25">
      <c r="D488" s="449"/>
      <c r="E488" s="449"/>
      <c r="H488" s="370"/>
      <c r="I488" s="370"/>
      <c r="K488" s="370"/>
      <c r="L488" s="370"/>
    </row>
    <row r="489" spans="4:12" x14ac:dyDescent="0.25">
      <c r="D489" s="449"/>
      <c r="E489" s="449"/>
      <c r="H489" s="370"/>
      <c r="I489" s="370"/>
      <c r="K489" s="370"/>
      <c r="L489" s="370"/>
    </row>
    <row r="490" spans="4:12" x14ac:dyDescent="0.25">
      <c r="D490" s="449"/>
      <c r="E490" s="449"/>
      <c r="H490" s="370"/>
      <c r="I490" s="370"/>
      <c r="K490" s="370"/>
      <c r="L490" s="370"/>
    </row>
    <row r="491" spans="4:12" x14ac:dyDescent="0.25">
      <c r="D491" s="449"/>
      <c r="E491" s="449"/>
      <c r="H491" s="370"/>
      <c r="I491" s="370"/>
      <c r="K491" s="370"/>
      <c r="L491" s="370"/>
    </row>
    <row r="492" spans="4:12" x14ac:dyDescent="0.25">
      <c r="D492" s="449"/>
      <c r="E492" s="449"/>
      <c r="H492" s="370"/>
      <c r="I492" s="370"/>
      <c r="K492" s="370"/>
      <c r="L492" s="370"/>
    </row>
    <row r="493" spans="4:12" x14ac:dyDescent="0.25">
      <c r="D493" s="449"/>
      <c r="E493" s="449"/>
      <c r="H493" s="370"/>
      <c r="I493" s="370"/>
      <c r="K493" s="370"/>
      <c r="L493" s="370"/>
    </row>
    <row r="494" spans="4:12" x14ac:dyDescent="0.25">
      <c r="D494" s="449"/>
      <c r="E494" s="449"/>
      <c r="H494" s="370"/>
      <c r="I494" s="370"/>
      <c r="K494" s="370"/>
      <c r="L494" s="370"/>
    </row>
    <row r="495" spans="4:12" x14ac:dyDescent="0.25">
      <c r="D495" s="449"/>
      <c r="E495" s="449"/>
      <c r="H495" s="370"/>
      <c r="I495" s="370"/>
      <c r="K495" s="370"/>
      <c r="L495" s="370"/>
    </row>
    <row r="496" spans="4:12" x14ac:dyDescent="0.25">
      <c r="D496" s="449"/>
      <c r="E496" s="449"/>
      <c r="H496" s="370"/>
      <c r="I496" s="370"/>
      <c r="K496" s="370"/>
      <c r="L496" s="370"/>
    </row>
    <row r="497" spans="4:12" x14ac:dyDescent="0.25">
      <c r="D497" s="449"/>
      <c r="E497" s="449"/>
      <c r="H497" s="370"/>
      <c r="I497" s="370"/>
      <c r="K497" s="370"/>
      <c r="L497" s="370"/>
    </row>
    <row r="498" spans="4:12" x14ac:dyDescent="0.25">
      <c r="D498" s="449"/>
      <c r="E498" s="449"/>
      <c r="H498" s="370"/>
      <c r="I498" s="370"/>
      <c r="K498" s="370"/>
      <c r="L498" s="370"/>
    </row>
    <row r="499" spans="4:12" x14ac:dyDescent="0.25">
      <c r="D499" s="449"/>
      <c r="E499" s="449"/>
      <c r="H499" s="370"/>
      <c r="I499" s="370"/>
      <c r="K499" s="370"/>
      <c r="L499" s="370"/>
    </row>
    <row r="500" spans="4:12" x14ac:dyDescent="0.25">
      <c r="D500" s="449"/>
      <c r="E500" s="449"/>
      <c r="H500" s="370"/>
      <c r="I500" s="370"/>
      <c r="K500" s="370"/>
      <c r="L500" s="370"/>
    </row>
    <row r="501" spans="4:12" x14ac:dyDescent="0.25">
      <c r="D501" s="449"/>
      <c r="E501" s="449"/>
      <c r="H501" s="370"/>
      <c r="I501" s="370"/>
      <c r="K501" s="370"/>
      <c r="L501" s="370"/>
    </row>
    <row r="502" spans="4:12" x14ac:dyDescent="0.25">
      <c r="D502" s="449"/>
      <c r="E502" s="449"/>
      <c r="H502" s="370"/>
      <c r="I502" s="370"/>
      <c r="K502" s="370"/>
      <c r="L502" s="370"/>
    </row>
    <row r="503" spans="4:12" x14ac:dyDescent="0.25">
      <c r="D503" s="449"/>
      <c r="E503" s="449"/>
      <c r="H503" s="370"/>
      <c r="I503" s="370"/>
      <c r="K503" s="370"/>
      <c r="L503" s="370"/>
    </row>
    <row r="504" spans="4:12" x14ac:dyDescent="0.25">
      <c r="D504" s="449"/>
      <c r="E504" s="449"/>
      <c r="H504" s="370"/>
      <c r="I504" s="370"/>
      <c r="K504" s="370"/>
      <c r="L504" s="370"/>
    </row>
    <row r="505" spans="4:12" x14ac:dyDescent="0.25">
      <c r="D505" s="449"/>
      <c r="E505" s="449"/>
      <c r="H505" s="370"/>
      <c r="I505" s="370"/>
      <c r="K505" s="370"/>
      <c r="L505" s="370"/>
    </row>
    <row r="506" spans="4:12" x14ac:dyDescent="0.25">
      <c r="D506" s="449"/>
      <c r="E506" s="449"/>
      <c r="H506" s="370"/>
      <c r="I506" s="370"/>
      <c r="K506" s="370"/>
      <c r="L506" s="370"/>
    </row>
    <row r="507" spans="4:12" x14ac:dyDescent="0.25">
      <c r="D507" s="449"/>
      <c r="E507" s="449"/>
      <c r="H507" s="370"/>
      <c r="I507" s="370"/>
      <c r="K507" s="370"/>
      <c r="L507" s="370"/>
    </row>
    <row r="508" spans="4:12" x14ac:dyDescent="0.25">
      <c r="D508" s="449"/>
      <c r="E508" s="449"/>
      <c r="H508" s="370"/>
      <c r="I508" s="370"/>
      <c r="K508" s="370"/>
      <c r="L508" s="370"/>
    </row>
    <row r="509" spans="4:12" x14ac:dyDescent="0.25">
      <c r="D509" s="449"/>
      <c r="E509" s="449"/>
      <c r="H509" s="370"/>
      <c r="I509" s="370"/>
      <c r="K509" s="370"/>
      <c r="L509" s="370"/>
    </row>
    <row r="510" spans="4:12" x14ac:dyDescent="0.25">
      <c r="D510" s="449"/>
      <c r="E510" s="449"/>
      <c r="H510" s="370"/>
      <c r="I510" s="370"/>
      <c r="K510" s="370"/>
      <c r="L510" s="370"/>
    </row>
    <row r="511" spans="4:12" x14ac:dyDescent="0.25">
      <c r="D511" s="449"/>
      <c r="E511" s="449"/>
      <c r="H511" s="370"/>
      <c r="I511" s="370"/>
      <c r="K511" s="370"/>
      <c r="L511" s="370"/>
    </row>
    <row r="512" spans="4:12" x14ac:dyDescent="0.25">
      <c r="D512" s="449"/>
      <c r="E512" s="449"/>
      <c r="H512" s="370"/>
      <c r="I512" s="370"/>
      <c r="K512" s="370"/>
      <c r="L512" s="370"/>
    </row>
    <row r="513" spans="4:12" x14ac:dyDescent="0.25">
      <c r="D513" s="449"/>
      <c r="E513" s="449"/>
      <c r="H513" s="370"/>
      <c r="I513" s="370"/>
      <c r="K513" s="370"/>
      <c r="L513" s="370"/>
    </row>
    <row r="514" spans="4:12" x14ac:dyDescent="0.25">
      <c r="D514" s="449"/>
      <c r="E514" s="449"/>
      <c r="H514" s="370"/>
      <c r="I514" s="370"/>
      <c r="K514" s="370"/>
      <c r="L514" s="370"/>
    </row>
    <row r="515" spans="4:12" x14ac:dyDescent="0.25">
      <c r="D515" s="449"/>
      <c r="E515" s="449"/>
      <c r="H515" s="370"/>
      <c r="I515" s="370"/>
      <c r="K515" s="370"/>
      <c r="L515" s="370"/>
    </row>
    <row r="516" spans="4:12" x14ac:dyDescent="0.25">
      <c r="D516" s="449"/>
      <c r="E516" s="449"/>
      <c r="H516" s="370"/>
      <c r="I516" s="370"/>
      <c r="K516" s="370"/>
      <c r="L516" s="370"/>
    </row>
    <row r="517" spans="4:12" x14ac:dyDescent="0.25">
      <c r="D517" s="449"/>
      <c r="E517" s="449"/>
      <c r="H517" s="370"/>
      <c r="I517" s="370"/>
      <c r="K517" s="370"/>
      <c r="L517" s="370"/>
    </row>
    <row r="518" spans="4:12" x14ac:dyDescent="0.25">
      <c r="D518" s="449"/>
      <c r="E518" s="449"/>
      <c r="H518" s="370"/>
      <c r="I518" s="370"/>
      <c r="K518" s="370"/>
      <c r="L518" s="370"/>
    </row>
    <row r="519" spans="4:12" x14ac:dyDescent="0.25">
      <c r="D519" s="449"/>
      <c r="E519" s="449"/>
      <c r="H519" s="370"/>
      <c r="I519" s="370"/>
      <c r="K519" s="370"/>
      <c r="L519" s="370"/>
    </row>
    <row r="520" spans="4:12" x14ac:dyDescent="0.25">
      <c r="D520" s="449"/>
      <c r="E520" s="449"/>
      <c r="H520" s="370"/>
      <c r="I520" s="370"/>
      <c r="K520" s="370"/>
      <c r="L520" s="370"/>
    </row>
    <row r="521" spans="4:12" x14ac:dyDescent="0.25">
      <c r="D521" s="449"/>
      <c r="E521" s="449"/>
      <c r="H521" s="370"/>
      <c r="I521" s="370"/>
      <c r="K521" s="370"/>
      <c r="L521" s="370"/>
    </row>
    <row r="522" spans="4:12" x14ac:dyDescent="0.25">
      <c r="D522" s="449"/>
      <c r="E522" s="449"/>
      <c r="H522" s="370"/>
      <c r="I522" s="370"/>
      <c r="K522" s="370"/>
      <c r="L522" s="370"/>
    </row>
    <row r="523" spans="4:12" x14ac:dyDescent="0.25">
      <c r="D523" s="449"/>
      <c r="E523" s="449"/>
      <c r="H523" s="370"/>
      <c r="I523" s="370"/>
      <c r="K523" s="370"/>
      <c r="L523" s="370"/>
    </row>
    <row r="524" spans="4:12" x14ac:dyDescent="0.25">
      <c r="D524" s="449"/>
      <c r="E524" s="449"/>
      <c r="H524" s="370"/>
      <c r="I524" s="370"/>
      <c r="K524" s="370"/>
      <c r="L524" s="370"/>
    </row>
    <row r="525" spans="4:12" x14ac:dyDescent="0.25">
      <c r="D525" s="449"/>
      <c r="E525" s="449"/>
      <c r="H525" s="370"/>
      <c r="I525" s="370"/>
      <c r="K525" s="370"/>
      <c r="L525" s="370"/>
    </row>
    <row r="526" spans="4:12" x14ac:dyDescent="0.25">
      <c r="D526" s="449"/>
      <c r="E526" s="449"/>
      <c r="H526" s="370"/>
      <c r="I526" s="370"/>
      <c r="K526" s="370"/>
      <c r="L526" s="370"/>
    </row>
    <row r="527" spans="4:12" x14ac:dyDescent="0.25">
      <c r="D527" s="449"/>
      <c r="E527" s="449"/>
      <c r="H527" s="370"/>
      <c r="I527" s="370"/>
      <c r="K527" s="370"/>
      <c r="L527" s="370"/>
    </row>
    <row r="528" spans="4:12" x14ac:dyDescent="0.25">
      <c r="D528" s="449"/>
      <c r="E528" s="449"/>
      <c r="H528" s="370"/>
      <c r="I528" s="370"/>
      <c r="K528" s="370"/>
      <c r="L528" s="370"/>
    </row>
    <row r="529" spans="4:12" x14ac:dyDescent="0.25">
      <c r="D529" s="449"/>
      <c r="E529" s="449"/>
      <c r="H529" s="370"/>
      <c r="I529" s="370"/>
      <c r="K529" s="370"/>
      <c r="L529" s="370"/>
    </row>
    <row r="530" spans="4:12" x14ac:dyDescent="0.25">
      <c r="D530" s="449"/>
      <c r="E530" s="449"/>
      <c r="H530" s="370"/>
      <c r="I530" s="370"/>
      <c r="K530" s="370"/>
      <c r="L530" s="370"/>
    </row>
    <row r="531" spans="4:12" x14ac:dyDescent="0.25">
      <c r="D531" s="449"/>
      <c r="E531" s="449"/>
      <c r="H531" s="370"/>
      <c r="I531" s="370"/>
      <c r="K531" s="370"/>
      <c r="L531" s="370"/>
    </row>
    <row r="532" spans="4:12" x14ac:dyDescent="0.25">
      <c r="D532" s="449"/>
      <c r="E532" s="449"/>
      <c r="H532" s="370"/>
      <c r="I532" s="370"/>
      <c r="K532" s="370"/>
      <c r="L532" s="370"/>
    </row>
    <row r="533" spans="4:12" x14ac:dyDescent="0.25">
      <c r="D533" s="449"/>
      <c r="E533" s="449"/>
      <c r="H533" s="370"/>
      <c r="I533" s="370"/>
      <c r="K533" s="370"/>
      <c r="L533" s="370"/>
    </row>
    <row r="534" spans="4:12" x14ac:dyDescent="0.25">
      <c r="D534" s="449"/>
      <c r="E534" s="449"/>
      <c r="H534" s="370"/>
      <c r="I534" s="370"/>
      <c r="K534" s="370"/>
      <c r="L534" s="370"/>
    </row>
    <row r="535" spans="4:12" x14ac:dyDescent="0.25">
      <c r="D535" s="449"/>
      <c r="E535" s="449"/>
      <c r="H535" s="370"/>
      <c r="I535" s="370"/>
      <c r="K535" s="370"/>
      <c r="L535" s="370"/>
    </row>
    <row r="536" spans="4:12" x14ac:dyDescent="0.25">
      <c r="D536" s="449"/>
      <c r="E536" s="449"/>
      <c r="H536" s="370"/>
      <c r="I536" s="370"/>
      <c r="K536" s="370"/>
      <c r="L536" s="370"/>
    </row>
    <row r="537" spans="4:12" x14ac:dyDescent="0.25">
      <c r="D537" s="449"/>
      <c r="E537" s="449"/>
      <c r="H537" s="370"/>
      <c r="I537" s="370"/>
      <c r="K537" s="370"/>
      <c r="L537" s="370"/>
    </row>
    <row r="538" spans="4:12" x14ac:dyDescent="0.25">
      <c r="D538" s="449"/>
      <c r="E538" s="449"/>
      <c r="H538" s="370"/>
      <c r="I538" s="370"/>
      <c r="K538" s="370"/>
      <c r="L538" s="370"/>
    </row>
    <row r="539" spans="4:12" x14ac:dyDescent="0.25">
      <c r="D539" s="449"/>
      <c r="E539" s="449"/>
      <c r="H539" s="370"/>
      <c r="I539" s="370"/>
      <c r="K539" s="370"/>
      <c r="L539" s="370"/>
    </row>
    <row r="540" spans="4:12" x14ac:dyDescent="0.25">
      <c r="D540" s="449"/>
      <c r="E540" s="449"/>
      <c r="H540" s="370"/>
      <c r="I540" s="370"/>
      <c r="K540" s="370"/>
      <c r="L540" s="370"/>
    </row>
    <row r="541" spans="4:12" x14ac:dyDescent="0.25">
      <c r="D541" s="449"/>
      <c r="E541" s="449"/>
      <c r="H541" s="370"/>
      <c r="I541" s="370"/>
      <c r="K541" s="370"/>
      <c r="L541" s="370"/>
    </row>
    <row r="542" spans="4:12" x14ac:dyDescent="0.25">
      <c r="D542" s="449"/>
      <c r="E542" s="449"/>
      <c r="H542" s="370"/>
      <c r="I542" s="370"/>
      <c r="K542" s="370"/>
      <c r="L542" s="370"/>
    </row>
    <row r="543" spans="4:12" x14ac:dyDescent="0.25">
      <c r="D543" s="449"/>
      <c r="E543" s="449"/>
      <c r="H543" s="370"/>
      <c r="I543" s="370"/>
      <c r="K543" s="370"/>
      <c r="L543" s="370"/>
    </row>
    <row r="544" spans="4:12" x14ac:dyDescent="0.25">
      <c r="D544" s="449"/>
      <c r="E544" s="449"/>
      <c r="H544" s="370"/>
      <c r="I544" s="370"/>
      <c r="K544" s="370"/>
      <c r="L544" s="370"/>
    </row>
    <row r="545" spans="4:12" x14ac:dyDescent="0.25">
      <c r="D545" s="449"/>
      <c r="E545" s="449"/>
      <c r="H545" s="370"/>
      <c r="I545" s="370"/>
      <c r="K545" s="370"/>
      <c r="L545" s="370"/>
    </row>
    <row r="546" spans="4:12" x14ac:dyDescent="0.25">
      <c r="D546" s="449"/>
      <c r="E546" s="449"/>
      <c r="H546" s="370"/>
      <c r="I546" s="370"/>
      <c r="K546" s="370"/>
      <c r="L546" s="370"/>
    </row>
    <row r="547" spans="4:12" x14ac:dyDescent="0.25">
      <c r="D547" s="449"/>
      <c r="E547" s="449"/>
      <c r="H547" s="370"/>
      <c r="I547" s="370"/>
      <c r="K547" s="370"/>
      <c r="L547" s="370"/>
    </row>
    <row r="548" spans="4:12" x14ac:dyDescent="0.25">
      <c r="D548" s="449"/>
      <c r="E548" s="449"/>
      <c r="H548" s="370"/>
      <c r="I548" s="370"/>
      <c r="K548" s="370"/>
      <c r="L548" s="370"/>
    </row>
    <row r="549" spans="4:12" x14ac:dyDescent="0.25">
      <c r="D549" s="449"/>
      <c r="E549" s="449"/>
      <c r="H549" s="370"/>
      <c r="I549" s="370"/>
      <c r="K549" s="370"/>
      <c r="L549" s="370"/>
    </row>
    <row r="550" spans="4:12" x14ac:dyDescent="0.25">
      <c r="D550" s="449"/>
      <c r="E550" s="449"/>
      <c r="H550" s="370"/>
      <c r="I550" s="370"/>
      <c r="K550" s="370"/>
      <c r="L550" s="370"/>
    </row>
    <row r="551" spans="4:12" x14ac:dyDescent="0.25">
      <c r="D551" s="449"/>
      <c r="E551" s="449"/>
      <c r="H551" s="370"/>
      <c r="I551" s="370"/>
      <c r="K551" s="370"/>
      <c r="L551" s="370"/>
    </row>
    <row r="552" spans="4:12" x14ac:dyDescent="0.25">
      <c r="D552" s="449"/>
      <c r="E552" s="449"/>
      <c r="H552" s="370"/>
      <c r="I552" s="370"/>
      <c r="K552" s="370"/>
      <c r="L552" s="370"/>
    </row>
    <row r="553" spans="4:12" x14ac:dyDescent="0.25">
      <c r="D553" s="449"/>
      <c r="E553" s="449"/>
      <c r="H553" s="370"/>
      <c r="I553" s="370"/>
      <c r="K553" s="370"/>
      <c r="L553" s="370"/>
    </row>
    <row r="554" spans="4:12" x14ac:dyDescent="0.25">
      <c r="D554" s="449"/>
      <c r="E554" s="449"/>
      <c r="H554" s="370"/>
      <c r="I554" s="370"/>
      <c r="K554" s="370"/>
      <c r="L554" s="370"/>
    </row>
    <row r="555" spans="4:12" x14ac:dyDescent="0.25">
      <c r="D555" s="449"/>
      <c r="E555" s="449"/>
      <c r="H555" s="370"/>
      <c r="I555" s="370"/>
      <c r="K555" s="370"/>
      <c r="L555" s="370"/>
    </row>
    <row r="556" spans="4:12" x14ac:dyDescent="0.25">
      <c r="D556" s="449"/>
      <c r="E556" s="449"/>
      <c r="H556" s="370"/>
      <c r="I556" s="370"/>
      <c r="K556" s="370"/>
      <c r="L556" s="370"/>
    </row>
    <row r="557" spans="4:12" x14ac:dyDescent="0.25">
      <c r="D557" s="449"/>
      <c r="E557" s="449"/>
      <c r="H557" s="370"/>
      <c r="I557" s="370"/>
      <c r="K557" s="370"/>
      <c r="L557" s="370"/>
    </row>
    <row r="558" spans="4:12" x14ac:dyDescent="0.25">
      <c r="D558" s="449"/>
      <c r="E558" s="449"/>
      <c r="H558" s="370"/>
      <c r="I558" s="370"/>
      <c r="K558" s="370"/>
      <c r="L558" s="370"/>
    </row>
    <row r="559" spans="4:12" x14ac:dyDescent="0.25">
      <c r="D559" s="449"/>
      <c r="E559" s="449"/>
      <c r="H559" s="370"/>
      <c r="I559" s="370"/>
      <c r="K559" s="370"/>
      <c r="L559" s="370"/>
    </row>
    <row r="560" spans="4:12" x14ac:dyDescent="0.25">
      <c r="D560" s="449"/>
      <c r="E560" s="449"/>
      <c r="H560" s="370"/>
      <c r="I560" s="370"/>
      <c r="K560" s="370"/>
      <c r="L560" s="370"/>
    </row>
    <row r="561" spans="4:12" x14ac:dyDescent="0.25">
      <c r="D561" s="449"/>
      <c r="E561" s="449"/>
      <c r="H561" s="370"/>
      <c r="I561" s="370"/>
      <c r="K561" s="370"/>
      <c r="L561" s="370"/>
    </row>
    <row r="562" spans="4:12" x14ac:dyDescent="0.25">
      <c r="D562" s="449"/>
      <c r="E562" s="449"/>
      <c r="H562" s="370"/>
      <c r="I562" s="370"/>
      <c r="K562" s="370"/>
      <c r="L562" s="370"/>
    </row>
    <row r="563" spans="4:12" x14ac:dyDescent="0.25">
      <c r="D563" s="449"/>
      <c r="E563" s="449"/>
      <c r="H563" s="370"/>
      <c r="I563" s="370"/>
      <c r="K563" s="370"/>
      <c r="L563" s="370"/>
    </row>
    <row r="564" spans="4:12" x14ac:dyDescent="0.25">
      <c r="D564" s="449"/>
      <c r="E564" s="449"/>
      <c r="H564" s="370"/>
      <c r="I564" s="370"/>
      <c r="K564" s="370"/>
      <c r="L564" s="370"/>
    </row>
    <row r="565" spans="4:12" x14ac:dyDescent="0.25">
      <c r="D565" s="449"/>
      <c r="E565" s="449"/>
      <c r="H565" s="370"/>
      <c r="I565" s="370"/>
      <c r="K565" s="370"/>
      <c r="L565" s="370"/>
    </row>
    <row r="566" spans="4:12" x14ac:dyDescent="0.25">
      <c r="D566" s="449"/>
      <c r="E566" s="449"/>
      <c r="H566" s="370"/>
      <c r="I566" s="370"/>
      <c r="K566" s="370"/>
      <c r="L566" s="370"/>
    </row>
    <row r="567" spans="4:12" x14ac:dyDescent="0.25">
      <c r="D567" s="449"/>
      <c r="E567" s="449"/>
      <c r="H567" s="370"/>
      <c r="I567" s="370"/>
      <c r="K567" s="370"/>
      <c r="L567" s="370"/>
    </row>
    <row r="568" spans="4:12" x14ac:dyDescent="0.25">
      <c r="D568" s="449"/>
      <c r="E568" s="449"/>
      <c r="H568" s="370"/>
      <c r="I568" s="370"/>
      <c r="K568" s="370"/>
      <c r="L568" s="370"/>
    </row>
    <row r="569" spans="4:12" x14ac:dyDescent="0.25">
      <c r="D569" s="449"/>
      <c r="E569" s="449"/>
      <c r="H569" s="370"/>
      <c r="I569" s="370"/>
      <c r="K569" s="370"/>
      <c r="L569" s="370"/>
    </row>
    <row r="570" spans="4:12" x14ac:dyDescent="0.25">
      <c r="D570" s="449"/>
      <c r="E570" s="449"/>
      <c r="H570" s="370"/>
      <c r="I570" s="370"/>
      <c r="K570" s="370"/>
      <c r="L570" s="370"/>
    </row>
    <row r="571" spans="4:12" x14ac:dyDescent="0.25">
      <c r="D571" s="449"/>
      <c r="E571" s="449"/>
      <c r="H571" s="370"/>
      <c r="I571" s="370"/>
      <c r="K571" s="370"/>
      <c r="L571" s="370"/>
    </row>
    <row r="572" spans="4:12" x14ac:dyDescent="0.25">
      <c r="D572" s="449"/>
      <c r="E572" s="449"/>
      <c r="H572" s="370"/>
      <c r="I572" s="370"/>
      <c r="K572" s="370"/>
      <c r="L572" s="370"/>
    </row>
    <row r="573" spans="4:12" x14ac:dyDescent="0.25">
      <c r="D573" s="449"/>
      <c r="E573" s="449"/>
      <c r="H573" s="370"/>
      <c r="I573" s="370"/>
      <c r="K573" s="370"/>
      <c r="L573" s="370"/>
    </row>
    <row r="574" spans="4:12" x14ac:dyDescent="0.25">
      <c r="D574" s="449"/>
      <c r="E574" s="449"/>
      <c r="H574" s="370"/>
      <c r="I574" s="370"/>
      <c r="K574" s="370"/>
      <c r="L574" s="370"/>
    </row>
    <row r="575" spans="4:12" x14ac:dyDescent="0.25">
      <c r="D575" s="449"/>
      <c r="E575" s="449"/>
      <c r="H575" s="370"/>
      <c r="I575" s="370"/>
      <c r="K575" s="370"/>
      <c r="L575" s="370"/>
    </row>
    <row r="576" spans="4:12" x14ac:dyDescent="0.25">
      <c r="D576" s="449"/>
      <c r="E576" s="449"/>
      <c r="H576" s="370"/>
      <c r="I576" s="370"/>
      <c r="K576" s="370"/>
      <c r="L576" s="370"/>
    </row>
    <row r="577" spans="4:12" x14ac:dyDescent="0.25">
      <c r="D577" s="449"/>
      <c r="E577" s="449"/>
      <c r="H577" s="370"/>
      <c r="I577" s="370"/>
      <c r="K577" s="370"/>
      <c r="L577" s="370"/>
    </row>
    <row r="578" spans="4:12" x14ac:dyDescent="0.25">
      <c r="D578" s="449"/>
      <c r="E578" s="449"/>
      <c r="H578" s="370"/>
      <c r="I578" s="370"/>
      <c r="K578" s="370"/>
      <c r="L578" s="370"/>
    </row>
    <row r="579" spans="4:12" x14ac:dyDescent="0.25">
      <c r="D579" s="449"/>
      <c r="E579" s="449"/>
      <c r="H579" s="370"/>
      <c r="I579" s="370"/>
      <c r="K579" s="370"/>
      <c r="L579" s="370"/>
    </row>
    <row r="580" spans="4:12" x14ac:dyDescent="0.25">
      <c r="D580" s="449"/>
      <c r="E580" s="449"/>
      <c r="H580" s="370"/>
      <c r="I580" s="370"/>
      <c r="K580" s="370"/>
      <c r="L580" s="370"/>
    </row>
    <row r="581" spans="4:12" x14ac:dyDescent="0.25">
      <c r="D581" s="449"/>
      <c r="E581" s="449"/>
      <c r="H581" s="370"/>
      <c r="I581" s="370"/>
      <c r="K581" s="370"/>
      <c r="L581" s="370"/>
    </row>
    <row r="582" spans="4:12" x14ac:dyDescent="0.25">
      <c r="D582" s="449"/>
      <c r="E582" s="449"/>
      <c r="H582" s="370"/>
      <c r="I582" s="370"/>
      <c r="K582" s="370"/>
      <c r="L582" s="370"/>
    </row>
    <row r="583" spans="4:12" x14ac:dyDescent="0.25">
      <c r="D583" s="449"/>
      <c r="E583" s="449"/>
      <c r="H583" s="370"/>
      <c r="I583" s="370"/>
      <c r="K583" s="370"/>
      <c r="L583" s="370"/>
    </row>
    <row r="584" spans="4:12" x14ac:dyDescent="0.25">
      <c r="D584" s="449"/>
      <c r="E584" s="449"/>
      <c r="H584" s="370"/>
      <c r="I584" s="370"/>
      <c r="K584" s="370"/>
      <c r="L584" s="370"/>
    </row>
    <row r="585" spans="4:12" x14ac:dyDescent="0.25">
      <c r="D585" s="449"/>
      <c r="E585" s="449"/>
      <c r="H585" s="370"/>
      <c r="I585" s="370"/>
      <c r="K585" s="370"/>
      <c r="L585" s="370"/>
    </row>
    <row r="586" spans="4:12" x14ac:dyDescent="0.25">
      <c r="D586" s="449"/>
      <c r="E586" s="449"/>
      <c r="H586" s="370"/>
      <c r="I586" s="370"/>
      <c r="K586" s="370"/>
      <c r="L586" s="370"/>
    </row>
    <row r="587" spans="4:12" x14ac:dyDescent="0.25">
      <c r="D587" s="449"/>
      <c r="E587" s="449"/>
      <c r="H587" s="370"/>
      <c r="I587" s="370"/>
      <c r="K587" s="370"/>
      <c r="L587" s="370"/>
    </row>
    <row r="588" spans="4:12" x14ac:dyDescent="0.25">
      <c r="D588" s="449"/>
      <c r="E588" s="449"/>
      <c r="H588" s="370"/>
      <c r="I588" s="370"/>
      <c r="K588" s="370"/>
      <c r="L588" s="370"/>
    </row>
    <row r="589" spans="4:12" x14ac:dyDescent="0.25">
      <c r="D589" s="449"/>
      <c r="E589" s="449"/>
      <c r="H589" s="370"/>
      <c r="I589" s="370"/>
      <c r="K589" s="370"/>
      <c r="L589" s="370"/>
    </row>
    <row r="590" spans="4:12" x14ac:dyDescent="0.25">
      <c r="D590" s="449"/>
      <c r="E590" s="449"/>
      <c r="H590" s="370"/>
      <c r="I590" s="370"/>
      <c r="K590" s="370"/>
      <c r="L590" s="370"/>
    </row>
    <row r="591" spans="4:12" x14ac:dyDescent="0.25">
      <c r="D591" s="449"/>
      <c r="E591" s="449"/>
      <c r="H591" s="370"/>
      <c r="I591" s="370"/>
      <c r="K591" s="370"/>
      <c r="L591" s="370"/>
    </row>
    <row r="592" spans="4:12" x14ac:dyDescent="0.25">
      <c r="D592" s="449"/>
      <c r="E592" s="449"/>
      <c r="H592" s="370"/>
      <c r="I592" s="370"/>
      <c r="K592" s="370"/>
      <c r="L592" s="370"/>
    </row>
    <row r="593" spans="4:12" x14ac:dyDescent="0.25">
      <c r="D593" s="449"/>
      <c r="E593" s="449"/>
      <c r="H593" s="370"/>
      <c r="I593" s="370"/>
      <c r="K593" s="370"/>
      <c r="L593" s="370"/>
    </row>
    <row r="594" spans="4:12" x14ac:dyDescent="0.25">
      <c r="D594" s="449"/>
      <c r="E594" s="449"/>
      <c r="H594" s="370"/>
      <c r="I594" s="370"/>
      <c r="K594" s="370"/>
      <c r="L594" s="370"/>
    </row>
    <row r="595" spans="4:12" x14ac:dyDescent="0.25">
      <c r="D595" s="449"/>
      <c r="E595" s="449"/>
      <c r="H595" s="370"/>
      <c r="I595" s="370"/>
      <c r="K595" s="370"/>
      <c r="L595" s="370"/>
    </row>
    <row r="596" spans="4:12" x14ac:dyDescent="0.25">
      <c r="D596" s="449"/>
      <c r="E596" s="449"/>
      <c r="H596" s="370"/>
      <c r="I596" s="370"/>
      <c r="K596" s="370"/>
      <c r="L596" s="370"/>
    </row>
    <row r="597" spans="4:12" x14ac:dyDescent="0.25">
      <c r="D597" s="449"/>
      <c r="E597" s="449"/>
      <c r="H597" s="370"/>
      <c r="I597" s="370"/>
      <c r="K597" s="370"/>
      <c r="L597" s="370"/>
    </row>
    <row r="598" spans="4:12" x14ac:dyDescent="0.25">
      <c r="D598" s="449"/>
      <c r="E598" s="449"/>
      <c r="H598" s="370"/>
      <c r="I598" s="370"/>
      <c r="K598" s="370"/>
      <c r="L598" s="370"/>
    </row>
    <row r="599" spans="4:12" x14ac:dyDescent="0.25">
      <c r="D599" s="449"/>
      <c r="E599" s="449"/>
      <c r="H599" s="370"/>
      <c r="I599" s="370"/>
      <c r="K599" s="370"/>
      <c r="L599" s="370"/>
    </row>
    <row r="600" spans="4:12" x14ac:dyDescent="0.25">
      <c r="D600" s="449"/>
      <c r="E600" s="449"/>
      <c r="H600" s="370"/>
      <c r="I600" s="370"/>
      <c r="K600" s="370"/>
      <c r="L600" s="370"/>
    </row>
    <row r="601" spans="4:12" x14ac:dyDescent="0.25">
      <c r="D601" s="449"/>
      <c r="E601" s="449"/>
      <c r="H601" s="370"/>
      <c r="I601" s="370"/>
      <c r="K601" s="370"/>
      <c r="L601" s="370"/>
    </row>
    <row r="602" spans="4:12" x14ac:dyDescent="0.25">
      <c r="D602" s="449"/>
      <c r="E602" s="449"/>
      <c r="H602" s="370"/>
      <c r="I602" s="370"/>
      <c r="K602" s="370"/>
      <c r="L602" s="370"/>
    </row>
    <row r="603" spans="4:12" x14ac:dyDescent="0.25">
      <c r="D603" s="449"/>
      <c r="E603" s="449"/>
      <c r="H603" s="370"/>
      <c r="I603" s="370"/>
      <c r="K603" s="370"/>
      <c r="L603" s="370"/>
    </row>
    <row r="604" spans="4:12" x14ac:dyDescent="0.25">
      <c r="D604" s="449"/>
      <c r="E604" s="449"/>
      <c r="H604" s="370"/>
      <c r="I604" s="370"/>
      <c r="K604" s="370"/>
      <c r="L604" s="370"/>
    </row>
    <row r="605" spans="4:12" x14ac:dyDescent="0.25">
      <c r="D605" s="449"/>
      <c r="E605" s="449"/>
      <c r="H605" s="370"/>
      <c r="I605" s="370"/>
      <c r="K605" s="370"/>
      <c r="L605" s="370"/>
    </row>
    <row r="606" spans="4:12" x14ac:dyDescent="0.25">
      <c r="D606" s="449"/>
      <c r="E606" s="449"/>
      <c r="H606" s="370"/>
      <c r="I606" s="370"/>
      <c r="K606" s="370"/>
      <c r="L606" s="370"/>
    </row>
    <row r="607" spans="4:12" x14ac:dyDescent="0.25">
      <c r="D607" s="449"/>
      <c r="E607" s="449"/>
      <c r="H607" s="370"/>
      <c r="I607" s="370"/>
      <c r="K607" s="370"/>
      <c r="L607" s="370"/>
    </row>
    <row r="608" spans="4:12" x14ac:dyDescent="0.25">
      <c r="D608" s="449"/>
      <c r="E608" s="449"/>
      <c r="H608" s="370"/>
      <c r="I608" s="370"/>
      <c r="K608" s="370"/>
      <c r="L608" s="370"/>
    </row>
    <row r="609" spans="4:12" x14ac:dyDescent="0.25">
      <c r="D609" s="449"/>
      <c r="E609" s="449"/>
      <c r="H609" s="370"/>
      <c r="I609" s="370"/>
      <c r="K609" s="370"/>
      <c r="L609" s="370"/>
    </row>
    <row r="610" spans="4:12" x14ac:dyDescent="0.25">
      <c r="D610" s="449"/>
      <c r="E610" s="449"/>
      <c r="H610" s="370"/>
      <c r="I610" s="370"/>
      <c r="K610" s="370"/>
      <c r="L610" s="370"/>
    </row>
    <row r="611" spans="4:12" x14ac:dyDescent="0.25">
      <c r="D611" s="449"/>
      <c r="E611" s="449"/>
      <c r="H611" s="370"/>
      <c r="I611" s="370"/>
      <c r="K611" s="370"/>
      <c r="L611" s="370"/>
    </row>
    <row r="612" spans="4:12" x14ac:dyDescent="0.25">
      <c r="D612" s="449"/>
      <c r="E612" s="449"/>
      <c r="H612" s="370"/>
      <c r="I612" s="370"/>
      <c r="K612" s="370"/>
      <c r="L612" s="370"/>
    </row>
    <row r="613" spans="4:12" x14ac:dyDescent="0.25">
      <c r="D613" s="449"/>
      <c r="E613" s="449"/>
      <c r="H613" s="370"/>
      <c r="I613" s="370"/>
      <c r="K613" s="370"/>
      <c r="L613" s="370"/>
    </row>
    <row r="614" spans="4:12" x14ac:dyDescent="0.25">
      <c r="D614" s="449"/>
      <c r="E614" s="449"/>
      <c r="H614" s="370"/>
      <c r="I614" s="370"/>
      <c r="K614" s="370"/>
      <c r="L614" s="370"/>
    </row>
    <row r="615" spans="4:12" x14ac:dyDescent="0.25">
      <c r="D615" s="449"/>
      <c r="E615" s="449"/>
      <c r="H615" s="370"/>
      <c r="I615" s="370"/>
      <c r="K615" s="370"/>
      <c r="L615" s="370"/>
    </row>
    <row r="616" spans="4:12" x14ac:dyDescent="0.25">
      <c r="D616" s="449"/>
      <c r="E616" s="449"/>
      <c r="H616" s="370"/>
      <c r="I616" s="370"/>
      <c r="K616" s="370"/>
      <c r="L616" s="370"/>
    </row>
    <row r="617" spans="4:12" x14ac:dyDescent="0.25">
      <c r="D617" s="449"/>
      <c r="E617" s="449"/>
      <c r="H617" s="370"/>
      <c r="I617" s="370"/>
      <c r="K617" s="370"/>
      <c r="L617" s="370"/>
    </row>
    <row r="618" spans="4:12" x14ac:dyDescent="0.25">
      <c r="D618" s="449"/>
      <c r="E618" s="449"/>
      <c r="H618" s="370"/>
      <c r="I618" s="370"/>
      <c r="K618" s="370"/>
      <c r="L618" s="370"/>
    </row>
    <row r="619" spans="4:12" x14ac:dyDescent="0.25">
      <c r="D619" s="449"/>
      <c r="E619" s="449"/>
      <c r="H619" s="370"/>
      <c r="I619" s="370"/>
      <c r="K619" s="370"/>
      <c r="L619" s="370"/>
    </row>
    <row r="620" spans="4:12" x14ac:dyDescent="0.25">
      <c r="D620" s="449"/>
      <c r="E620" s="449"/>
      <c r="H620" s="370"/>
      <c r="I620" s="370"/>
      <c r="K620" s="370"/>
      <c r="L620" s="370"/>
    </row>
    <row r="621" spans="4:12" x14ac:dyDescent="0.25">
      <c r="D621" s="449"/>
      <c r="E621" s="449"/>
      <c r="H621" s="370"/>
      <c r="I621" s="370"/>
      <c r="K621" s="370"/>
      <c r="L621" s="370"/>
    </row>
    <row r="622" spans="4:12" x14ac:dyDescent="0.25">
      <c r="D622" s="449"/>
      <c r="E622" s="449"/>
      <c r="H622" s="370"/>
      <c r="I622" s="370"/>
      <c r="K622" s="370"/>
      <c r="L622" s="370"/>
    </row>
    <row r="623" spans="4:12" x14ac:dyDescent="0.25">
      <c r="D623" s="449"/>
      <c r="E623" s="449"/>
      <c r="H623" s="370"/>
      <c r="I623" s="370"/>
      <c r="K623" s="370"/>
      <c r="L623" s="370"/>
    </row>
    <row r="624" spans="4:12" x14ac:dyDescent="0.25">
      <c r="D624" s="449"/>
      <c r="E624" s="449"/>
      <c r="H624" s="370"/>
      <c r="I624" s="370"/>
      <c r="K624" s="370"/>
      <c r="L624" s="370"/>
    </row>
    <row r="625" spans="4:12" x14ac:dyDescent="0.25">
      <c r="D625" s="449"/>
      <c r="E625" s="449"/>
      <c r="H625" s="370"/>
      <c r="I625" s="370"/>
      <c r="K625" s="370"/>
      <c r="L625" s="370"/>
    </row>
    <row r="626" spans="4:12" x14ac:dyDescent="0.25">
      <c r="D626" s="449"/>
      <c r="E626" s="449"/>
      <c r="H626" s="370"/>
      <c r="I626" s="370"/>
      <c r="K626" s="370"/>
      <c r="L626" s="370"/>
    </row>
    <row r="627" spans="4:12" x14ac:dyDescent="0.25">
      <c r="D627" s="449"/>
      <c r="E627" s="449"/>
      <c r="H627" s="370"/>
      <c r="I627" s="370"/>
      <c r="K627" s="370"/>
      <c r="L627" s="370"/>
    </row>
    <row r="628" spans="4:12" x14ac:dyDescent="0.25">
      <c r="D628" s="449"/>
      <c r="E628" s="449"/>
      <c r="H628" s="370"/>
      <c r="I628" s="370"/>
      <c r="K628" s="370"/>
      <c r="L628" s="370"/>
    </row>
    <row r="629" spans="4:12" x14ac:dyDescent="0.25">
      <c r="D629" s="449"/>
      <c r="E629" s="449"/>
      <c r="H629" s="370"/>
      <c r="I629" s="370"/>
      <c r="K629" s="370"/>
      <c r="L629" s="370"/>
    </row>
    <row r="630" spans="4:12" x14ac:dyDescent="0.25">
      <c r="D630" s="449"/>
      <c r="E630" s="449"/>
      <c r="H630" s="370"/>
      <c r="I630" s="370"/>
      <c r="K630" s="370"/>
      <c r="L630" s="370"/>
    </row>
    <row r="631" spans="4:12" x14ac:dyDescent="0.25">
      <c r="D631" s="449"/>
      <c r="E631" s="449"/>
      <c r="H631" s="370"/>
      <c r="I631" s="370"/>
      <c r="K631" s="370"/>
      <c r="L631" s="370"/>
    </row>
    <row r="632" spans="4:12" x14ac:dyDescent="0.25">
      <c r="D632" s="449"/>
      <c r="E632" s="449"/>
      <c r="H632" s="370"/>
      <c r="I632" s="370"/>
      <c r="K632" s="370"/>
      <c r="L632" s="370"/>
    </row>
    <row r="633" spans="4:12" x14ac:dyDescent="0.25">
      <c r="D633" s="449"/>
      <c r="E633" s="449"/>
      <c r="H633" s="370"/>
      <c r="I633" s="370"/>
      <c r="K633" s="370"/>
      <c r="L633" s="370"/>
    </row>
    <row r="634" spans="4:12" x14ac:dyDescent="0.25">
      <c r="D634" s="449"/>
      <c r="E634" s="449"/>
      <c r="H634" s="370"/>
      <c r="I634" s="370"/>
      <c r="K634" s="370"/>
      <c r="L634" s="370"/>
    </row>
    <row r="635" spans="4:12" x14ac:dyDescent="0.25">
      <c r="D635" s="449"/>
      <c r="E635" s="449"/>
      <c r="H635" s="370"/>
      <c r="I635" s="370"/>
      <c r="K635" s="370"/>
      <c r="L635" s="370"/>
    </row>
    <row r="636" spans="4:12" x14ac:dyDescent="0.25">
      <c r="D636" s="449"/>
      <c r="E636" s="449"/>
      <c r="H636" s="370"/>
      <c r="I636" s="370"/>
      <c r="K636" s="370"/>
      <c r="L636" s="370"/>
    </row>
    <row r="637" spans="4:12" x14ac:dyDescent="0.25">
      <c r="D637" s="449"/>
      <c r="E637" s="449"/>
      <c r="H637" s="370"/>
      <c r="I637" s="370"/>
      <c r="K637" s="370"/>
      <c r="L637" s="370"/>
    </row>
    <row r="638" spans="4:12" x14ac:dyDescent="0.25">
      <c r="D638" s="449"/>
      <c r="E638" s="449"/>
      <c r="H638" s="370"/>
      <c r="I638" s="370"/>
      <c r="K638" s="370"/>
      <c r="L638" s="370"/>
    </row>
    <row r="639" spans="4:12" x14ac:dyDescent="0.25">
      <c r="D639" s="449"/>
      <c r="E639" s="449"/>
      <c r="H639" s="370"/>
      <c r="I639" s="370"/>
      <c r="K639" s="370"/>
      <c r="L639" s="370"/>
    </row>
    <row r="640" spans="4:12" x14ac:dyDescent="0.25">
      <c r="D640" s="449"/>
      <c r="E640" s="449"/>
      <c r="H640" s="370"/>
      <c r="I640" s="370"/>
      <c r="K640" s="370"/>
      <c r="L640" s="370"/>
    </row>
    <row r="641" spans="4:12" x14ac:dyDescent="0.25">
      <c r="D641" s="449"/>
      <c r="E641" s="449"/>
      <c r="H641" s="370"/>
      <c r="I641" s="370"/>
      <c r="K641" s="370"/>
      <c r="L641" s="370"/>
    </row>
    <row r="642" spans="4:12" x14ac:dyDescent="0.25">
      <c r="D642" s="449"/>
      <c r="E642" s="449"/>
      <c r="H642" s="370"/>
      <c r="I642" s="370"/>
      <c r="K642" s="370"/>
      <c r="L642" s="370"/>
    </row>
    <row r="643" spans="4:12" x14ac:dyDescent="0.25">
      <c r="D643" s="449"/>
      <c r="E643" s="449"/>
      <c r="H643" s="370"/>
      <c r="I643" s="370"/>
      <c r="K643" s="370"/>
      <c r="L643" s="370"/>
    </row>
    <row r="644" spans="4:12" x14ac:dyDescent="0.25">
      <c r="D644" s="449"/>
      <c r="E644" s="449"/>
      <c r="H644" s="370"/>
      <c r="I644" s="370"/>
      <c r="K644" s="370"/>
      <c r="L644" s="370"/>
    </row>
    <row r="645" spans="4:12" x14ac:dyDescent="0.25">
      <c r="D645" s="449"/>
      <c r="E645" s="449"/>
      <c r="H645" s="370"/>
      <c r="I645" s="370"/>
      <c r="K645" s="370"/>
      <c r="L645" s="370"/>
    </row>
    <row r="646" spans="4:12" x14ac:dyDescent="0.25">
      <c r="D646" s="449"/>
      <c r="E646" s="449"/>
      <c r="H646" s="370"/>
      <c r="I646" s="370"/>
      <c r="K646" s="370"/>
      <c r="L646" s="370"/>
    </row>
    <row r="647" spans="4:12" x14ac:dyDescent="0.25">
      <c r="D647" s="449"/>
      <c r="E647" s="449"/>
      <c r="H647" s="370"/>
      <c r="I647" s="370"/>
      <c r="K647" s="370"/>
      <c r="L647" s="370"/>
    </row>
    <row r="648" spans="4:12" x14ac:dyDescent="0.25">
      <c r="D648" s="449"/>
      <c r="E648" s="449"/>
      <c r="H648" s="370"/>
      <c r="I648" s="370"/>
      <c r="K648" s="370"/>
      <c r="L648" s="370"/>
    </row>
    <row r="649" spans="4:12" x14ac:dyDescent="0.25">
      <c r="D649" s="449"/>
      <c r="E649" s="449"/>
      <c r="H649" s="370"/>
      <c r="I649" s="370"/>
      <c r="K649" s="370"/>
      <c r="L649" s="370"/>
    </row>
    <row r="650" spans="4:12" x14ac:dyDescent="0.25">
      <c r="D650" s="449"/>
      <c r="E650" s="449"/>
      <c r="H650" s="370"/>
      <c r="I650" s="370"/>
      <c r="K650" s="370"/>
      <c r="L650" s="370"/>
    </row>
    <row r="651" spans="4:12" x14ac:dyDescent="0.25">
      <c r="D651" s="449"/>
      <c r="E651" s="449"/>
      <c r="H651" s="370"/>
      <c r="I651" s="370"/>
      <c r="K651" s="370"/>
      <c r="L651" s="370"/>
    </row>
    <row r="652" spans="4:12" x14ac:dyDescent="0.25">
      <c r="D652" s="449"/>
      <c r="E652" s="449"/>
      <c r="H652" s="370"/>
      <c r="I652" s="370"/>
      <c r="K652" s="370"/>
      <c r="L652" s="370"/>
    </row>
    <row r="653" spans="4:12" x14ac:dyDescent="0.25">
      <c r="D653" s="449"/>
      <c r="E653" s="449"/>
      <c r="H653" s="370"/>
      <c r="I653" s="370"/>
      <c r="K653" s="370"/>
      <c r="L653" s="370"/>
    </row>
    <row r="654" spans="4:12" x14ac:dyDescent="0.25">
      <c r="D654" s="449"/>
      <c r="E654" s="449"/>
      <c r="H654" s="370"/>
      <c r="I654" s="370"/>
      <c r="K654" s="370"/>
      <c r="L654" s="370"/>
    </row>
    <row r="655" spans="4:12" x14ac:dyDescent="0.25">
      <c r="D655" s="449"/>
      <c r="E655" s="449"/>
      <c r="H655" s="370"/>
      <c r="I655" s="370"/>
      <c r="K655" s="370"/>
      <c r="L655" s="370"/>
    </row>
    <row r="656" spans="4:12" x14ac:dyDescent="0.25">
      <c r="D656" s="449"/>
      <c r="E656" s="449"/>
      <c r="H656" s="370"/>
      <c r="I656" s="370"/>
      <c r="K656" s="370"/>
      <c r="L656" s="370"/>
    </row>
    <row r="657" spans="4:12" x14ac:dyDescent="0.25">
      <c r="D657" s="449"/>
      <c r="E657" s="449"/>
      <c r="H657" s="370"/>
      <c r="I657" s="370"/>
      <c r="K657" s="370"/>
      <c r="L657" s="370"/>
    </row>
    <row r="658" spans="4:12" x14ac:dyDescent="0.25">
      <c r="D658" s="449"/>
      <c r="E658" s="449"/>
      <c r="H658" s="370"/>
      <c r="I658" s="370"/>
      <c r="K658" s="370"/>
      <c r="L658" s="370"/>
    </row>
    <row r="659" spans="4:12" x14ac:dyDescent="0.25">
      <c r="D659" s="449"/>
      <c r="E659" s="449"/>
      <c r="H659" s="370"/>
      <c r="I659" s="370"/>
      <c r="K659" s="370"/>
      <c r="L659" s="370"/>
    </row>
    <row r="660" spans="4:12" x14ac:dyDescent="0.25">
      <c r="D660" s="449"/>
      <c r="E660" s="449"/>
      <c r="H660" s="370"/>
      <c r="I660" s="370"/>
      <c r="K660" s="370"/>
      <c r="L660" s="370"/>
    </row>
    <row r="661" spans="4:12" x14ac:dyDescent="0.25">
      <c r="D661" s="449"/>
      <c r="E661" s="449"/>
      <c r="H661" s="370"/>
      <c r="I661" s="370"/>
      <c r="K661" s="370"/>
      <c r="L661" s="370"/>
    </row>
    <row r="662" spans="4:12" x14ac:dyDescent="0.25">
      <c r="D662" s="449"/>
      <c r="E662" s="449"/>
      <c r="H662" s="370"/>
      <c r="I662" s="370"/>
      <c r="K662" s="370"/>
      <c r="L662" s="370"/>
    </row>
    <row r="663" spans="4:12" x14ac:dyDescent="0.25">
      <c r="D663" s="449"/>
      <c r="E663" s="449"/>
      <c r="H663" s="370"/>
      <c r="I663" s="370"/>
      <c r="K663" s="370"/>
      <c r="L663" s="370"/>
    </row>
    <row r="664" spans="4:12" x14ac:dyDescent="0.25">
      <c r="D664" s="449"/>
      <c r="E664" s="449"/>
      <c r="H664" s="370"/>
      <c r="I664" s="370"/>
      <c r="K664" s="370"/>
      <c r="L664" s="370"/>
    </row>
    <row r="665" spans="4:12" x14ac:dyDescent="0.25">
      <c r="D665" s="449"/>
      <c r="E665" s="449"/>
      <c r="H665" s="370"/>
      <c r="I665" s="370"/>
      <c r="K665" s="370"/>
      <c r="L665" s="370"/>
    </row>
    <row r="666" spans="4:12" x14ac:dyDescent="0.25">
      <c r="D666" s="449"/>
      <c r="E666" s="449"/>
      <c r="H666" s="370"/>
      <c r="I666" s="370"/>
      <c r="K666" s="370"/>
      <c r="L666" s="370"/>
    </row>
    <row r="667" spans="4:12" x14ac:dyDescent="0.25">
      <c r="D667" s="449"/>
      <c r="E667" s="449"/>
      <c r="H667" s="370"/>
      <c r="I667" s="370"/>
      <c r="K667" s="370"/>
      <c r="L667" s="370"/>
    </row>
    <row r="668" spans="4:12" x14ac:dyDescent="0.25">
      <c r="D668" s="449"/>
      <c r="E668" s="449"/>
      <c r="H668" s="370"/>
      <c r="I668" s="370"/>
      <c r="K668" s="370"/>
      <c r="L668" s="370"/>
    </row>
    <row r="669" spans="4:12" x14ac:dyDescent="0.25">
      <c r="D669" s="449"/>
      <c r="E669" s="449"/>
      <c r="H669" s="370"/>
      <c r="I669" s="370"/>
      <c r="K669" s="370"/>
      <c r="L669" s="370"/>
    </row>
    <row r="670" spans="4:12" x14ac:dyDescent="0.25">
      <c r="D670" s="449"/>
      <c r="E670" s="449"/>
      <c r="H670" s="370"/>
      <c r="I670" s="370"/>
      <c r="K670" s="370"/>
      <c r="L670" s="370"/>
    </row>
    <row r="671" spans="4:12" x14ac:dyDescent="0.25">
      <c r="D671" s="449"/>
      <c r="E671" s="449"/>
      <c r="H671" s="370"/>
      <c r="I671" s="370"/>
      <c r="K671" s="370"/>
      <c r="L671" s="370"/>
    </row>
    <row r="672" spans="4:12" x14ac:dyDescent="0.25">
      <c r="D672" s="449"/>
      <c r="E672" s="449"/>
      <c r="H672" s="370"/>
      <c r="I672" s="370"/>
      <c r="K672" s="370"/>
      <c r="L672" s="370"/>
    </row>
    <row r="673" spans="4:12" x14ac:dyDescent="0.25">
      <c r="D673" s="449"/>
      <c r="E673" s="449"/>
      <c r="H673" s="370"/>
      <c r="I673" s="370"/>
      <c r="K673" s="370"/>
      <c r="L673" s="370"/>
    </row>
    <row r="674" spans="4:12" x14ac:dyDescent="0.25">
      <c r="D674" s="449"/>
      <c r="E674" s="449"/>
      <c r="H674" s="370"/>
      <c r="I674" s="370"/>
      <c r="K674" s="370"/>
      <c r="L674" s="370"/>
    </row>
    <row r="675" spans="4:12" x14ac:dyDescent="0.25">
      <c r="D675" s="449"/>
      <c r="E675" s="449"/>
      <c r="H675" s="370"/>
      <c r="I675" s="370"/>
      <c r="K675" s="370"/>
      <c r="L675" s="370"/>
    </row>
    <row r="676" spans="4:12" x14ac:dyDescent="0.25">
      <c r="D676" s="449"/>
      <c r="E676" s="449"/>
      <c r="H676" s="370"/>
      <c r="I676" s="370"/>
      <c r="K676" s="370"/>
      <c r="L676" s="370"/>
    </row>
    <row r="677" spans="4:12" x14ac:dyDescent="0.25">
      <c r="D677" s="449"/>
      <c r="E677" s="449"/>
      <c r="H677" s="370"/>
      <c r="I677" s="370"/>
      <c r="K677" s="370"/>
      <c r="L677" s="370"/>
    </row>
    <row r="678" spans="4:12" x14ac:dyDescent="0.25">
      <c r="D678" s="449"/>
      <c r="E678" s="449"/>
      <c r="H678" s="370"/>
      <c r="I678" s="370"/>
      <c r="K678" s="370"/>
      <c r="L678" s="370"/>
    </row>
    <row r="679" spans="4:12" x14ac:dyDescent="0.25">
      <c r="D679" s="449"/>
      <c r="E679" s="449"/>
      <c r="H679" s="370"/>
      <c r="I679" s="370"/>
      <c r="K679" s="370"/>
      <c r="L679" s="370"/>
    </row>
    <row r="680" spans="4:12" x14ac:dyDescent="0.25">
      <c r="D680" s="449"/>
      <c r="E680" s="449"/>
      <c r="H680" s="370"/>
      <c r="I680" s="370"/>
      <c r="K680" s="370"/>
      <c r="L680" s="370"/>
    </row>
    <row r="681" spans="4:12" x14ac:dyDescent="0.25">
      <c r="D681" s="449"/>
      <c r="E681" s="449"/>
      <c r="H681" s="370"/>
      <c r="I681" s="370"/>
      <c r="K681" s="370"/>
      <c r="L681" s="370"/>
    </row>
    <row r="682" spans="4:12" x14ac:dyDescent="0.25">
      <c r="D682" s="449"/>
      <c r="E682" s="449"/>
      <c r="H682" s="370"/>
      <c r="I682" s="370"/>
      <c r="K682" s="370"/>
      <c r="L682" s="370"/>
    </row>
    <row r="683" spans="4:12" x14ac:dyDescent="0.25">
      <c r="D683" s="449"/>
      <c r="E683" s="449"/>
      <c r="H683" s="370"/>
      <c r="I683" s="370"/>
      <c r="K683" s="370"/>
      <c r="L683" s="370"/>
    </row>
    <row r="684" spans="4:12" x14ac:dyDescent="0.25">
      <c r="D684" s="449"/>
      <c r="E684" s="449"/>
      <c r="H684" s="370"/>
      <c r="I684" s="370"/>
      <c r="K684" s="370"/>
      <c r="L684" s="370"/>
    </row>
    <row r="685" spans="4:12" x14ac:dyDescent="0.25">
      <c r="D685" s="449"/>
      <c r="E685" s="449"/>
      <c r="H685" s="370"/>
      <c r="I685" s="370"/>
      <c r="K685" s="370"/>
      <c r="L685" s="370"/>
    </row>
    <row r="686" spans="4:12" x14ac:dyDescent="0.25">
      <c r="D686" s="449"/>
      <c r="E686" s="449"/>
      <c r="H686" s="370"/>
      <c r="I686" s="370"/>
      <c r="K686" s="370"/>
      <c r="L686" s="370"/>
    </row>
    <row r="687" spans="4:12" x14ac:dyDescent="0.25">
      <c r="D687" s="449"/>
      <c r="E687" s="449"/>
      <c r="H687" s="370"/>
      <c r="I687" s="370"/>
      <c r="K687" s="370"/>
      <c r="L687" s="370"/>
    </row>
    <row r="688" spans="4:12" x14ac:dyDescent="0.25">
      <c r="D688" s="449"/>
      <c r="E688" s="449"/>
      <c r="H688" s="370"/>
      <c r="I688" s="370"/>
      <c r="K688" s="370"/>
      <c r="L688" s="370"/>
    </row>
    <row r="689" spans="4:12" x14ac:dyDescent="0.25">
      <c r="D689" s="449"/>
      <c r="E689" s="449"/>
      <c r="H689" s="370"/>
      <c r="I689" s="370"/>
      <c r="K689" s="370"/>
      <c r="L689" s="370"/>
    </row>
    <row r="690" spans="4:12" x14ac:dyDescent="0.25">
      <c r="D690" s="449"/>
      <c r="E690" s="449"/>
      <c r="H690" s="370"/>
      <c r="I690" s="370"/>
      <c r="K690" s="370"/>
      <c r="L690" s="370"/>
    </row>
    <row r="691" spans="4:12" x14ac:dyDescent="0.25">
      <c r="D691" s="449"/>
      <c r="E691" s="449"/>
      <c r="H691" s="370"/>
      <c r="I691" s="370"/>
      <c r="K691" s="370"/>
      <c r="L691" s="370"/>
    </row>
    <row r="692" spans="4:12" x14ac:dyDescent="0.25">
      <c r="D692" s="449"/>
      <c r="E692" s="449"/>
      <c r="H692" s="370"/>
      <c r="I692" s="370"/>
      <c r="K692" s="370"/>
      <c r="L692" s="370"/>
    </row>
    <row r="693" spans="4:12" x14ac:dyDescent="0.25">
      <c r="D693" s="449"/>
      <c r="E693" s="449"/>
      <c r="H693" s="370"/>
      <c r="I693" s="370"/>
      <c r="K693" s="370"/>
      <c r="L693" s="370"/>
    </row>
    <row r="694" spans="4:12" x14ac:dyDescent="0.25">
      <c r="D694" s="449"/>
      <c r="E694" s="449"/>
      <c r="H694" s="370"/>
      <c r="I694" s="370"/>
      <c r="K694" s="370"/>
      <c r="L694" s="370"/>
    </row>
    <row r="695" spans="4:12" x14ac:dyDescent="0.25">
      <c r="D695" s="449"/>
      <c r="E695" s="449"/>
      <c r="H695" s="370"/>
      <c r="I695" s="370"/>
      <c r="K695" s="370"/>
      <c r="L695" s="370"/>
    </row>
    <row r="696" spans="4:12" x14ac:dyDescent="0.25">
      <c r="D696" s="449"/>
      <c r="E696" s="449"/>
      <c r="H696" s="370"/>
      <c r="I696" s="370"/>
      <c r="K696" s="370"/>
      <c r="L696" s="370"/>
    </row>
    <row r="697" spans="4:12" x14ac:dyDescent="0.25">
      <c r="D697" s="449"/>
      <c r="E697" s="449"/>
      <c r="H697" s="370"/>
      <c r="I697" s="370"/>
      <c r="K697" s="370"/>
      <c r="L697" s="370"/>
    </row>
    <row r="698" spans="4:12" x14ac:dyDescent="0.25">
      <c r="D698" s="449"/>
      <c r="E698" s="449"/>
      <c r="H698" s="370"/>
      <c r="I698" s="370"/>
      <c r="K698" s="370"/>
      <c r="L698" s="370"/>
    </row>
    <row r="699" spans="4:12" x14ac:dyDescent="0.25">
      <c r="D699" s="449"/>
      <c r="E699" s="449"/>
      <c r="H699" s="370"/>
      <c r="I699" s="370"/>
      <c r="K699" s="370"/>
      <c r="L699" s="370"/>
    </row>
    <row r="700" spans="4:12" x14ac:dyDescent="0.25">
      <c r="D700" s="449"/>
      <c r="E700" s="449"/>
      <c r="H700" s="370"/>
      <c r="I700" s="370"/>
      <c r="K700" s="370"/>
      <c r="L700" s="370"/>
    </row>
    <row r="701" spans="4:12" x14ac:dyDescent="0.25">
      <c r="D701" s="449"/>
      <c r="E701" s="449"/>
      <c r="H701" s="370"/>
      <c r="I701" s="370"/>
      <c r="K701" s="370"/>
      <c r="L701" s="370"/>
    </row>
    <row r="702" spans="4:12" x14ac:dyDescent="0.25">
      <c r="D702" s="449"/>
      <c r="E702" s="449"/>
      <c r="H702" s="370"/>
      <c r="I702" s="370"/>
      <c r="K702" s="370"/>
      <c r="L702" s="370"/>
    </row>
    <row r="703" spans="4:12" x14ac:dyDescent="0.25">
      <c r="D703" s="449"/>
      <c r="E703" s="449"/>
      <c r="H703" s="370"/>
      <c r="I703" s="370"/>
      <c r="K703" s="370"/>
      <c r="L703" s="370"/>
    </row>
    <row r="704" spans="4:12" x14ac:dyDescent="0.25">
      <c r="D704" s="449"/>
      <c r="E704" s="449"/>
      <c r="H704" s="370"/>
      <c r="I704" s="370"/>
      <c r="K704" s="370"/>
      <c r="L704" s="370"/>
    </row>
    <row r="705" spans="4:12" x14ac:dyDescent="0.25">
      <c r="D705" s="449"/>
      <c r="E705" s="449"/>
      <c r="H705" s="370"/>
      <c r="I705" s="370"/>
      <c r="K705" s="370"/>
      <c r="L705" s="370"/>
    </row>
    <row r="706" spans="4:12" x14ac:dyDescent="0.25">
      <c r="D706" s="449"/>
      <c r="E706" s="449"/>
      <c r="H706" s="370"/>
      <c r="I706" s="370"/>
      <c r="K706" s="370"/>
      <c r="L706" s="370"/>
    </row>
    <row r="707" spans="4:12" x14ac:dyDescent="0.25">
      <c r="D707" s="449"/>
      <c r="E707" s="449"/>
      <c r="H707" s="370"/>
      <c r="I707" s="370"/>
      <c r="K707" s="370"/>
      <c r="L707" s="370"/>
    </row>
    <row r="708" spans="4:12" x14ac:dyDescent="0.25">
      <c r="D708" s="449"/>
      <c r="E708" s="449"/>
      <c r="H708" s="370"/>
      <c r="I708" s="370"/>
      <c r="K708" s="370"/>
      <c r="L708" s="370"/>
    </row>
    <row r="709" spans="4:12" x14ac:dyDescent="0.25">
      <c r="D709" s="449"/>
      <c r="E709" s="449"/>
      <c r="H709" s="370"/>
      <c r="I709" s="370"/>
      <c r="K709" s="370"/>
      <c r="L709" s="370"/>
    </row>
    <row r="710" spans="4:12" x14ac:dyDescent="0.25">
      <c r="D710" s="449"/>
      <c r="E710" s="449"/>
      <c r="H710" s="370"/>
      <c r="I710" s="370"/>
      <c r="K710" s="370"/>
      <c r="L710" s="370"/>
    </row>
    <row r="711" spans="4:12" x14ac:dyDescent="0.25">
      <c r="D711" s="449"/>
      <c r="E711" s="449"/>
      <c r="H711" s="370"/>
      <c r="I711" s="370"/>
      <c r="K711" s="370"/>
      <c r="L711" s="370"/>
    </row>
    <row r="712" spans="4:12" x14ac:dyDescent="0.25">
      <c r="D712" s="449"/>
      <c r="E712" s="449"/>
      <c r="H712" s="370"/>
      <c r="I712" s="370"/>
      <c r="K712" s="370"/>
      <c r="L712" s="370"/>
    </row>
    <row r="713" spans="4:12" x14ac:dyDescent="0.25">
      <c r="D713" s="449"/>
      <c r="E713" s="449"/>
      <c r="H713" s="370"/>
      <c r="I713" s="370"/>
      <c r="K713" s="370"/>
      <c r="L713" s="370"/>
    </row>
    <row r="714" spans="4:12" x14ac:dyDescent="0.25">
      <c r="D714" s="449"/>
      <c r="E714" s="449"/>
      <c r="H714" s="370"/>
      <c r="I714" s="370"/>
      <c r="K714" s="370"/>
      <c r="L714" s="370"/>
    </row>
    <row r="715" spans="4:12" x14ac:dyDescent="0.25">
      <c r="D715" s="449"/>
      <c r="E715" s="449"/>
      <c r="H715" s="370"/>
      <c r="I715" s="370"/>
      <c r="K715" s="370"/>
      <c r="L715" s="370"/>
    </row>
    <row r="716" spans="4:12" x14ac:dyDescent="0.25">
      <c r="D716" s="449"/>
      <c r="E716" s="449"/>
      <c r="H716" s="370"/>
      <c r="I716" s="370"/>
      <c r="K716" s="370"/>
      <c r="L716" s="370"/>
    </row>
    <row r="717" spans="4:12" x14ac:dyDescent="0.25">
      <c r="D717" s="449"/>
      <c r="E717" s="449"/>
      <c r="H717" s="370"/>
      <c r="I717" s="370"/>
      <c r="K717" s="370"/>
      <c r="L717" s="370"/>
    </row>
    <row r="718" spans="4:12" x14ac:dyDescent="0.25">
      <c r="D718" s="449"/>
      <c r="E718" s="449"/>
      <c r="H718" s="370"/>
      <c r="I718" s="370"/>
      <c r="K718" s="370"/>
      <c r="L718" s="370"/>
    </row>
    <row r="719" spans="4:12" x14ac:dyDescent="0.25">
      <c r="D719" s="449"/>
      <c r="E719" s="449"/>
      <c r="H719" s="370"/>
      <c r="I719" s="370"/>
      <c r="K719" s="370"/>
      <c r="L719" s="370"/>
    </row>
    <row r="720" spans="4:12" x14ac:dyDescent="0.25">
      <c r="D720" s="449"/>
      <c r="E720" s="449"/>
      <c r="H720" s="370"/>
      <c r="I720" s="370"/>
      <c r="K720" s="370"/>
      <c r="L720" s="370"/>
    </row>
    <row r="721" spans="4:12" x14ac:dyDescent="0.25">
      <c r="D721" s="449"/>
      <c r="E721" s="449"/>
      <c r="H721" s="370"/>
      <c r="I721" s="370"/>
      <c r="K721" s="370"/>
      <c r="L721" s="370"/>
    </row>
    <row r="722" spans="4:12" x14ac:dyDescent="0.25">
      <c r="D722" s="449"/>
      <c r="E722" s="449"/>
      <c r="H722" s="370"/>
      <c r="I722" s="370"/>
      <c r="K722" s="370"/>
      <c r="L722" s="370"/>
    </row>
    <row r="723" spans="4:12" x14ac:dyDescent="0.25">
      <c r="D723" s="449"/>
      <c r="E723" s="449"/>
      <c r="H723" s="370"/>
      <c r="I723" s="370"/>
      <c r="K723" s="370"/>
      <c r="L723" s="370"/>
    </row>
    <row r="724" spans="4:12" x14ac:dyDescent="0.25">
      <c r="D724" s="449"/>
      <c r="E724" s="449"/>
      <c r="H724" s="370"/>
      <c r="I724" s="370"/>
      <c r="K724" s="370"/>
      <c r="L724" s="370"/>
    </row>
    <row r="725" spans="4:12" x14ac:dyDescent="0.25">
      <c r="D725" s="449"/>
      <c r="E725" s="449"/>
      <c r="H725" s="370"/>
      <c r="I725" s="370"/>
      <c r="K725" s="370"/>
      <c r="L725" s="370"/>
    </row>
    <row r="726" spans="4:12" x14ac:dyDescent="0.25">
      <c r="D726" s="449"/>
      <c r="E726" s="449"/>
      <c r="H726" s="370"/>
      <c r="I726" s="370"/>
      <c r="K726" s="370"/>
      <c r="L726" s="370"/>
    </row>
    <row r="727" spans="4:12" x14ac:dyDescent="0.25">
      <c r="D727" s="449"/>
      <c r="E727" s="449"/>
      <c r="H727" s="370"/>
      <c r="I727" s="370"/>
      <c r="K727" s="370"/>
      <c r="L727" s="370"/>
    </row>
    <row r="728" spans="4:12" x14ac:dyDescent="0.25">
      <c r="D728" s="449"/>
      <c r="E728" s="449"/>
      <c r="H728" s="370"/>
      <c r="I728" s="370"/>
      <c r="K728" s="370"/>
      <c r="L728" s="370"/>
    </row>
    <row r="729" spans="4:12" x14ac:dyDescent="0.25">
      <c r="D729" s="449"/>
      <c r="E729" s="449"/>
      <c r="H729" s="370"/>
      <c r="I729" s="370"/>
      <c r="K729" s="370"/>
      <c r="L729" s="370"/>
    </row>
    <row r="730" spans="4:12" x14ac:dyDescent="0.25">
      <c r="D730" s="449"/>
      <c r="E730" s="449"/>
      <c r="H730" s="370"/>
      <c r="I730" s="370"/>
      <c r="K730" s="370"/>
      <c r="L730" s="370"/>
    </row>
    <row r="731" spans="4:12" x14ac:dyDescent="0.25">
      <c r="D731" s="449"/>
      <c r="E731" s="449"/>
      <c r="H731" s="370"/>
      <c r="I731" s="370"/>
      <c r="K731" s="370"/>
      <c r="L731" s="370"/>
    </row>
    <row r="732" spans="4:12" x14ac:dyDescent="0.25">
      <c r="D732" s="449"/>
      <c r="E732" s="449"/>
      <c r="H732" s="370"/>
      <c r="I732" s="370"/>
      <c r="K732" s="370"/>
      <c r="L732" s="370"/>
    </row>
    <row r="733" spans="4:12" x14ac:dyDescent="0.25">
      <c r="D733" s="449"/>
      <c r="E733" s="449"/>
      <c r="H733" s="370"/>
      <c r="I733" s="370"/>
      <c r="K733" s="370"/>
      <c r="L733" s="370"/>
    </row>
    <row r="734" spans="4:12" x14ac:dyDescent="0.25">
      <c r="D734" s="449"/>
      <c r="E734" s="449"/>
      <c r="H734" s="370"/>
      <c r="I734" s="370"/>
      <c r="K734" s="370"/>
      <c r="L734" s="370"/>
    </row>
    <row r="735" spans="4:12" x14ac:dyDescent="0.25">
      <c r="D735" s="449"/>
      <c r="E735" s="449"/>
      <c r="H735" s="370"/>
      <c r="I735" s="370"/>
      <c r="K735" s="370"/>
      <c r="L735" s="370"/>
    </row>
    <row r="736" spans="4:12" x14ac:dyDescent="0.25">
      <c r="D736" s="449"/>
      <c r="E736" s="449"/>
      <c r="H736" s="370"/>
      <c r="I736" s="370"/>
      <c r="K736" s="370"/>
      <c r="L736" s="370"/>
    </row>
    <row r="737" spans="4:12" x14ac:dyDescent="0.25">
      <c r="D737" s="449"/>
      <c r="E737" s="449"/>
      <c r="H737" s="370"/>
      <c r="I737" s="370"/>
      <c r="K737" s="370"/>
      <c r="L737" s="370"/>
    </row>
    <row r="738" spans="4:12" x14ac:dyDescent="0.25">
      <c r="D738" s="449"/>
      <c r="E738" s="449"/>
      <c r="H738" s="370"/>
      <c r="I738" s="370"/>
      <c r="K738" s="370"/>
      <c r="L738" s="370"/>
    </row>
    <row r="739" spans="4:12" x14ac:dyDescent="0.25">
      <c r="D739" s="449"/>
      <c r="E739" s="449"/>
      <c r="H739" s="370"/>
      <c r="I739" s="370"/>
      <c r="K739" s="370"/>
      <c r="L739" s="370"/>
    </row>
    <row r="740" spans="4:12" x14ac:dyDescent="0.25">
      <c r="D740" s="449"/>
      <c r="E740" s="449"/>
      <c r="H740" s="370"/>
      <c r="I740" s="370"/>
      <c r="K740" s="370"/>
      <c r="L740" s="370"/>
    </row>
    <row r="741" spans="4:12" x14ac:dyDescent="0.25">
      <c r="D741" s="449"/>
      <c r="E741" s="449"/>
      <c r="H741" s="370"/>
      <c r="I741" s="370"/>
      <c r="K741" s="370"/>
      <c r="L741" s="370"/>
    </row>
    <row r="742" spans="4:12" x14ac:dyDescent="0.25">
      <c r="D742" s="449"/>
      <c r="E742" s="449"/>
      <c r="H742" s="370"/>
      <c r="I742" s="370"/>
      <c r="K742" s="370"/>
      <c r="L742" s="370"/>
    </row>
    <row r="743" spans="4:12" x14ac:dyDescent="0.25">
      <c r="D743" s="449"/>
      <c r="E743" s="449"/>
      <c r="H743" s="370"/>
      <c r="I743" s="370"/>
      <c r="K743" s="370"/>
      <c r="L743" s="370"/>
    </row>
    <row r="744" spans="4:12" x14ac:dyDescent="0.25">
      <c r="D744" s="449"/>
      <c r="E744" s="449"/>
      <c r="H744" s="370"/>
      <c r="I744" s="370"/>
      <c r="K744" s="370"/>
      <c r="L744" s="370"/>
    </row>
    <row r="745" spans="4:12" x14ac:dyDescent="0.25">
      <c r="D745" s="449"/>
      <c r="E745" s="449"/>
      <c r="H745" s="370"/>
      <c r="I745" s="370"/>
      <c r="K745" s="370"/>
      <c r="L745" s="370"/>
    </row>
    <row r="746" spans="4:12" x14ac:dyDescent="0.25">
      <c r="D746" s="449"/>
      <c r="E746" s="449"/>
      <c r="H746" s="370"/>
      <c r="I746" s="370"/>
      <c r="K746" s="370"/>
      <c r="L746" s="370"/>
    </row>
    <row r="747" spans="4:12" x14ac:dyDescent="0.25">
      <c r="D747" s="449"/>
      <c r="E747" s="449"/>
      <c r="H747" s="370"/>
      <c r="I747" s="370"/>
      <c r="K747" s="370"/>
      <c r="L747" s="370"/>
    </row>
    <row r="748" spans="4:12" x14ac:dyDescent="0.25">
      <c r="D748" s="449"/>
      <c r="E748" s="449"/>
      <c r="H748" s="370"/>
      <c r="I748" s="370"/>
      <c r="K748" s="370"/>
      <c r="L748" s="370"/>
    </row>
    <row r="749" spans="4:12" x14ac:dyDescent="0.25">
      <c r="D749" s="449"/>
      <c r="E749" s="449"/>
      <c r="H749" s="370"/>
      <c r="I749" s="370"/>
      <c r="K749" s="370"/>
      <c r="L749" s="370"/>
    </row>
    <row r="750" spans="4:12" x14ac:dyDescent="0.25">
      <c r="D750" s="449"/>
      <c r="E750" s="449"/>
      <c r="H750" s="370"/>
      <c r="I750" s="370"/>
      <c r="K750" s="370"/>
      <c r="L750" s="370"/>
    </row>
    <row r="751" spans="4:12" x14ac:dyDescent="0.25">
      <c r="D751" s="449"/>
      <c r="E751" s="449"/>
      <c r="H751" s="370"/>
      <c r="I751" s="370"/>
      <c r="K751" s="370"/>
      <c r="L751" s="370"/>
    </row>
    <row r="752" spans="4:12" x14ac:dyDescent="0.25">
      <c r="D752" s="449"/>
      <c r="E752" s="449"/>
      <c r="H752" s="370"/>
      <c r="I752" s="370"/>
      <c r="K752" s="370"/>
      <c r="L752" s="370"/>
    </row>
    <row r="753" spans="4:12" x14ac:dyDescent="0.25">
      <c r="D753" s="449"/>
      <c r="E753" s="449"/>
      <c r="H753" s="370"/>
      <c r="I753" s="370"/>
      <c r="K753" s="370"/>
      <c r="L753" s="370"/>
    </row>
    <row r="754" spans="4:12" x14ac:dyDescent="0.25">
      <c r="D754" s="449"/>
      <c r="E754" s="449"/>
      <c r="H754" s="370"/>
      <c r="I754" s="370"/>
      <c r="K754" s="370"/>
      <c r="L754" s="370"/>
    </row>
    <row r="755" spans="4:12" x14ac:dyDescent="0.25">
      <c r="D755" s="449"/>
      <c r="E755" s="449"/>
      <c r="H755" s="370"/>
      <c r="I755" s="370"/>
      <c r="K755" s="370"/>
      <c r="L755" s="370"/>
    </row>
    <row r="756" spans="4:12" x14ac:dyDescent="0.25">
      <c r="D756" s="449"/>
      <c r="E756" s="449"/>
      <c r="H756" s="370"/>
      <c r="I756" s="370"/>
      <c r="K756" s="370"/>
      <c r="L756" s="370"/>
    </row>
    <row r="757" spans="4:12" x14ac:dyDescent="0.25">
      <c r="D757" s="449"/>
      <c r="E757" s="449"/>
      <c r="H757" s="370"/>
      <c r="I757" s="370"/>
      <c r="K757" s="370"/>
      <c r="L757" s="370"/>
    </row>
    <row r="758" spans="4:12" x14ac:dyDescent="0.25">
      <c r="D758" s="449"/>
      <c r="E758" s="449"/>
      <c r="H758" s="370"/>
      <c r="I758" s="370"/>
      <c r="K758" s="370"/>
      <c r="L758" s="370"/>
    </row>
    <row r="759" spans="4:12" x14ac:dyDescent="0.25">
      <c r="D759" s="449"/>
      <c r="E759" s="449"/>
      <c r="H759" s="370"/>
      <c r="I759" s="370"/>
      <c r="K759" s="370"/>
      <c r="L759" s="370"/>
    </row>
    <row r="760" spans="4:12" x14ac:dyDescent="0.25">
      <c r="D760" s="449"/>
      <c r="E760" s="449"/>
      <c r="H760" s="370"/>
      <c r="I760" s="370"/>
      <c r="K760" s="370"/>
      <c r="L760" s="370"/>
    </row>
    <row r="761" spans="4:12" x14ac:dyDescent="0.25">
      <c r="D761" s="449"/>
      <c r="E761" s="449"/>
      <c r="H761" s="370"/>
      <c r="I761" s="370"/>
      <c r="K761" s="370"/>
      <c r="L761" s="370"/>
    </row>
    <row r="762" spans="4:12" x14ac:dyDescent="0.25">
      <c r="D762" s="449"/>
      <c r="E762" s="449"/>
      <c r="H762" s="370"/>
      <c r="I762" s="370"/>
      <c r="K762" s="370"/>
      <c r="L762" s="370"/>
    </row>
    <row r="763" spans="4:12" x14ac:dyDescent="0.25">
      <c r="D763" s="449"/>
      <c r="E763" s="449"/>
      <c r="H763" s="370"/>
      <c r="I763" s="370"/>
      <c r="K763" s="370"/>
      <c r="L763" s="370"/>
    </row>
    <row r="764" spans="4:12" x14ac:dyDescent="0.25">
      <c r="D764" s="449"/>
      <c r="E764" s="449"/>
      <c r="H764" s="370"/>
      <c r="I764" s="370"/>
      <c r="K764" s="370"/>
      <c r="L764" s="370"/>
    </row>
    <row r="765" spans="4:12" x14ac:dyDescent="0.25">
      <c r="D765" s="449"/>
      <c r="E765" s="449"/>
      <c r="H765" s="370"/>
      <c r="I765" s="370"/>
      <c r="K765" s="370"/>
      <c r="L765" s="370"/>
    </row>
    <row r="766" spans="4:12" x14ac:dyDescent="0.25">
      <c r="D766" s="449"/>
      <c r="E766" s="449"/>
      <c r="H766" s="370"/>
      <c r="I766" s="370"/>
    </row>
    <row r="767" spans="4:12" x14ac:dyDescent="0.25">
      <c r="D767" s="449"/>
      <c r="E767" s="449"/>
      <c r="H767" s="370"/>
      <c r="I767" s="370"/>
    </row>
    <row r="768" spans="4:12" x14ac:dyDescent="0.25">
      <c r="D768" s="449"/>
      <c r="E768" s="449"/>
      <c r="H768" s="370"/>
      <c r="I768" s="370"/>
    </row>
    <row r="769" spans="4:9" x14ac:dyDescent="0.25">
      <c r="D769" s="449"/>
      <c r="E769" s="449"/>
      <c r="H769" s="370"/>
      <c r="I769" s="370"/>
    </row>
    <row r="770" spans="4:9" x14ac:dyDescent="0.25">
      <c r="D770" s="449"/>
      <c r="E770" s="449"/>
      <c r="H770" s="370"/>
      <c r="I770" s="370"/>
    </row>
    <row r="771" spans="4:9" x14ac:dyDescent="0.25">
      <c r="D771" s="449"/>
      <c r="E771" s="449"/>
      <c r="H771" s="370"/>
      <c r="I771" s="370"/>
    </row>
    <row r="772" spans="4:9" x14ac:dyDescent="0.25">
      <c r="D772" s="449"/>
      <c r="E772" s="449"/>
      <c r="H772" s="370"/>
      <c r="I772" s="370"/>
    </row>
    <row r="773" spans="4:9" x14ac:dyDescent="0.25">
      <c r="D773" s="449"/>
      <c r="E773" s="449"/>
      <c r="H773" s="370"/>
      <c r="I773" s="370"/>
    </row>
    <row r="774" spans="4:9" x14ac:dyDescent="0.25">
      <c r="D774" s="449"/>
      <c r="E774" s="449"/>
      <c r="H774" s="370"/>
      <c r="I774" s="370"/>
    </row>
    <row r="775" spans="4:9" x14ac:dyDescent="0.25">
      <c r="D775" s="449"/>
      <c r="E775" s="449"/>
      <c r="H775" s="370"/>
      <c r="I775" s="370"/>
    </row>
    <row r="776" spans="4:9" x14ac:dyDescent="0.25">
      <c r="D776" s="449"/>
      <c r="E776" s="449"/>
      <c r="H776" s="370"/>
      <c r="I776" s="370"/>
    </row>
    <row r="777" spans="4:9" x14ac:dyDescent="0.25">
      <c r="D777" s="449"/>
      <c r="E777" s="449"/>
      <c r="H777" s="370"/>
      <c r="I777" s="370"/>
    </row>
    <row r="778" spans="4:9" x14ac:dyDescent="0.25">
      <c r="D778" s="449"/>
      <c r="E778" s="449"/>
      <c r="H778" s="370"/>
      <c r="I778" s="370"/>
    </row>
    <row r="779" spans="4:9" x14ac:dyDescent="0.25">
      <c r="D779" s="449"/>
      <c r="E779" s="449"/>
      <c r="H779" s="370"/>
      <c r="I779" s="370"/>
    </row>
    <row r="780" spans="4:9" x14ac:dyDescent="0.25">
      <c r="D780" s="449"/>
      <c r="E780" s="449"/>
      <c r="H780" s="370"/>
      <c r="I780" s="370"/>
    </row>
    <row r="781" spans="4:9" x14ac:dyDescent="0.25">
      <c r="D781" s="449"/>
      <c r="E781" s="449"/>
      <c r="H781" s="370"/>
      <c r="I781" s="370"/>
    </row>
    <row r="782" spans="4:9" x14ac:dyDescent="0.25">
      <c r="D782" s="449"/>
      <c r="E782" s="449"/>
      <c r="H782" s="370"/>
      <c r="I782" s="370"/>
    </row>
    <row r="783" spans="4:9" x14ac:dyDescent="0.25">
      <c r="D783" s="449"/>
      <c r="E783" s="449"/>
      <c r="H783" s="370"/>
      <c r="I783" s="370"/>
    </row>
    <row r="784" spans="4:9" x14ac:dyDescent="0.25">
      <c r="D784" s="449"/>
      <c r="E784" s="449"/>
      <c r="H784" s="370"/>
      <c r="I784" s="370"/>
    </row>
    <row r="785" spans="4:9" x14ac:dyDescent="0.25">
      <c r="D785" s="449"/>
      <c r="E785" s="449"/>
      <c r="H785" s="370"/>
      <c r="I785" s="370"/>
    </row>
    <row r="786" spans="4:9" x14ac:dyDescent="0.25">
      <c r="D786" s="449"/>
      <c r="E786" s="449"/>
      <c r="H786" s="370"/>
      <c r="I786" s="370"/>
    </row>
    <row r="787" spans="4:9" x14ac:dyDescent="0.25">
      <c r="D787" s="449"/>
      <c r="E787" s="449"/>
      <c r="H787" s="370"/>
      <c r="I787" s="370"/>
    </row>
    <row r="788" spans="4:9" x14ac:dyDescent="0.25">
      <c r="D788" s="449"/>
      <c r="E788" s="449"/>
      <c r="H788" s="370"/>
      <c r="I788" s="370"/>
    </row>
    <row r="789" spans="4:9" x14ac:dyDescent="0.25">
      <c r="D789" s="449"/>
      <c r="E789" s="449"/>
      <c r="H789" s="370"/>
      <c r="I789" s="370"/>
    </row>
    <row r="790" spans="4:9" x14ac:dyDescent="0.25">
      <c r="D790" s="449"/>
      <c r="E790" s="449"/>
      <c r="H790" s="370"/>
      <c r="I790" s="370"/>
    </row>
    <row r="791" spans="4:9" x14ac:dyDescent="0.25">
      <c r="D791" s="449"/>
      <c r="E791" s="449"/>
      <c r="H791" s="370"/>
      <c r="I791" s="370"/>
    </row>
    <row r="792" spans="4:9" x14ac:dyDescent="0.25">
      <c r="D792" s="449"/>
      <c r="E792" s="449"/>
      <c r="H792" s="370"/>
      <c r="I792" s="370"/>
    </row>
    <row r="793" spans="4:9" x14ac:dyDescent="0.25">
      <c r="D793" s="449"/>
      <c r="E793" s="449"/>
      <c r="H793" s="370"/>
      <c r="I793" s="370"/>
    </row>
    <row r="794" spans="4:9" x14ac:dyDescent="0.25">
      <c r="D794" s="449"/>
      <c r="E794" s="449"/>
      <c r="H794" s="370"/>
      <c r="I794" s="370"/>
    </row>
    <row r="795" spans="4:9" x14ac:dyDescent="0.25">
      <c r="D795" s="449"/>
      <c r="E795" s="449"/>
      <c r="H795" s="370"/>
      <c r="I795" s="370"/>
    </row>
    <row r="796" spans="4:9" x14ac:dyDescent="0.25">
      <c r="D796" s="449"/>
      <c r="E796" s="449"/>
      <c r="H796" s="370"/>
      <c r="I796" s="370"/>
    </row>
    <row r="797" spans="4:9" x14ac:dyDescent="0.25">
      <c r="D797" s="449"/>
      <c r="E797" s="449"/>
      <c r="H797" s="370"/>
      <c r="I797" s="370"/>
    </row>
    <row r="798" spans="4:9" x14ac:dyDescent="0.25">
      <c r="D798" s="449"/>
      <c r="E798" s="449"/>
      <c r="H798" s="370"/>
      <c r="I798" s="370"/>
    </row>
    <row r="799" spans="4:9" x14ac:dyDescent="0.25">
      <c r="D799" s="449"/>
      <c r="E799" s="449"/>
      <c r="H799" s="370"/>
      <c r="I799" s="370"/>
    </row>
    <row r="800" spans="4:9" x14ac:dyDescent="0.25">
      <c r="D800" s="449"/>
      <c r="E800" s="449"/>
      <c r="H800" s="370"/>
      <c r="I800" s="370"/>
    </row>
    <row r="801" spans="4:9" x14ac:dyDescent="0.25">
      <c r="D801" s="449"/>
      <c r="E801" s="449"/>
      <c r="H801" s="370"/>
      <c r="I801" s="370"/>
    </row>
    <row r="802" spans="4:9" x14ac:dyDescent="0.25">
      <c r="D802" s="449"/>
      <c r="E802" s="449"/>
      <c r="H802" s="370"/>
      <c r="I802" s="370"/>
    </row>
    <row r="803" spans="4:9" x14ac:dyDescent="0.25">
      <c r="D803" s="449"/>
      <c r="E803" s="449"/>
      <c r="H803" s="370"/>
      <c r="I803" s="370"/>
    </row>
    <row r="804" spans="4:9" x14ac:dyDescent="0.25">
      <c r="D804" s="449"/>
      <c r="E804" s="449"/>
      <c r="H804" s="370"/>
      <c r="I804" s="370"/>
    </row>
    <row r="805" spans="4:9" x14ac:dyDescent="0.25">
      <c r="D805" s="449"/>
      <c r="E805" s="449"/>
      <c r="H805" s="370"/>
      <c r="I805" s="370"/>
    </row>
    <row r="806" spans="4:9" x14ac:dyDescent="0.25">
      <c r="D806" s="449"/>
      <c r="E806" s="449"/>
      <c r="H806" s="370"/>
      <c r="I806" s="370"/>
    </row>
    <row r="807" spans="4:9" x14ac:dyDescent="0.25">
      <c r="D807" s="449"/>
      <c r="E807" s="449"/>
      <c r="H807" s="370"/>
      <c r="I807" s="370"/>
    </row>
    <row r="808" spans="4:9" x14ac:dyDescent="0.25">
      <c r="D808" s="449"/>
      <c r="E808" s="449"/>
      <c r="H808" s="370"/>
      <c r="I808" s="370"/>
    </row>
    <row r="809" spans="4:9" x14ac:dyDescent="0.25">
      <c r="D809" s="449"/>
      <c r="E809" s="449"/>
      <c r="H809" s="370"/>
      <c r="I809" s="370"/>
    </row>
    <row r="810" spans="4:9" x14ac:dyDescent="0.25">
      <c r="D810" s="449"/>
      <c r="E810" s="449"/>
      <c r="H810" s="370"/>
      <c r="I810" s="370"/>
    </row>
    <row r="811" spans="4:9" x14ac:dyDescent="0.25">
      <c r="D811" s="449"/>
      <c r="E811" s="449"/>
      <c r="H811" s="370"/>
      <c r="I811" s="370"/>
    </row>
    <row r="812" spans="4:9" x14ac:dyDescent="0.25">
      <c r="D812" s="449"/>
      <c r="E812" s="449"/>
      <c r="H812" s="370"/>
      <c r="I812" s="370"/>
    </row>
    <row r="813" spans="4:9" x14ac:dyDescent="0.25">
      <c r="D813" s="449"/>
      <c r="E813" s="449"/>
      <c r="H813" s="370"/>
      <c r="I813" s="370"/>
    </row>
    <row r="814" spans="4:9" x14ac:dyDescent="0.25">
      <c r="D814" s="449"/>
      <c r="E814" s="449"/>
      <c r="H814" s="370"/>
      <c r="I814" s="370"/>
    </row>
    <row r="815" spans="4:9" x14ac:dyDescent="0.25">
      <c r="D815" s="449"/>
      <c r="E815" s="449"/>
      <c r="H815" s="370"/>
      <c r="I815" s="370"/>
    </row>
    <row r="816" spans="4:9" x14ac:dyDescent="0.25">
      <c r="D816" s="449"/>
      <c r="E816" s="449"/>
      <c r="H816" s="370"/>
      <c r="I816" s="370"/>
    </row>
    <row r="817" spans="4:9" x14ac:dyDescent="0.25">
      <c r="D817" s="449"/>
      <c r="E817" s="449"/>
      <c r="H817" s="370"/>
      <c r="I817" s="370"/>
    </row>
    <row r="818" spans="4:9" x14ac:dyDescent="0.25">
      <c r="D818" s="449"/>
      <c r="E818" s="449"/>
      <c r="H818" s="370"/>
      <c r="I818" s="370"/>
    </row>
    <row r="819" spans="4:9" x14ac:dyDescent="0.25">
      <c r="D819" s="449"/>
      <c r="E819" s="449"/>
      <c r="H819" s="370"/>
      <c r="I819" s="370"/>
    </row>
    <row r="820" spans="4:9" x14ac:dyDescent="0.25">
      <c r="D820" s="449"/>
      <c r="E820" s="449"/>
      <c r="H820" s="370"/>
      <c r="I820" s="370"/>
    </row>
    <row r="821" spans="4:9" x14ac:dyDescent="0.25">
      <c r="D821" s="449"/>
      <c r="E821" s="449"/>
      <c r="H821" s="370"/>
      <c r="I821" s="370"/>
    </row>
    <row r="822" spans="4:9" x14ac:dyDescent="0.25">
      <c r="D822" s="449"/>
      <c r="E822" s="449"/>
      <c r="H822" s="370"/>
      <c r="I822" s="370"/>
    </row>
    <row r="823" spans="4:9" x14ac:dyDescent="0.25">
      <c r="D823" s="449"/>
      <c r="E823" s="449"/>
      <c r="H823" s="370"/>
      <c r="I823" s="370"/>
    </row>
    <row r="824" spans="4:9" x14ac:dyDescent="0.25">
      <c r="D824" s="449"/>
      <c r="E824" s="449"/>
      <c r="H824" s="370"/>
      <c r="I824" s="370"/>
    </row>
    <row r="825" spans="4:9" x14ac:dyDescent="0.25">
      <c r="D825" s="449"/>
      <c r="E825" s="449"/>
      <c r="H825" s="370"/>
      <c r="I825" s="370"/>
    </row>
    <row r="826" spans="4:9" x14ac:dyDescent="0.25">
      <c r="D826" s="449"/>
      <c r="E826" s="449"/>
      <c r="H826" s="370"/>
      <c r="I826" s="370"/>
    </row>
    <row r="827" spans="4:9" x14ac:dyDescent="0.25">
      <c r="D827" s="449"/>
      <c r="E827" s="449"/>
      <c r="H827" s="370"/>
      <c r="I827" s="370"/>
    </row>
    <row r="828" spans="4:9" x14ac:dyDescent="0.25">
      <c r="D828" s="449"/>
      <c r="E828" s="449"/>
      <c r="H828" s="370"/>
      <c r="I828" s="370"/>
    </row>
    <row r="829" spans="4:9" x14ac:dyDescent="0.25">
      <c r="D829" s="449"/>
      <c r="E829" s="449"/>
      <c r="H829" s="370"/>
      <c r="I829" s="370"/>
    </row>
    <row r="830" spans="4:9" x14ac:dyDescent="0.25">
      <c r="D830" s="449"/>
      <c r="E830" s="449"/>
      <c r="H830" s="370"/>
      <c r="I830" s="370"/>
    </row>
    <row r="831" spans="4:9" x14ac:dyDescent="0.25">
      <c r="D831" s="449"/>
      <c r="E831" s="449"/>
      <c r="H831" s="370"/>
      <c r="I831" s="370"/>
    </row>
    <row r="832" spans="4:9" x14ac:dyDescent="0.25">
      <c r="D832" s="449"/>
      <c r="E832" s="449"/>
      <c r="H832" s="370"/>
      <c r="I832" s="370"/>
    </row>
    <row r="833" spans="4:9" x14ac:dyDescent="0.25">
      <c r="D833" s="449"/>
      <c r="E833" s="449"/>
      <c r="H833" s="370"/>
      <c r="I833" s="370"/>
    </row>
    <row r="834" spans="4:9" x14ac:dyDescent="0.25">
      <c r="D834" s="449"/>
      <c r="E834" s="449"/>
      <c r="H834" s="370"/>
      <c r="I834" s="370"/>
    </row>
    <row r="835" spans="4:9" x14ac:dyDescent="0.25">
      <c r="D835" s="449"/>
      <c r="E835" s="449"/>
      <c r="H835" s="370"/>
      <c r="I835" s="370"/>
    </row>
    <row r="836" spans="4:9" x14ac:dyDescent="0.25">
      <c r="D836" s="449"/>
      <c r="E836" s="449"/>
      <c r="H836" s="370"/>
      <c r="I836" s="370"/>
    </row>
    <row r="837" spans="4:9" x14ac:dyDescent="0.25">
      <c r="D837" s="449"/>
      <c r="E837" s="449"/>
      <c r="H837" s="370"/>
      <c r="I837" s="370"/>
    </row>
    <row r="838" spans="4:9" x14ac:dyDescent="0.25">
      <c r="D838" s="449"/>
      <c r="E838" s="449"/>
      <c r="H838" s="370"/>
      <c r="I838" s="370"/>
    </row>
    <row r="839" spans="4:9" x14ac:dyDescent="0.25">
      <c r="D839" s="449"/>
      <c r="E839" s="449"/>
      <c r="H839" s="370"/>
      <c r="I839" s="370"/>
    </row>
    <row r="840" spans="4:9" x14ac:dyDescent="0.25">
      <c r="D840" s="449"/>
      <c r="E840" s="449"/>
      <c r="H840" s="370"/>
      <c r="I840" s="370"/>
    </row>
    <row r="841" spans="4:9" x14ac:dyDescent="0.25">
      <c r="D841" s="449"/>
      <c r="E841" s="449"/>
      <c r="H841" s="370"/>
      <c r="I841" s="370"/>
    </row>
    <row r="842" spans="4:9" x14ac:dyDescent="0.25">
      <c r="D842" s="449"/>
      <c r="E842" s="449"/>
      <c r="H842" s="370"/>
      <c r="I842" s="370"/>
    </row>
    <row r="843" spans="4:9" x14ac:dyDescent="0.25">
      <c r="D843" s="449"/>
      <c r="E843" s="449"/>
      <c r="H843" s="370"/>
      <c r="I843" s="370"/>
    </row>
    <row r="844" spans="4:9" x14ac:dyDescent="0.25">
      <c r="D844" s="449"/>
      <c r="E844" s="449"/>
      <c r="H844" s="370"/>
      <c r="I844" s="370"/>
    </row>
    <row r="845" spans="4:9" x14ac:dyDescent="0.25">
      <c r="D845" s="449"/>
      <c r="E845" s="449"/>
      <c r="H845" s="370"/>
      <c r="I845" s="370"/>
    </row>
    <row r="846" spans="4:9" x14ac:dyDescent="0.25">
      <c r="D846" s="449"/>
      <c r="E846" s="449"/>
      <c r="H846" s="370"/>
      <c r="I846" s="370"/>
    </row>
    <row r="847" spans="4:9" x14ac:dyDescent="0.25">
      <c r="D847" s="449"/>
      <c r="E847" s="449"/>
      <c r="H847" s="370"/>
      <c r="I847" s="370"/>
    </row>
    <row r="848" spans="4:9" x14ac:dyDescent="0.25">
      <c r="D848" s="449"/>
      <c r="E848" s="449"/>
      <c r="H848" s="370"/>
      <c r="I848" s="370"/>
    </row>
    <row r="849" spans="4:9" x14ac:dyDescent="0.25">
      <c r="D849" s="449"/>
      <c r="E849" s="449"/>
      <c r="H849" s="370"/>
      <c r="I849" s="370"/>
    </row>
    <row r="850" spans="4:9" x14ac:dyDescent="0.25">
      <c r="D850" s="449"/>
      <c r="E850" s="449"/>
      <c r="H850" s="370"/>
      <c r="I850" s="370"/>
    </row>
    <row r="851" spans="4:9" x14ac:dyDescent="0.25">
      <c r="D851" s="449"/>
      <c r="E851" s="449"/>
      <c r="H851" s="370"/>
      <c r="I851" s="370"/>
    </row>
    <row r="852" spans="4:9" x14ac:dyDescent="0.25">
      <c r="D852" s="449"/>
      <c r="E852" s="449"/>
      <c r="H852" s="370"/>
      <c r="I852" s="370"/>
    </row>
    <row r="853" spans="4:9" x14ac:dyDescent="0.25">
      <c r="D853" s="449"/>
      <c r="E853" s="449"/>
      <c r="H853" s="370"/>
      <c r="I853" s="370"/>
    </row>
    <row r="854" spans="4:9" x14ac:dyDescent="0.25">
      <c r="D854" s="449"/>
      <c r="E854" s="449"/>
      <c r="H854" s="370"/>
      <c r="I854" s="370"/>
    </row>
    <row r="855" spans="4:9" x14ac:dyDescent="0.25">
      <c r="D855" s="449"/>
      <c r="E855" s="449"/>
      <c r="H855" s="370"/>
      <c r="I855" s="370"/>
    </row>
    <row r="856" spans="4:9" x14ac:dyDescent="0.25">
      <c r="D856" s="449"/>
      <c r="E856" s="449"/>
      <c r="H856" s="370"/>
      <c r="I856" s="370"/>
    </row>
    <row r="857" spans="4:9" x14ac:dyDescent="0.25">
      <c r="D857" s="449"/>
      <c r="E857" s="449"/>
      <c r="H857" s="370"/>
      <c r="I857" s="370"/>
    </row>
    <row r="858" spans="4:9" x14ac:dyDescent="0.25">
      <c r="D858" s="449"/>
      <c r="E858" s="449"/>
      <c r="H858" s="370"/>
      <c r="I858" s="370"/>
    </row>
    <row r="859" spans="4:9" x14ac:dyDescent="0.25">
      <c r="D859" s="449"/>
      <c r="E859" s="449"/>
      <c r="H859" s="370"/>
      <c r="I859" s="370"/>
    </row>
    <row r="860" spans="4:9" x14ac:dyDescent="0.25">
      <c r="D860" s="449"/>
      <c r="E860" s="449"/>
      <c r="H860" s="370"/>
      <c r="I860" s="370"/>
    </row>
    <row r="861" spans="4:9" x14ac:dyDescent="0.25">
      <c r="D861" s="449"/>
      <c r="E861" s="449"/>
      <c r="H861" s="370"/>
      <c r="I861" s="370"/>
    </row>
    <row r="862" spans="4:9" x14ac:dyDescent="0.25">
      <c r="D862" s="449"/>
      <c r="E862" s="449"/>
      <c r="H862" s="370"/>
      <c r="I862" s="370"/>
    </row>
    <row r="863" spans="4:9" x14ac:dyDescent="0.25">
      <c r="D863" s="449"/>
      <c r="E863" s="449"/>
      <c r="H863" s="370"/>
      <c r="I863" s="370"/>
    </row>
    <row r="864" spans="4:9" x14ac:dyDescent="0.25">
      <c r="D864" s="449"/>
      <c r="E864" s="449"/>
      <c r="H864" s="370"/>
      <c r="I864" s="370"/>
    </row>
    <row r="865" spans="4:9" x14ac:dyDescent="0.25">
      <c r="D865" s="449"/>
      <c r="E865" s="449"/>
      <c r="H865" s="370"/>
      <c r="I865" s="370"/>
    </row>
    <row r="866" spans="4:9" x14ac:dyDescent="0.25">
      <c r="D866" s="449"/>
      <c r="E866" s="449"/>
      <c r="H866" s="370"/>
      <c r="I866" s="370"/>
    </row>
    <row r="867" spans="4:9" x14ac:dyDescent="0.25">
      <c r="D867" s="449"/>
      <c r="E867" s="449"/>
      <c r="H867" s="370"/>
      <c r="I867" s="370"/>
    </row>
    <row r="868" spans="4:9" x14ac:dyDescent="0.25">
      <c r="D868" s="449"/>
      <c r="E868" s="449"/>
      <c r="H868" s="370"/>
      <c r="I868" s="370"/>
    </row>
    <row r="869" spans="4:9" x14ac:dyDescent="0.25">
      <c r="D869" s="449"/>
      <c r="E869" s="449"/>
      <c r="H869" s="370"/>
      <c r="I869" s="370"/>
    </row>
    <row r="870" spans="4:9" x14ac:dyDescent="0.25">
      <c r="D870" s="449"/>
      <c r="E870" s="449"/>
      <c r="H870" s="370"/>
      <c r="I870" s="370"/>
    </row>
    <row r="871" spans="4:9" x14ac:dyDescent="0.25">
      <c r="D871" s="449"/>
      <c r="E871" s="449"/>
      <c r="H871" s="370"/>
      <c r="I871" s="370"/>
    </row>
    <row r="872" spans="4:9" x14ac:dyDescent="0.25">
      <c r="D872" s="449"/>
      <c r="E872" s="449"/>
      <c r="H872" s="370"/>
      <c r="I872" s="370"/>
    </row>
    <row r="873" spans="4:9" x14ac:dyDescent="0.25">
      <c r="D873" s="449"/>
      <c r="E873" s="449"/>
      <c r="H873" s="370"/>
      <c r="I873" s="370"/>
    </row>
    <row r="874" spans="4:9" x14ac:dyDescent="0.25">
      <c r="D874" s="449"/>
      <c r="E874" s="449"/>
      <c r="H874" s="370"/>
      <c r="I874" s="370"/>
    </row>
    <row r="875" spans="4:9" x14ac:dyDescent="0.25">
      <c r="D875" s="449"/>
      <c r="E875" s="449"/>
      <c r="H875" s="370"/>
      <c r="I875" s="370"/>
    </row>
    <row r="876" spans="4:9" x14ac:dyDescent="0.25">
      <c r="D876" s="449"/>
      <c r="E876" s="449"/>
      <c r="H876" s="370"/>
      <c r="I876" s="370"/>
    </row>
    <row r="877" spans="4:9" x14ac:dyDescent="0.25">
      <c r="D877" s="449"/>
      <c r="E877" s="449"/>
      <c r="H877" s="370"/>
      <c r="I877" s="370"/>
    </row>
    <row r="878" spans="4:9" x14ac:dyDescent="0.25">
      <c r="D878" s="449"/>
      <c r="E878" s="449"/>
      <c r="H878" s="370"/>
      <c r="I878" s="370"/>
    </row>
    <row r="879" spans="4:9" x14ac:dyDescent="0.25">
      <c r="D879" s="449"/>
      <c r="E879" s="449"/>
      <c r="H879" s="370"/>
      <c r="I879" s="370"/>
    </row>
    <row r="880" spans="4:9" x14ac:dyDescent="0.25">
      <c r="D880" s="449"/>
      <c r="E880" s="449"/>
      <c r="H880" s="370"/>
      <c r="I880" s="370"/>
    </row>
    <row r="881" spans="4:9" x14ac:dyDescent="0.25">
      <c r="D881" s="449"/>
      <c r="E881" s="449"/>
      <c r="H881" s="370"/>
      <c r="I881" s="370"/>
    </row>
    <row r="882" spans="4:9" x14ac:dyDescent="0.25">
      <c r="D882" s="449"/>
      <c r="E882" s="449"/>
      <c r="H882" s="370"/>
      <c r="I882" s="370"/>
    </row>
    <row r="883" spans="4:9" x14ac:dyDescent="0.25">
      <c r="D883" s="449"/>
      <c r="E883" s="449"/>
      <c r="H883" s="370"/>
      <c r="I883" s="370"/>
    </row>
    <row r="884" spans="4:9" x14ac:dyDescent="0.25">
      <c r="D884" s="449"/>
      <c r="E884" s="449"/>
      <c r="H884" s="370"/>
      <c r="I884" s="370"/>
    </row>
    <row r="885" spans="4:9" x14ac:dyDescent="0.25">
      <c r="D885" s="449"/>
      <c r="E885" s="449"/>
      <c r="H885" s="370"/>
      <c r="I885" s="370"/>
    </row>
    <row r="886" spans="4:9" x14ac:dyDescent="0.25">
      <c r="D886" s="449"/>
      <c r="E886" s="449"/>
      <c r="H886" s="370"/>
      <c r="I886" s="370"/>
    </row>
    <row r="887" spans="4:9" x14ac:dyDescent="0.25">
      <c r="D887" s="449"/>
      <c r="E887" s="449"/>
      <c r="H887" s="370"/>
      <c r="I887" s="370"/>
    </row>
    <row r="888" spans="4:9" x14ac:dyDescent="0.25">
      <c r="D888" s="449"/>
      <c r="E888" s="449"/>
      <c r="H888" s="370"/>
      <c r="I888" s="370"/>
    </row>
    <row r="889" spans="4:9" x14ac:dyDescent="0.25">
      <c r="D889" s="449"/>
      <c r="E889" s="449"/>
      <c r="H889" s="370"/>
      <c r="I889" s="370"/>
    </row>
    <row r="890" spans="4:9" x14ac:dyDescent="0.25">
      <c r="D890" s="449"/>
      <c r="E890" s="449"/>
      <c r="H890" s="370"/>
      <c r="I890" s="370"/>
    </row>
    <row r="891" spans="4:9" x14ac:dyDescent="0.25">
      <c r="D891" s="449"/>
      <c r="E891" s="449"/>
      <c r="H891" s="370"/>
      <c r="I891" s="370"/>
    </row>
    <row r="892" spans="4:9" x14ac:dyDescent="0.25">
      <c r="D892" s="449"/>
      <c r="E892" s="449"/>
      <c r="H892" s="370"/>
      <c r="I892" s="370"/>
    </row>
    <row r="893" spans="4:9" x14ac:dyDescent="0.25">
      <c r="D893" s="449"/>
      <c r="E893" s="449"/>
      <c r="H893" s="370"/>
      <c r="I893" s="370"/>
    </row>
    <row r="894" spans="4:9" x14ac:dyDescent="0.25">
      <c r="D894" s="449"/>
      <c r="E894" s="449"/>
      <c r="H894" s="370"/>
      <c r="I894" s="370"/>
    </row>
    <row r="895" spans="4:9" x14ac:dyDescent="0.25">
      <c r="D895" s="449"/>
      <c r="E895" s="449"/>
      <c r="H895" s="370"/>
      <c r="I895" s="370"/>
    </row>
    <row r="896" spans="4:9" x14ac:dyDescent="0.25">
      <c r="D896" s="449"/>
      <c r="E896" s="449"/>
      <c r="H896" s="370"/>
      <c r="I896" s="370"/>
    </row>
    <row r="897" spans="4:9" x14ac:dyDescent="0.25">
      <c r="D897" s="449"/>
      <c r="E897" s="449"/>
      <c r="H897" s="370"/>
      <c r="I897" s="370"/>
    </row>
    <row r="898" spans="4:9" x14ac:dyDescent="0.25">
      <c r="D898" s="449"/>
      <c r="E898" s="449"/>
      <c r="H898" s="370"/>
      <c r="I898" s="370"/>
    </row>
    <row r="899" spans="4:9" x14ac:dyDescent="0.25">
      <c r="D899" s="449"/>
      <c r="E899" s="449"/>
      <c r="H899" s="370"/>
      <c r="I899" s="370"/>
    </row>
    <row r="900" spans="4:9" x14ac:dyDescent="0.25">
      <c r="D900" s="449"/>
      <c r="E900" s="449"/>
      <c r="H900" s="370"/>
      <c r="I900" s="370"/>
    </row>
    <row r="901" spans="4:9" x14ac:dyDescent="0.25">
      <c r="D901" s="449"/>
      <c r="E901" s="449"/>
      <c r="H901" s="370"/>
      <c r="I901" s="370"/>
    </row>
    <row r="902" spans="4:9" x14ac:dyDescent="0.25">
      <c r="D902" s="449"/>
      <c r="E902" s="449"/>
      <c r="H902" s="370"/>
      <c r="I902" s="370"/>
    </row>
    <row r="903" spans="4:9" x14ac:dyDescent="0.25">
      <c r="D903" s="449"/>
      <c r="E903" s="449"/>
      <c r="H903" s="370"/>
      <c r="I903" s="370"/>
    </row>
    <row r="904" spans="4:9" x14ac:dyDescent="0.25">
      <c r="D904" s="449"/>
      <c r="E904" s="449"/>
      <c r="H904" s="370"/>
      <c r="I904" s="370"/>
    </row>
    <row r="905" spans="4:9" x14ac:dyDescent="0.25">
      <c r="D905" s="449"/>
      <c r="E905" s="449"/>
      <c r="H905" s="370"/>
      <c r="I905" s="370"/>
    </row>
    <row r="906" spans="4:9" x14ac:dyDescent="0.25">
      <c r="D906" s="449"/>
      <c r="E906" s="449"/>
      <c r="H906" s="370"/>
      <c r="I906" s="370"/>
    </row>
    <row r="907" spans="4:9" x14ac:dyDescent="0.25">
      <c r="D907" s="449"/>
      <c r="E907" s="449"/>
      <c r="H907" s="370"/>
      <c r="I907" s="370"/>
    </row>
    <row r="908" spans="4:9" x14ac:dyDescent="0.25">
      <c r="D908" s="449"/>
      <c r="E908" s="449"/>
      <c r="H908" s="370"/>
      <c r="I908" s="370"/>
    </row>
    <row r="909" spans="4:9" x14ac:dyDescent="0.25">
      <c r="D909" s="449"/>
      <c r="E909" s="449"/>
      <c r="H909" s="370"/>
      <c r="I909" s="370"/>
    </row>
    <row r="910" spans="4:9" x14ac:dyDescent="0.25">
      <c r="D910" s="449"/>
      <c r="E910" s="449"/>
      <c r="H910" s="370"/>
      <c r="I910" s="370"/>
    </row>
    <row r="911" spans="4:9" x14ac:dyDescent="0.25">
      <c r="D911" s="449"/>
      <c r="E911" s="449"/>
      <c r="H911" s="370"/>
      <c r="I911" s="370"/>
    </row>
    <row r="912" spans="4:9" x14ac:dyDescent="0.25">
      <c r="D912" s="449"/>
      <c r="E912" s="449"/>
      <c r="H912" s="370"/>
      <c r="I912" s="370"/>
    </row>
    <row r="913" spans="4:9" x14ac:dyDescent="0.25">
      <c r="D913" s="449"/>
      <c r="E913" s="449"/>
      <c r="H913" s="370"/>
      <c r="I913" s="370"/>
    </row>
    <row r="914" spans="4:9" x14ac:dyDescent="0.25">
      <c r="D914" s="449"/>
      <c r="E914" s="449"/>
      <c r="H914" s="370"/>
      <c r="I914" s="370"/>
    </row>
    <row r="915" spans="4:9" x14ac:dyDescent="0.25">
      <c r="D915" s="449"/>
      <c r="E915" s="449"/>
      <c r="H915" s="370"/>
      <c r="I915" s="370"/>
    </row>
    <row r="916" spans="4:9" x14ac:dyDescent="0.25">
      <c r="D916" s="449"/>
      <c r="E916" s="449"/>
      <c r="H916" s="370"/>
      <c r="I916" s="370"/>
    </row>
    <row r="917" spans="4:9" x14ac:dyDescent="0.25">
      <c r="D917" s="449"/>
      <c r="E917" s="449"/>
      <c r="H917" s="370"/>
      <c r="I917" s="370"/>
    </row>
    <row r="918" spans="4:9" x14ac:dyDescent="0.25">
      <c r="D918" s="449"/>
      <c r="E918" s="449"/>
      <c r="H918" s="370"/>
      <c r="I918" s="370"/>
    </row>
    <row r="919" spans="4:9" x14ac:dyDescent="0.25">
      <c r="D919" s="449"/>
      <c r="E919" s="449"/>
      <c r="H919" s="370"/>
      <c r="I919" s="370"/>
    </row>
    <row r="920" spans="4:9" x14ac:dyDescent="0.25">
      <c r="D920" s="449"/>
      <c r="E920" s="449"/>
      <c r="H920" s="370"/>
      <c r="I920" s="370"/>
    </row>
    <row r="921" spans="4:9" x14ac:dyDescent="0.25">
      <c r="D921" s="449"/>
      <c r="E921" s="449"/>
      <c r="H921" s="370"/>
      <c r="I921" s="370"/>
    </row>
    <row r="922" spans="4:9" x14ac:dyDescent="0.25">
      <c r="D922" s="449"/>
      <c r="E922" s="449"/>
      <c r="H922" s="370"/>
      <c r="I922" s="370"/>
    </row>
    <row r="923" spans="4:9" x14ac:dyDescent="0.25">
      <c r="D923" s="449"/>
      <c r="E923" s="449"/>
      <c r="H923" s="370"/>
      <c r="I923" s="370"/>
    </row>
    <row r="924" spans="4:9" x14ac:dyDescent="0.25">
      <c r="D924" s="449"/>
      <c r="E924" s="449"/>
      <c r="H924" s="370"/>
      <c r="I924" s="370"/>
    </row>
    <row r="925" spans="4:9" x14ac:dyDescent="0.25">
      <c r="D925" s="449"/>
      <c r="E925" s="449"/>
      <c r="H925" s="370"/>
      <c r="I925" s="370"/>
    </row>
    <row r="926" spans="4:9" x14ac:dyDescent="0.25">
      <c r="D926" s="449"/>
      <c r="E926" s="449"/>
      <c r="H926" s="370"/>
      <c r="I926" s="370"/>
    </row>
    <row r="927" spans="4:9" x14ac:dyDescent="0.25">
      <c r="D927" s="449"/>
      <c r="E927" s="449"/>
      <c r="H927" s="370"/>
      <c r="I927" s="370"/>
    </row>
    <row r="928" spans="4:9" x14ac:dyDescent="0.25">
      <c r="D928" s="449"/>
      <c r="E928" s="449"/>
      <c r="H928" s="370"/>
      <c r="I928" s="370"/>
    </row>
    <row r="929" spans="4:9" x14ac:dyDescent="0.25">
      <c r="D929" s="449"/>
      <c r="E929" s="449"/>
      <c r="H929" s="370"/>
      <c r="I929" s="370"/>
    </row>
    <row r="930" spans="4:9" x14ac:dyDescent="0.25">
      <c r="D930" s="449"/>
      <c r="E930" s="449"/>
      <c r="H930" s="370"/>
      <c r="I930" s="370"/>
    </row>
    <row r="931" spans="4:9" x14ac:dyDescent="0.25">
      <c r="D931" s="449"/>
      <c r="E931" s="449"/>
      <c r="H931" s="370"/>
      <c r="I931" s="370"/>
    </row>
    <row r="932" spans="4:9" x14ac:dyDescent="0.25">
      <c r="D932" s="449"/>
      <c r="E932" s="449"/>
      <c r="H932" s="370"/>
      <c r="I932" s="370"/>
    </row>
    <row r="933" spans="4:9" x14ac:dyDescent="0.25">
      <c r="D933" s="449"/>
      <c r="E933" s="449"/>
      <c r="H933" s="370"/>
      <c r="I933" s="370"/>
    </row>
    <row r="934" spans="4:9" x14ac:dyDescent="0.25">
      <c r="D934" s="449"/>
      <c r="E934" s="449"/>
      <c r="H934" s="370"/>
      <c r="I934" s="370"/>
    </row>
    <row r="935" spans="4:9" x14ac:dyDescent="0.25">
      <c r="D935" s="449"/>
      <c r="E935" s="449"/>
      <c r="H935" s="370"/>
      <c r="I935" s="370"/>
    </row>
    <row r="936" spans="4:9" x14ac:dyDescent="0.25">
      <c r="D936" s="449"/>
      <c r="E936" s="449"/>
      <c r="H936" s="370"/>
      <c r="I936" s="370"/>
    </row>
    <row r="937" spans="4:9" x14ac:dyDescent="0.25">
      <c r="D937" s="449"/>
      <c r="E937" s="449"/>
      <c r="H937" s="370"/>
      <c r="I937" s="370"/>
    </row>
    <row r="938" spans="4:9" x14ac:dyDescent="0.25">
      <c r="D938" s="449"/>
      <c r="E938" s="449"/>
      <c r="H938" s="370"/>
      <c r="I938" s="370"/>
    </row>
    <row r="939" spans="4:9" x14ac:dyDescent="0.25">
      <c r="D939" s="449"/>
      <c r="E939" s="449"/>
      <c r="H939" s="370"/>
      <c r="I939" s="370"/>
    </row>
    <row r="940" spans="4:9" x14ac:dyDescent="0.25">
      <c r="D940" s="449"/>
      <c r="E940" s="449"/>
      <c r="H940" s="370"/>
      <c r="I940" s="370"/>
    </row>
    <row r="941" spans="4:9" x14ac:dyDescent="0.25">
      <c r="D941" s="449"/>
      <c r="E941" s="449"/>
      <c r="H941" s="370"/>
      <c r="I941" s="370"/>
    </row>
    <row r="942" spans="4:9" x14ac:dyDescent="0.25">
      <c r="D942" s="449"/>
      <c r="E942" s="449"/>
      <c r="H942" s="370"/>
      <c r="I942" s="370"/>
    </row>
    <row r="943" spans="4:9" x14ac:dyDescent="0.25">
      <c r="D943" s="449"/>
      <c r="E943" s="449"/>
      <c r="H943" s="370"/>
      <c r="I943" s="370"/>
    </row>
    <row r="944" spans="4:9" x14ac:dyDescent="0.25">
      <c r="D944" s="449"/>
      <c r="E944" s="449"/>
      <c r="H944" s="370"/>
      <c r="I944" s="370"/>
    </row>
    <row r="945" spans="4:9" x14ac:dyDescent="0.25">
      <c r="D945" s="449"/>
      <c r="E945" s="449"/>
      <c r="H945" s="370"/>
      <c r="I945" s="370"/>
    </row>
    <row r="946" spans="4:9" x14ac:dyDescent="0.25">
      <c r="D946" s="449"/>
      <c r="E946" s="449"/>
      <c r="H946" s="370"/>
      <c r="I946" s="370"/>
    </row>
    <row r="947" spans="4:9" x14ac:dyDescent="0.25">
      <c r="D947" s="449"/>
      <c r="E947" s="449"/>
      <c r="H947" s="370"/>
      <c r="I947" s="370"/>
    </row>
    <row r="948" spans="4:9" x14ac:dyDescent="0.25">
      <c r="D948" s="449"/>
      <c r="E948" s="449"/>
      <c r="H948" s="370"/>
      <c r="I948" s="370"/>
    </row>
    <row r="949" spans="4:9" x14ac:dyDescent="0.25">
      <c r="D949" s="449"/>
      <c r="E949" s="449"/>
      <c r="H949" s="370"/>
      <c r="I949" s="370"/>
    </row>
    <row r="950" spans="4:9" x14ac:dyDescent="0.25">
      <c r="D950" s="449"/>
      <c r="E950" s="449"/>
      <c r="H950" s="370"/>
      <c r="I950" s="370"/>
    </row>
    <row r="951" spans="4:9" x14ac:dyDescent="0.25">
      <c r="D951" s="449"/>
      <c r="E951" s="449"/>
      <c r="H951" s="370"/>
      <c r="I951" s="370"/>
    </row>
    <row r="952" spans="4:9" x14ac:dyDescent="0.25">
      <c r="D952" s="449"/>
      <c r="E952" s="449"/>
      <c r="H952" s="370"/>
      <c r="I952" s="370"/>
    </row>
    <row r="953" spans="4:9" x14ac:dyDescent="0.25">
      <c r="D953" s="449"/>
      <c r="E953" s="449"/>
      <c r="H953" s="370"/>
      <c r="I953" s="370"/>
    </row>
    <row r="954" spans="4:9" x14ac:dyDescent="0.25">
      <c r="D954" s="449"/>
      <c r="E954" s="449"/>
      <c r="H954" s="370"/>
      <c r="I954" s="370"/>
    </row>
    <row r="955" spans="4:9" x14ac:dyDescent="0.25">
      <c r="D955" s="449"/>
      <c r="E955" s="449"/>
      <c r="H955" s="370"/>
      <c r="I955" s="370"/>
    </row>
    <row r="956" spans="4:9" x14ac:dyDescent="0.25">
      <c r="D956" s="449"/>
      <c r="E956" s="449"/>
      <c r="H956" s="370"/>
      <c r="I956" s="370"/>
    </row>
    <row r="957" spans="4:9" x14ac:dyDescent="0.25">
      <c r="D957" s="449"/>
      <c r="E957" s="449"/>
      <c r="H957" s="370"/>
      <c r="I957" s="370"/>
    </row>
    <row r="958" spans="4:9" x14ac:dyDescent="0.25">
      <c r="D958" s="449"/>
      <c r="E958" s="449"/>
      <c r="H958" s="370"/>
      <c r="I958" s="370"/>
    </row>
    <row r="959" spans="4:9" x14ac:dyDescent="0.25">
      <c r="D959" s="449"/>
      <c r="E959" s="449"/>
      <c r="H959" s="370"/>
      <c r="I959" s="370"/>
    </row>
    <row r="960" spans="4:9" x14ac:dyDescent="0.25">
      <c r="D960" s="449"/>
      <c r="E960" s="449"/>
      <c r="H960" s="370"/>
      <c r="I960" s="370"/>
    </row>
    <row r="961" spans="4:9" x14ac:dyDescent="0.25">
      <c r="D961" s="449"/>
      <c r="E961" s="449"/>
      <c r="H961" s="370"/>
      <c r="I961" s="370"/>
    </row>
    <row r="962" spans="4:9" x14ac:dyDescent="0.25">
      <c r="D962" s="449"/>
      <c r="E962" s="449"/>
      <c r="H962" s="370"/>
      <c r="I962" s="370"/>
    </row>
    <row r="963" spans="4:9" x14ac:dyDescent="0.25">
      <c r="D963" s="449"/>
      <c r="E963" s="449"/>
      <c r="H963" s="370"/>
      <c r="I963" s="370"/>
    </row>
    <row r="964" spans="4:9" x14ac:dyDescent="0.25">
      <c r="D964" s="449"/>
      <c r="E964" s="449"/>
      <c r="H964" s="370"/>
      <c r="I964" s="370"/>
    </row>
    <row r="965" spans="4:9" x14ac:dyDescent="0.25">
      <c r="D965" s="449"/>
      <c r="E965" s="449"/>
      <c r="H965" s="370"/>
      <c r="I965" s="370"/>
    </row>
    <row r="966" spans="4:9" x14ac:dyDescent="0.25">
      <c r="D966" s="449"/>
      <c r="E966" s="449"/>
      <c r="H966" s="370"/>
      <c r="I966" s="370"/>
    </row>
    <row r="967" spans="4:9" x14ac:dyDescent="0.25">
      <c r="D967" s="449"/>
      <c r="E967" s="449"/>
      <c r="H967" s="370"/>
      <c r="I967" s="370"/>
    </row>
    <row r="968" spans="4:9" x14ac:dyDescent="0.25">
      <c r="D968" s="449"/>
      <c r="E968" s="449"/>
      <c r="H968" s="370"/>
      <c r="I968" s="370"/>
    </row>
    <row r="969" spans="4:9" x14ac:dyDescent="0.25">
      <c r="D969" s="449"/>
      <c r="E969" s="449"/>
      <c r="H969" s="370"/>
      <c r="I969" s="370"/>
    </row>
    <row r="970" spans="4:9" x14ac:dyDescent="0.25">
      <c r="D970" s="449"/>
      <c r="E970" s="449"/>
      <c r="H970" s="370"/>
      <c r="I970" s="370"/>
    </row>
    <row r="971" spans="4:9" x14ac:dyDescent="0.25">
      <c r="D971" s="449"/>
      <c r="E971" s="449"/>
      <c r="H971" s="370"/>
      <c r="I971" s="370"/>
    </row>
    <row r="972" spans="4:9" x14ac:dyDescent="0.25">
      <c r="D972" s="449"/>
      <c r="E972" s="449"/>
      <c r="H972" s="370"/>
      <c r="I972" s="370"/>
    </row>
    <row r="973" spans="4:9" x14ac:dyDescent="0.25">
      <c r="D973" s="449"/>
      <c r="E973" s="449"/>
      <c r="H973" s="370"/>
      <c r="I973" s="370"/>
    </row>
    <row r="974" spans="4:9" x14ac:dyDescent="0.25">
      <c r="D974" s="449"/>
      <c r="E974" s="449"/>
      <c r="H974" s="370"/>
      <c r="I974" s="370"/>
    </row>
    <row r="975" spans="4:9" x14ac:dyDescent="0.25">
      <c r="D975" s="449"/>
      <c r="E975" s="449"/>
      <c r="H975" s="370"/>
      <c r="I975" s="370"/>
    </row>
    <row r="976" spans="4:9" x14ac:dyDescent="0.25">
      <c r="D976" s="449"/>
      <c r="E976" s="449"/>
      <c r="H976" s="370"/>
      <c r="I976" s="370"/>
    </row>
    <row r="977" spans="4:9" x14ac:dyDescent="0.25">
      <c r="D977" s="449"/>
      <c r="E977" s="449"/>
      <c r="H977" s="370"/>
      <c r="I977" s="370"/>
    </row>
    <row r="978" spans="4:9" x14ac:dyDescent="0.25">
      <c r="D978" s="449"/>
      <c r="E978" s="449"/>
      <c r="H978" s="370"/>
      <c r="I978" s="370"/>
    </row>
    <row r="979" spans="4:9" x14ac:dyDescent="0.25">
      <c r="D979" s="449"/>
      <c r="E979" s="449"/>
      <c r="H979" s="370"/>
      <c r="I979" s="370"/>
    </row>
    <row r="980" spans="4:9" x14ac:dyDescent="0.25">
      <c r="D980" s="449"/>
      <c r="E980" s="449"/>
      <c r="H980" s="370"/>
      <c r="I980" s="370"/>
    </row>
    <row r="981" spans="4:9" x14ac:dyDescent="0.25">
      <c r="D981" s="449"/>
      <c r="E981" s="449"/>
      <c r="H981" s="370"/>
      <c r="I981" s="370"/>
    </row>
    <row r="982" spans="4:9" x14ac:dyDescent="0.25">
      <c r="D982" s="449"/>
      <c r="E982" s="449"/>
      <c r="H982" s="370"/>
      <c r="I982" s="370"/>
    </row>
    <row r="983" spans="4:9" x14ac:dyDescent="0.25">
      <c r="D983" s="449"/>
      <c r="E983" s="449"/>
      <c r="H983" s="370"/>
      <c r="I983" s="370"/>
    </row>
    <row r="984" spans="4:9" x14ac:dyDescent="0.25">
      <c r="D984" s="449"/>
      <c r="E984" s="449"/>
      <c r="H984" s="370"/>
      <c r="I984" s="370"/>
    </row>
    <row r="985" spans="4:9" x14ac:dyDescent="0.25">
      <c r="D985" s="449"/>
      <c r="E985" s="449"/>
      <c r="H985" s="370"/>
      <c r="I985" s="370"/>
    </row>
    <row r="986" spans="4:9" x14ac:dyDescent="0.25">
      <c r="D986" s="449"/>
      <c r="E986" s="449"/>
      <c r="H986" s="370"/>
      <c r="I986" s="370"/>
    </row>
    <row r="987" spans="4:9" x14ac:dyDescent="0.25">
      <c r="D987" s="449"/>
      <c r="E987" s="449"/>
      <c r="H987" s="370"/>
      <c r="I987" s="370"/>
    </row>
    <row r="988" spans="4:9" x14ac:dyDescent="0.25">
      <c r="D988" s="449"/>
      <c r="E988" s="449"/>
      <c r="H988" s="370"/>
      <c r="I988" s="370"/>
    </row>
    <row r="989" spans="4:9" x14ac:dyDescent="0.25">
      <c r="D989" s="449"/>
      <c r="E989" s="449"/>
      <c r="H989" s="370"/>
      <c r="I989" s="370"/>
    </row>
    <row r="990" spans="4:9" x14ac:dyDescent="0.25">
      <c r="D990" s="449"/>
      <c r="E990" s="449"/>
      <c r="H990" s="370"/>
      <c r="I990" s="370"/>
    </row>
    <row r="991" spans="4:9" x14ac:dyDescent="0.25">
      <c r="D991" s="449"/>
      <c r="E991" s="449"/>
      <c r="H991" s="370"/>
      <c r="I991" s="370"/>
    </row>
    <row r="992" spans="4:9" x14ac:dyDescent="0.25">
      <c r="D992" s="449"/>
      <c r="E992" s="449"/>
      <c r="H992" s="370"/>
      <c r="I992" s="370"/>
    </row>
    <row r="993" spans="4:9" x14ac:dyDescent="0.25">
      <c r="D993" s="449"/>
      <c r="E993" s="449"/>
      <c r="H993" s="370"/>
      <c r="I993" s="370"/>
    </row>
    <row r="994" spans="4:9" x14ac:dyDescent="0.25">
      <c r="D994" s="449"/>
      <c r="E994" s="449"/>
      <c r="H994" s="370"/>
      <c r="I994" s="370"/>
    </row>
    <row r="995" spans="4:9" x14ac:dyDescent="0.25">
      <c r="D995" s="449"/>
      <c r="E995" s="449"/>
      <c r="H995" s="370"/>
      <c r="I995" s="370"/>
    </row>
    <row r="996" spans="4:9" x14ac:dyDescent="0.25">
      <c r="D996" s="449"/>
      <c r="E996" s="449"/>
      <c r="H996" s="370"/>
      <c r="I996" s="370"/>
    </row>
    <row r="997" spans="4:9" x14ac:dyDescent="0.25">
      <c r="D997" s="449"/>
      <c r="E997" s="449"/>
      <c r="H997" s="370"/>
      <c r="I997" s="370"/>
    </row>
    <row r="998" spans="4:9" x14ac:dyDescent="0.25">
      <c r="D998" s="449"/>
      <c r="E998" s="449"/>
      <c r="H998" s="370"/>
      <c r="I998" s="370"/>
    </row>
    <row r="999" spans="4:9" x14ac:dyDescent="0.25">
      <c r="D999" s="449"/>
      <c r="E999" s="449"/>
      <c r="H999" s="370"/>
      <c r="I999" s="370"/>
    </row>
    <row r="1000" spans="4:9" x14ac:dyDescent="0.25">
      <c r="D1000" s="449"/>
      <c r="E1000" s="449"/>
      <c r="H1000" s="370"/>
      <c r="I1000" s="370"/>
    </row>
    <row r="1001" spans="4:9" x14ac:dyDescent="0.25">
      <c r="D1001" s="449"/>
      <c r="E1001" s="449"/>
      <c r="H1001" s="370"/>
      <c r="I1001" s="370"/>
    </row>
    <row r="1002" spans="4:9" x14ac:dyDescent="0.25">
      <c r="D1002" s="449"/>
      <c r="E1002" s="449"/>
      <c r="H1002" s="370"/>
      <c r="I1002" s="370"/>
    </row>
    <row r="1003" spans="4:9" x14ac:dyDescent="0.25">
      <c r="D1003" s="449"/>
      <c r="E1003" s="449"/>
      <c r="H1003" s="370"/>
      <c r="I1003" s="370"/>
    </row>
    <row r="1004" spans="4:9" x14ac:dyDescent="0.25">
      <c r="D1004" s="449"/>
      <c r="E1004" s="449"/>
      <c r="H1004" s="370"/>
      <c r="I1004" s="370"/>
    </row>
    <row r="1005" spans="4:9" x14ac:dyDescent="0.25">
      <c r="D1005" s="449"/>
      <c r="E1005" s="449"/>
      <c r="H1005" s="370"/>
      <c r="I1005" s="370"/>
    </row>
    <row r="1006" spans="4:9" x14ac:dyDescent="0.25">
      <c r="D1006" s="449"/>
      <c r="E1006" s="449"/>
      <c r="H1006" s="370"/>
      <c r="I1006" s="370"/>
    </row>
    <row r="1007" spans="4:9" x14ac:dyDescent="0.25">
      <c r="D1007" s="449"/>
      <c r="E1007" s="449"/>
      <c r="H1007" s="370"/>
      <c r="I1007" s="370"/>
    </row>
    <row r="1008" spans="4:9" x14ac:dyDescent="0.25">
      <c r="D1008" s="449"/>
      <c r="E1008" s="449"/>
      <c r="H1008" s="370"/>
      <c r="I1008" s="370"/>
    </row>
    <row r="1009" spans="4:9" x14ac:dyDescent="0.25">
      <c r="D1009" s="449"/>
      <c r="E1009" s="449"/>
      <c r="H1009" s="370"/>
      <c r="I1009" s="370"/>
    </row>
    <row r="1010" spans="4:9" x14ac:dyDescent="0.25">
      <c r="D1010" s="449"/>
      <c r="E1010" s="449"/>
      <c r="H1010" s="370"/>
      <c r="I1010" s="370"/>
    </row>
    <row r="1011" spans="4:9" x14ac:dyDescent="0.25">
      <c r="D1011" s="449"/>
      <c r="E1011" s="449"/>
      <c r="H1011" s="370"/>
      <c r="I1011" s="370"/>
    </row>
    <row r="1012" spans="4:9" x14ac:dyDescent="0.25">
      <c r="D1012" s="449"/>
      <c r="E1012" s="449"/>
      <c r="H1012" s="370"/>
      <c r="I1012" s="370"/>
    </row>
    <row r="1013" spans="4:9" x14ac:dyDescent="0.25">
      <c r="D1013" s="449"/>
      <c r="E1013" s="449"/>
      <c r="H1013" s="370"/>
      <c r="I1013" s="370"/>
    </row>
    <row r="1014" spans="4:9" x14ac:dyDescent="0.25">
      <c r="D1014" s="449"/>
      <c r="E1014" s="449"/>
      <c r="H1014" s="370"/>
      <c r="I1014" s="370"/>
    </row>
    <row r="1015" spans="4:9" x14ac:dyDescent="0.25">
      <c r="D1015" s="449"/>
      <c r="E1015" s="449"/>
      <c r="H1015" s="370"/>
      <c r="I1015" s="370"/>
    </row>
    <row r="1016" spans="4:9" x14ac:dyDescent="0.25">
      <c r="D1016" s="449"/>
      <c r="E1016" s="449"/>
      <c r="H1016" s="370"/>
      <c r="I1016" s="370"/>
    </row>
    <row r="1017" spans="4:9" x14ac:dyDescent="0.25">
      <c r="D1017" s="449"/>
      <c r="E1017" s="449"/>
      <c r="H1017" s="370"/>
      <c r="I1017" s="370"/>
    </row>
    <row r="1018" spans="4:9" x14ac:dyDescent="0.25">
      <c r="D1018" s="449"/>
      <c r="E1018" s="449"/>
      <c r="H1018" s="370"/>
      <c r="I1018" s="370"/>
    </row>
    <row r="1019" spans="4:9" x14ac:dyDescent="0.25">
      <c r="D1019" s="449"/>
      <c r="E1019" s="449"/>
      <c r="H1019" s="370"/>
      <c r="I1019" s="370"/>
    </row>
    <row r="1020" spans="4:9" x14ac:dyDescent="0.25">
      <c r="D1020" s="449"/>
      <c r="E1020" s="449"/>
      <c r="H1020" s="370"/>
      <c r="I1020" s="370"/>
    </row>
    <row r="1021" spans="4:9" x14ac:dyDescent="0.25">
      <c r="D1021" s="449"/>
      <c r="E1021" s="449"/>
      <c r="H1021" s="370"/>
      <c r="I1021" s="370"/>
    </row>
    <row r="1022" spans="4:9" x14ac:dyDescent="0.25">
      <c r="D1022" s="449"/>
      <c r="E1022" s="449"/>
      <c r="H1022" s="370"/>
      <c r="I1022" s="370"/>
    </row>
    <row r="1023" spans="4:9" x14ac:dyDescent="0.25">
      <c r="D1023" s="449"/>
      <c r="E1023" s="449"/>
      <c r="H1023" s="370"/>
      <c r="I1023" s="370"/>
    </row>
    <row r="1024" spans="4:9" x14ac:dyDescent="0.25">
      <c r="D1024" s="449"/>
      <c r="E1024" s="449"/>
      <c r="H1024" s="370"/>
      <c r="I1024" s="370"/>
    </row>
    <row r="1025" spans="4:9" x14ac:dyDescent="0.25">
      <c r="D1025" s="449"/>
      <c r="E1025" s="449"/>
      <c r="H1025" s="370"/>
      <c r="I1025" s="370"/>
    </row>
    <row r="1026" spans="4:9" x14ac:dyDescent="0.25">
      <c r="D1026" s="449"/>
      <c r="E1026" s="449"/>
      <c r="H1026" s="370"/>
      <c r="I1026" s="370"/>
    </row>
    <row r="1027" spans="4:9" x14ac:dyDescent="0.25">
      <c r="D1027" s="449"/>
      <c r="E1027" s="449"/>
      <c r="H1027" s="370"/>
      <c r="I1027" s="370"/>
    </row>
    <row r="1028" spans="4:9" x14ac:dyDescent="0.25">
      <c r="D1028" s="449"/>
      <c r="E1028" s="449"/>
      <c r="H1028" s="370"/>
      <c r="I1028" s="370"/>
    </row>
    <row r="1029" spans="4:9" x14ac:dyDescent="0.25">
      <c r="D1029" s="449"/>
      <c r="E1029" s="449"/>
      <c r="H1029" s="370"/>
      <c r="I1029" s="370"/>
    </row>
    <row r="1030" spans="4:9" x14ac:dyDescent="0.25">
      <c r="D1030" s="449"/>
      <c r="E1030" s="449"/>
      <c r="H1030" s="370"/>
      <c r="I1030" s="370"/>
    </row>
    <row r="1031" spans="4:9" x14ac:dyDescent="0.25">
      <c r="D1031" s="449"/>
      <c r="E1031" s="449"/>
      <c r="H1031" s="370"/>
      <c r="I1031" s="370"/>
    </row>
    <row r="1032" spans="4:9" x14ac:dyDescent="0.25">
      <c r="D1032" s="449"/>
      <c r="E1032" s="449"/>
      <c r="H1032" s="370"/>
      <c r="I1032" s="370"/>
    </row>
    <row r="1033" spans="4:9" x14ac:dyDescent="0.25">
      <c r="D1033" s="449"/>
      <c r="E1033" s="449"/>
      <c r="H1033" s="370"/>
      <c r="I1033" s="370"/>
    </row>
    <row r="1034" spans="4:9" x14ac:dyDescent="0.25">
      <c r="D1034" s="449"/>
      <c r="E1034" s="449"/>
      <c r="H1034" s="370"/>
      <c r="I1034" s="370"/>
    </row>
    <row r="1035" spans="4:9" x14ac:dyDescent="0.25">
      <c r="D1035" s="449"/>
      <c r="E1035" s="449"/>
      <c r="H1035" s="370"/>
      <c r="I1035" s="370"/>
    </row>
    <row r="1036" spans="4:9" x14ac:dyDescent="0.25">
      <c r="D1036" s="449"/>
      <c r="E1036" s="449"/>
      <c r="H1036" s="370"/>
      <c r="I1036" s="370"/>
    </row>
    <row r="1037" spans="4:9" x14ac:dyDescent="0.25">
      <c r="D1037" s="449"/>
      <c r="E1037" s="449"/>
      <c r="H1037" s="370"/>
      <c r="I1037" s="370"/>
    </row>
    <row r="1038" spans="4:9" x14ac:dyDescent="0.25">
      <c r="D1038" s="449"/>
      <c r="E1038" s="449"/>
      <c r="H1038" s="370"/>
      <c r="I1038" s="370"/>
    </row>
    <row r="1039" spans="4:9" x14ac:dyDescent="0.25">
      <c r="D1039" s="449"/>
      <c r="E1039" s="449"/>
      <c r="H1039" s="370"/>
      <c r="I1039" s="370"/>
    </row>
    <row r="1040" spans="4:9" x14ac:dyDescent="0.25">
      <c r="D1040" s="449"/>
      <c r="E1040" s="449"/>
      <c r="H1040" s="370"/>
      <c r="I1040" s="370"/>
    </row>
    <row r="1041" spans="4:9" x14ac:dyDescent="0.25">
      <c r="D1041" s="449"/>
      <c r="E1041" s="449"/>
      <c r="H1041" s="370"/>
      <c r="I1041" s="370"/>
    </row>
    <row r="1042" spans="4:9" x14ac:dyDescent="0.25">
      <c r="D1042" s="449"/>
      <c r="E1042" s="449"/>
      <c r="H1042" s="370"/>
      <c r="I1042" s="370"/>
    </row>
    <row r="1043" spans="4:9" x14ac:dyDescent="0.25">
      <c r="D1043" s="449"/>
      <c r="E1043" s="449"/>
      <c r="H1043" s="370"/>
      <c r="I1043" s="370"/>
    </row>
    <row r="1044" spans="4:9" x14ac:dyDescent="0.25">
      <c r="D1044" s="449"/>
      <c r="E1044" s="449"/>
      <c r="H1044" s="370"/>
      <c r="I1044" s="370"/>
    </row>
    <row r="1045" spans="4:9" x14ac:dyDescent="0.25">
      <c r="D1045" s="449"/>
      <c r="E1045" s="449"/>
      <c r="H1045" s="370"/>
      <c r="I1045" s="370"/>
    </row>
    <row r="1046" spans="4:9" x14ac:dyDescent="0.25">
      <c r="D1046" s="449"/>
      <c r="E1046" s="449"/>
      <c r="H1046" s="370"/>
      <c r="I1046" s="370"/>
    </row>
    <row r="1047" spans="4:9" x14ac:dyDescent="0.25">
      <c r="D1047" s="449"/>
      <c r="E1047" s="449"/>
      <c r="H1047" s="370"/>
      <c r="I1047" s="370"/>
    </row>
    <row r="1048" spans="4:9" x14ac:dyDescent="0.25">
      <c r="D1048" s="449"/>
      <c r="E1048" s="449"/>
      <c r="H1048" s="370"/>
      <c r="I1048" s="370"/>
    </row>
    <row r="1049" spans="4:9" x14ac:dyDescent="0.25">
      <c r="D1049" s="449"/>
      <c r="E1049" s="449"/>
      <c r="H1049" s="370"/>
      <c r="I1049" s="370"/>
    </row>
    <row r="1050" spans="4:9" x14ac:dyDescent="0.25">
      <c r="D1050" s="449"/>
      <c r="E1050" s="449"/>
      <c r="H1050" s="370"/>
      <c r="I1050" s="370"/>
    </row>
    <row r="1051" spans="4:9" x14ac:dyDescent="0.25">
      <c r="D1051" s="449"/>
      <c r="E1051" s="449"/>
      <c r="H1051" s="370"/>
      <c r="I1051" s="370"/>
    </row>
    <row r="1052" spans="4:9" x14ac:dyDescent="0.25">
      <c r="D1052" s="449"/>
      <c r="E1052" s="449"/>
      <c r="H1052" s="370"/>
      <c r="I1052" s="370"/>
    </row>
    <row r="1053" spans="4:9" x14ac:dyDescent="0.25">
      <c r="D1053" s="449"/>
      <c r="E1053" s="449"/>
      <c r="H1053" s="370"/>
      <c r="I1053" s="370"/>
    </row>
    <row r="1054" spans="4:9" x14ac:dyDescent="0.25">
      <c r="D1054" s="449"/>
      <c r="E1054" s="449"/>
      <c r="H1054" s="370"/>
      <c r="I1054" s="370"/>
    </row>
    <row r="1055" spans="4:9" x14ac:dyDescent="0.25">
      <c r="D1055" s="449"/>
      <c r="E1055" s="449"/>
      <c r="H1055" s="370"/>
      <c r="I1055" s="370"/>
    </row>
    <row r="1056" spans="4:9" x14ac:dyDescent="0.25">
      <c r="D1056" s="449"/>
      <c r="E1056" s="449"/>
      <c r="H1056" s="370"/>
      <c r="I1056" s="370"/>
    </row>
    <row r="1057" spans="4:9" x14ac:dyDescent="0.25">
      <c r="D1057" s="449"/>
      <c r="E1057" s="449"/>
      <c r="H1057" s="370"/>
      <c r="I1057" s="370"/>
    </row>
    <row r="1058" spans="4:9" x14ac:dyDescent="0.25">
      <c r="D1058" s="449"/>
      <c r="E1058" s="449"/>
      <c r="H1058" s="370"/>
      <c r="I1058" s="370"/>
    </row>
    <row r="1059" spans="4:9" x14ac:dyDescent="0.25">
      <c r="D1059" s="449"/>
      <c r="E1059" s="449"/>
      <c r="H1059" s="370"/>
      <c r="I1059" s="370"/>
    </row>
    <row r="1060" spans="4:9" x14ac:dyDescent="0.25">
      <c r="D1060" s="449"/>
      <c r="E1060" s="449"/>
      <c r="H1060" s="370"/>
      <c r="I1060" s="370"/>
    </row>
    <row r="1061" spans="4:9" x14ac:dyDescent="0.25">
      <c r="D1061" s="449"/>
      <c r="E1061" s="449"/>
      <c r="H1061" s="370"/>
      <c r="I1061" s="370"/>
    </row>
    <row r="1062" spans="4:9" x14ac:dyDescent="0.25">
      <c r="D1062" s="449"/>
      <c r="E1062" s="449"/>
      <c r="H1062" s="370"/>
      <c r="I1062" s="370"/>
    </row>
    <row r="1063" spans="4:9" x14ac:dyDescent="0.25">
      <c r="D1063" s="449"/>
      <c r="E1063" s="449"/>
      <c r="H1063" s="370"/>
      <c r="I1063" s="370"/>
    </row>
    <row r="1064" spans="4:9" x14ac:dyDescent="0.25">
      <c r="D1064" s="449"/>
      <c r="E1064" s="449"/>
      <c r="H1064" s="370"/>
      <c r="I1064" s="370"/>
    </row>
    <row r="1065" spans="4:9" x14ac:dyDescent="0.25">
      <c r="D1065" s="449"/>
      <c r="E1065" s="449"/>
      <c r="H1065" s="370"/>
      <c r="I1065" s="370"/>
    </row>
    <row r="1066" spans="4:9" x14ac:dyDescent="0.25">
      <c r="D1066" s="449"/>
      <c r="E1066" s="449"/>
      <c r="H1066" s="370"/>
      <c r="I1066" s="370"/>
    </row>
    <row r="1067" spans="4:9" x14ac:dyDescent="0.25">
      <c r="D1067" s="449"/>
      <c r="E1067" s="449"/>
      <c r="H1067" s="370"/>
      <c r="I1067" s="370"/>
    </row>
    <row r="1068" spans="4:9" x14ac:dyDescent="0.25">
      <c r="D1068" s="449"/>
      <c r="E1068" s="449"/>
      <c r="H1068" s="370"/>
      <c r="I1068" s="370"/>
    </row>
    <row r="1069" spans="4:9" x14ac:dyDescent="0.25">
      <c r="D1069" s="449"/>
      <c r="E1069" s="449"/>
      <c r="H1069" s="370"/>
      <c r="I1069" s="370"/>
    </row>
    <row r="1070" spans="4:9" x14ac:dyDescent="0.25">
      <c r="D1070" s="449"/>
      <c r="E1070" s="449"/>
      <c r="H1070" s="370"/>
      <c r="I1070" s="370"/>
    </row>
    <row r="1071" spans="4:9" x14ac:dyDescent="0.25">
      <c r="D1071" s="449"/>
      <c r="E1071" s="449"/>
      <c r="H1071" s="370"/>
      <c r="I1071" s="370"/>
    </row>
    <row r="1072" spans="4:9" x14ac:dyDescent="0.25">
      <c r="D1072" s="449"/>
      <c r="E1072" s="449"/>
      <c r="H1072" s="370"/>
      <c r="I1072" s="370"/>
    </row>
    <row r="1073" spans="4:9" x14ac:dyDescent="0.25">
      <c r="D1073" s="449"/>
      <c r="E1073" s="449"/>
      <c r="H1073" s="370"/>
      <c r="I1073" s="370"/>
    </row>
    <row r="1074" spans="4:9" x14ac:dyDescent="0.25">
      <c r="D1074" s="449"/>
      <c r="E1074" s="449"/>
      <c r="H1074" s="370"/>
      <c r="I1074" s="370"/>
    </row>
    <row r="1075" spans="4:9" x14ac:dyDescent="0.25">
      <c r="D1075" s="449"/>
      <c r="E1075" s="449"/>
      <c r="H1075" s="370"/>
      <c r="I1075" s="370"/>
    </row>
    <row r="1076" spans="4:9" x14ac:dyDescent="0.25">
      <c r="D1076" s="449"/>
      <c r="E1076" s="449"/>
      <c r="H1076" s="370"/>
      <c r="I1076" s="370"/>
    </row>
    <row r="1077" spans="4:9" x14ac:dyDescent="0.25">
      <c r="D1077" s="449"/>
      <c r="E1077" s="449"/>
      <c r="H1077" s="370"/>
      <c r="I1077" s="370"/>
    </row>
    <row r="1078" spans="4:9" x14ac:dyDescent="0.25">
      <c r="D1078" s="449"/>
      <c r="E1078" s="449"/>
      <c r="H1078" s="370"/>
      <c r="I1078" s="370"/>
    </row>
    <row r="1079" spans="4:9" x14ac:dyDescent="0.25">
      <c r="D1079" s="449"/>
      <c r="E1079" s="449"/>
      <c r="H1079" s="370"/>
      <c r="I1079" s="370"/>
    </row>
    <row r="1080" spans="4:9" x14ac:dyDescent="0.25">
      <c r="D1080" s="449"/>
      <c r="E1080" s="449"/>
      <c r="H1080" s="370"/>
      <c r="I1080" s="370"/>
    </row>
    <row r="1081" spans="4:9" x14ac:dyDescent="0.25">
      <c r="D1081" s="449"/>
      <c r="E1081" s="449"/>
      <c r="H1081" s="370"/>
      <c r="I1081" s="370"/>
    </row>
    <row r="1082" spans="4:9" x14ac:dyDescent="0.25">
      <c r="D1082" s="449"/>
      <c r="E1082" s="449"/>
      <c r="H1082" s="370"/>
      <c r="I1082" s="370"/>
    </row>
    <row r="1083" spans="4:9" x14ac:dyDescent="0.25">
      <c r="D1083" s="449"/>
      <c r="E1083" s="449"/>
      <c r="H1083" s="370"/>
      <c r="I1083" s="370"/>
    </row>
    <row r="1084" spans="4:9" x14ac:dyDescent="0.25">
      <c r="D1084" s="449"/>
      <c r="E1084" s="449"/>
      <c r="H1084" s="370"/>
      <c r="I1084" s="370"/>
    </row>
    <row r="1085" spans="4:9" x14ac:dyDescent="0.25">
      <c r="D1085" s="449"/>
      <c r="E1085" s="449"/>
      <c r="H1085" s="370"/>
      <c r="I1085" s="370"/>
    </row>
    <row r="1086" spans="4:9" x14ac:dyDescent="0.25">
      <c r="D1086" s="449"/>
      <c r="E1086" s="449"/>
      <c r="H1086" s="370"/>
      <c r="I1086" s="370"/>
    </row>
    <row r="1087" spans="4:9" x14ac:dyDescent="0.25">
      <c r="D1087" s="449"/>
      <c r="E1087" s="449"/>
      <c r="H1087" s="370"/>
      <c r="I1087" s="370"/>
    </row>
    <row r="1088" spans="4:9" x14ac:dyDescent="0.25">
      <c r="D1088" s="449"/>
      <c r="E1088" s="449"/>
      <c r="H1088" s="370"/>
      <c r="I1088" s="370"/>
    </row>
    <row r="1089" spans="4:9" x14ac:dyDescent="0.25">
      <c r="D1089" s="449"/>
      <c r="E1089" s="449"/>
      <c r="H1089" s="370"/>
      <c r="I1089" s="370"/>
    </row>
    <row r="1090" spans="4:9" x14ac:dyDescent="0.25">
      <c r="D1090" s="449"/>
      <c r="E1090" s="449"/>
      <c r="H1090" s="370"/>
      <c r="I1090" s="370"/>
    </row>
    <row r="1091" spans="4:9" x14ac:dyDescent="0.25">
      <c r="D1091" s="449"/>
      <c r="E1091" s="449"/>
      <c r="H1091" s="370"/>
      <c r="I1091" s="370"/>
    </row>
    <row r="1092" spans="4:9" x14ac:dyDescent="0.25">
      <c r="D1092" s="449"/>
      <c r="E1092" s="449"/>
      <c r="H1092" s="370"/>
      <c r="I1092" s="370"/>
    </row>
    <row r="1093" spans="4:9" x14ac:dyDescent="0.25">
      <c r="D1093" s="449"/>
      <c r="E1093" s="449"/>
      <c r="H1093" s="370"/>
      <c r="I1093" s="370"/>
    </row>
    <row r="1094" spans="4:9" x14ac:dyDescent="0.25">
      <c r="D1094" s="449"/>
      <c r="E1094" s="449"/>
      <c r="H1094" s="370"/>
      <c r="I1094" s="370"/>
    </row>
    <row r="1095" spans="4:9" x14ac:dyDescent="0.25">
      <c r="D1095" s="449"/>
      <c r="E1095" s="449"/>
      <c r="H1095" s="370"/>
      <c r="I1095" s="370"/>
    </row>
    <row r="1096" spans="4:9" x14ac:dyDescent="0.25">
      <c r="D1096" s="449"/>
      <c r="E1096" s="449"/>
      <c r="H1096" s="370"/>
      <c r="I1096" s="370"/>
    </row>
    <row r="1097" spans="4:9" x14ac:dyDescent="0.25">
      <c r="D1097" s="449"/>
      <c r="E1097" s="449"/>
      <c r="H1097" s="370"/>
      <c r="I1097" s="370"/>
    </row>
    <row r="1098" spans="4:9" x14ac:dyDescent="0.25">
      <c r="D1098" s="449"/>
      <c r="E1098" s="449"/>
      <c r="H1098" s="370"/>
      <c r="I1098" s="370"/>
    </row>
    <row r="1099" spans="4:9" x14ac:dyDescent="0.25">
      <c r="D1099" s="449"/>
      <c r="E1099" s="449"/>
      <c r="H1099" s="370"/>
      <c r="I1099" s="370"/>
    </row>
    <row r="1100" spans="4:9" x14ac:dyDescent="0.25">
      <c r="D1100" s="449"/>
      <c r="E1100" s="449"/>
      <c r="H1100" s="370"/>
      <c r="I1100" s="370"/>
    </row>
    <row r="1101" spans="4:9" x14ac:dyDescent="0.25">
      <c r="D1101" s="449"/>
      <c r="E1101" s="449"/>
      <c r="H1101" s="370"/>
      <c r="I1101" s="370"/>
    </row>
    <row r="1102" spans="4:9" x14ac:dyDescent="0.25">
      <c r="D1102" s="449"/>
      <c r="E1102" s="449"/>
      <c r="H1102" s="370"/>
      <c r="I1102" s="370"/>
    </row>
    <row r="1103" spans="4:9" x14ac:dyDescent="0.25">
      <c r="D1103" s="449"/>
      <c r="E1103" s="449"/>
      <c r="H1103" s="370"/>
      <c r="I1103" s="370"/>
    </row>
    <row r="1104" spans="4:9" x14ac:dyDescent="0.25">
      <c r="D1104" s="449"/>
      <c r="E1104" s="449"/>
      <c r="H1104" s="370"/>
      <c r="I1104" s="370"/>
    </row>
    <row r="1105" spans="4:9" x14ac:dyDescent="0.25">
      <c r="D1105" s="449"/>
      <c r="E1105" s="449"/>
      <c r="H1105" s="370"/>
      <c r="I1105" s="370"/>
    </row>
    <row r="1106" spans="4:9" x14ac:dyDescent="0.25">
      <c r="D1106" s="449"/>
      <c r="E1106" s="449"/>
      <c r="H1106" s="370"/>
      <c r="I1106" s="370"/>
    </row>
    <row r="1107" spans="4:9" x14ac:dyDescent="0.25">
      <c r="D1107" s="449"/>
      <c r="E1107" s="449"/>
      <c r="H1107" s="370"/>
      <c r="I1107" s="370"/>
    </row>
    <row r="1108" spans="4:9" x14ac:dyDescent="0.25">
      <c r="D1108" s="449"/>
      <c r="E1108" s="449"/>
      <c r="H1108" s="370"/>
      <c r="I1108" s="370"/>
    </row>
    <row r="1109" spans="4:9" x14ac:dyDescent="0.25">
      <c r="D1109" s="449"/>
      <c r="E1109" s="449"/>
      <c r="H1109" s="370"/>
      <c r="I1109" s="370"/>
    </row>
    <row r="1110" spans="4:9" x14ac:dyDescent="0.25">
      <c r="D1110" s="449"/>
      <c r="E1110" s="449"/>
      <c r="H1110" s="370"/>
      <c r="I1110" s="370"/>
    </row>
    <row r="1111" spans="4:9" x14ac:dyDescent="0.25">
      <c r="D1111" s="449"/>
      <c r="E1111" s="449"/>
      <c r="H1111" s="370"/>
      <c r="I1111" s="370"/>
    </row>
    <row r="1112" spans="4:9" x14ac:dyDescent="0.25">
      <c r="D1112" s="449"/>
      <c r="E1112" s="449"/>
      <c r="H1112" s="370"/>
      <c r="I1112" s="370"/>
    </row>
    <row r="1113" spans="4:9" x14ac:dyDescent="0.25">
      <c r="D1113" s="449"/>
      <c r="E1113" s="449"/>
      <c r="H1113" s="370"/>
      <c r="I1113" s="370"/>
    </row>
    <row r="1114" spans="4:9" x14ac:dyDescent="0.25">
      <c r="D1114" s="449"/>
      <c r="E1114" s="449"/>
      <c r="H1114" s="370"/>
      <c r="I1114" s="370"/>
    </row>
    <row r="1115" spans="4:9" x14ac:dyDescent="0.25">
      <c r="D1115" s="449"/>
      <c r="E1115" s="449"/>
      <c r="H1115" s="370"/>
      <c r="I1115" s="370"/>
    </row>
    <row r="1116" spans="4:9" x14ac:dyDescent="0.25">
      <c r="D1116" s="449"/>
      <c r="E1116" s="449"/>
      <c r="I1116" s="370"/>
    </row>
  </sheetData>
  <customSheetViews>
    <customSheetView guid="{A079800B-DC1B-408F-91C7-3CFEB27825BC}" scale="70" fitToPage="1">
      <pane ySplit="1" topLeftCell="A92" activePane="bottomLeft" state="frozen"/>
      <selection pane="bottomLeft" activeCell="E113" sqref="E113"/>
      <pageMargins left="0" right="0" top="0" bottom="0" header="0" footer="0"/>
      <printOptions horizontalCentered="1" verticalCentered="1" gridLines="1"/>
      <pageSetup paperSize="9" scale="10" orientation="portrait" blackAndWhite="1" verticalDpi="0" r:id="rId1"/>
    </customSheetView>
    <customSheetView guid="{6EFE602B-DDBA-4BA7-94F6-DB3212BD68C7}" scale="70">
      <pane ySplit="1" topLeftCell="A23" activePane="bottomLeft" state="frozen"/>
      <selection pane="bottomLeft" activeCell="AA39" sqref="AA39"/>
      <pageMargins left="0" right="0" top="0" bottom="0" header="0" footer="0"/>
      <printOptions horizontalCentered="1" verticalCentered="1" gridLines="1"/>
      <pageSetup paperSize="9" orientation="portrait" blackAndWhite="1" verticalDpi="0" r:id="rId2"/>
    </customSheetView>
  </customSheetViews>
  <mergeCells count="3">
    <mergeCell ref="V132:W132"/>
    <mergeCell ref="C130:N130"/>
    <mergeCell ref="O130:AA130"/>
  </mergeCells>
  <phoneticPr fontId="23" type="noConversion"/>
  <conditionalFormatting sqref="M133:M134">
    <cfRule type="cellIs" dxfId="202" priority="7141" operator="lessThan">
      <formula>50</formula>
    </cfRule>
  </conditionalFormatting>
  <conditionalFormatting sqref="M147">
    <cfRule type="cellIs" dxfId="201" priority="1207" operator="lessThan">
      <formula>50</formula>
    </cfRule>
  </conditionalFormatting>
  <conditionalFormatting sqref="M5">
    <cfRule type="cellIs" dxfId="200" priority="300" operator="lessThan">
      <formula>50</formula>
    </cfRule>
  </conditionalFormatting>
  <conditionalFormatting sqref="M5">
    <cfRule type="cellIs" dxfId="199" priority="299" operator="lessThan">
      <formula>50</formula>
    </cfRule>
  </conditionalFormatting>
  <conditionalFormatting sqref="M5">
    <cfRule type="cellIs" dxfId="198" priority="298" operator="lessThan">
      <formula>50</formula>
    </cfRule>
  </conditionalFormatting>
  <conditionalFormatting sqref="I5">
    <cfRule type="duplicateValues" dxfId="197" priority="297"/>
  </conditionalFormatting>
  <conditionalFormatting sqref="I5">
    <cfRule type="duplicateValues" dxfId="196" priority="296"/>
  </conditionalFormatting>
  <conditionalFormatting sqref="I10">
    <cfRule type="duplicateValues" dxfId="195" priority="287"/>
  </conditionalFormatting>
  <conditionalFormatting sqref="I10">
    <cfRule type="duplicateValues" dxfId="194" priority="286"/>
  </conditionalFormatting>
  <conditionalFormatting sqref="I12">
    <cfRule type="duplicateValues" dxfId="193" priority="282"/>
  </conditionalFormatting>
  <conditionalFormatting sqref="I12">
    <cfRule type="duplicateValues" dxfId="192" priority="281"/>
  </conditionalFormatting>
  <conditionalFormatting sqref="I14">
    <cfRule type="duplicateValues" dxfId="191" priority="277"/>
  </conditionalFormatting>
  <conditionalFormatting sqref="I14">
    <cfRule type="duplicateValues" dxfId="190" priority="276"/>
  </conditionalFormatting>
  <conditionalFormatting sqref="I16">
    <cfRule type="duplicateValues" dxfId="189" priority="272"/>
  </conditionalFormatting>
  <conditionalFormatting sqref="I16">
    <cfRule type="duplicateValues" dxfId="188" priority="271"/>
  </conditionalFormatting>
  <conditionalFormatting sqref="I18:I19">
    <cfRule type="duplicateValues" dxfId="187" priority="263"/>
  </conditionalFormatting>
  <conditionalFormatting sqref="I18:I19">
    <cfRule type="duplicateValues" dxfId="186" priority="262"/>
  </conditionalFormatting>
  <conditionalFormatting sqref="I21">
    <cfRule type="duplicateValues" dxfId="185" priority="258"/>
  </conditionalFormatting>
  <conditionalFormatting sqref="I21">
    <cfRule type="duplicateValues" dxfId="184" priority="257"/>
  </conditionalFormatting>
  <conditionalFormatting sqref="I23">
    <cfRule type="duplicateValues" dxfId="183" priority="253"/>
  </conditionalFormatting>
  <conditionalFormatting sqref="I23">
    <cfRule type="duplicateValues" dxfId="182" priority="252"/>
  </conditionalFormatting>
  <conditionalFormatting sqref="I25">
    <cfRule type="duplicateValues" dxfId="181" priority="248"/>
  </conditionalFormatting>
  <conditionalFormatting sqref="I25">
    <cfRule type="duplicateValues" dxfId="180" priority="247"/>
  </conditionalFormatting>
  <conditionalFormatting sqref="I27">
    <cfRule type="duplicateValues" dxfId="179" priority="243"/>
  </conditionalFormatting>
  <conditionalFormatting sqref="I27">
    <cfRule type="duplicateValues" dxfId="178" priority="242"/>
  </conditionalFormatting>
  <conditionalFormatting sqref="I29">
    <cfRule type="duplicateValues" dxfId="177" priority="238"/>
  </conditionalFormatting>
  <conditionalFormatting sqref="I29">
    <cfRule type="duplicateValues" dxfId="176" priority="237"/>
  </conditionalFormatting>
  <conditionalFormatting sqref="I31:I32">
    <cfRule type="duplicateValues" dxfId="175" priority="233"/>
  </conditionalFormatting>
  <conditionalFormatting sqref="I31:I32">
    <cfRule type="duplicateValues" dxfId="174" priority="232"/>
  </conditionalFormatting>
  <conditionalFormatting sqref="I35">
    <cfRule type="duplicateValues" dxfId="173" priority="228"/>
  </conditionalFormatting>
  <conditionalFormatting sqref="I35">
    <cfRule type="duplicateValues" dxfId="172" priority="227"/>
  </conditionalFormatting>
  <conditionalFormatting sqref="I38">
    <cfRule type="duplicateValues" dxfId="171" priority="223"/>
  </conditionalFormatting>
  <conditionalFormatting sqref="I38">
    <cfRule type="duplicateValues" dxfId="170" priority="222"/>
  </conditionalFormatting>
  <conditionalFormatting sqref="I41">
    <cfRule type="duplicateValues" dxfId="169" priority="218"/>
  </conditionalFormatting>
  <conditionalFormatting sqref="I41">
    <cfRule type="duplicateValues" dxfId="168" priority="217"/>
  </conditionalFormatting>
  <conditionalFormatting sqref="I44">
    <cfRule type="duplicateValues" dxfId="167" priority="213"/>
  </conditionalFormatting>
  <conditionalFormatting sqref="I44">
    <cfRule type="duplicateValues" dxfId="166" priority="212"/>
  </conditionalFormatting>
  <conditionalFormatting sqref="I47">
    <cfRule type="duplicateValues" dxfId="165" priority="198"/>
  </conditionalFormatting>
  <conditionalFormatting sqref="I47">
    <cfRule type="duplicateValues" dxfId="164" priority="197"/>
  </conditionalFormatting>
  <conditionalFormatting sqref="I49:I50">
    <cfRule type="duplicateValues" dxfId="163" priority="193"/>
  </conditionalFormatting>
  <conditionalFormatting sqref="I49:I50">
    <cfRule type="duplicateValues" dxfId="162" priority="192"/>
  </conditionalFormatting>
  <conditionalFormatting sqref="I52">
    <cfRule type="duplicateValues" dxfId="161" priority="183"/>
  </conditionalFormatting>
  <conditionalFormatting sqref="I52">
    <cfRule type="duplicateValues" dxfId="160" priority="182"/>
  </conditionalFormatting>
  <conditionalFormatting sqref="I55">
    <cfRule type="duplicateValues" dxfId="159" priority="168"/>
  </conditionalFormatting>
  <conditionalFormatting sqref="I55">
    <cfRule type="duplicateValues" dxfId="158" priority="167"/>
  </conditionalFormatting>
  <conditionalFormatting sqref="I58">
    <cfRule type="duplicateValues" dxfId="157" priority="163"/>
  </conditionalFormatting>
  <conditionalFormatting sqref="I58">
    <cfRule type="duplicateValues" dxfId="156" priority="162"/>
  </conditionalFormatting>
  <conditionalFormatting sqref="I61">
    <cfRule type="duplicateValues" dxfId="155" priority="158"/>
  </conditionalFormatting>
  <conditionalFormatting sqref="I61">
    <cfRule type="duplicateValues" dxfId="154" priority="157"/>
  </conditionalFormatting>
  <conditionalFormatting sqref="I63">
    <cfRule type="duplicateValues" dxfId="153" priority="153"/>
  </conditionalFormatting>
  <conditionalFormatting sqref="I63">
    <cfRule type="duplicateValues" dxfId="152" priority="152"/>
  </conditionalFormatting>
  <conditionalFormatting sqref="I8">
    <cfRule type="duplicateValues" dxfId="151" priority="146"/>
  </conditionalFormatting>
  <conditionalFormatting sqref="I8">
    <cfRule type="duplicateValues" dxfId="150" priority="145"/>
  </conditionalFormatting>
  <conditionalFormatting sqref="M18 M16 M14 M12 M10 M8">
    <cfRule type="cellIs" dxfId="149" priority="144" operator="lessThan">
      <formula>50</formula>
    </cfRule>
  </conditionalFormatting>
  <conditionalFormatting sqref="M18 M16 M14 M12 M10 M8">
    <cfRule type="cellIs" dxfId="148" priority="143" operator="lessThan">
      <formula>50</formula>
    </cfRule>
  </conditionalFormatting>
  <conditionalFormatting sqref="M18 M16 M14 M12 M10 M8">
    <cfRule type="cellIs" dxfId="147" priority="142" operator="lessThan">
      <formula>50</formula>
    </cfRule>
  </conditionalFormatting>
  <conditionalFormatting sqref="M31 M27 M25 M23">
    <cfRule type="cellIs" dxfId="146" priority="141" operator="lessThan">
      <formula>50</formula>
    </cfRule>
  </conditionalFormatting>
  <conditionalFormatting sqref="M31 M27 M25 M23">
    <cfRule type="cellIs" dxfId="145" priority="140" operator="lessThan">
      <formula>50</formula>
    </cfRule>
  </conditionalFormatting>
  <conditionalFormatting sqref="M31 M27 M25 M23">
    <cfRule type="cellIs" dxfId="144" priority="139" operator="lessThan">
      <formula>50</formula>
    </cfRule>
  </conditionalFormatting>
  <conditionalFormatting sqref="M49 M47 M44 M41 M38 M35">
    <cfRule type="cellIs" dxfId="143" priority="138" operator="lessThan">
      <formula>50</formula>
    </cfRule>
  </conditionalFormatting>
  <conditionalFormatting sqref="M49 M47 M44 M41 M38 M35">
    <cfRule type="cellIs" dxfId="142" priority="137" operator="lessThan">
      <formula>50</formula>
    </cfRule>
  </conditionalFormatting>
  <conditionalFormatting sqref="M49 M47 M44 M41 M38 M35">
    <cfRule type="cellIs" dxfId="141" priority="136" operator="lessThan">
      <formula>50</formula>
    </cfRule>
  </conditionalFormatting>
  <conditionalFormatting sqref="M63 M61 M58 M55 M52">
    <cfRule type="cellIs" dxfId="140" priority="135" operator="lessThan">
      <formula>50</formula>
    </cfRule>
  </conditionalFormatting>
  <conditionalFormatting sqref="M63 M61 M58 M55 M52">
    <cfRule type="cellIs" dxfId="139" priority="134" operator="lessThan">
      <formula>50</formula>
    </cfRule>
  </conditionalFormatting>
  <conditionalFormatting sqref="M63 M61 M58 M55 M52">
    <cfRule type="cellIs" dxfId="138" priority="133" operator="lessThan">
      <formula>50</formula>
    </cfRule>
  </conditionalFormatting>
  <conditionalFormatting sqref="M21">
    <cfRule type="cellIs" dxfId="137" priority="132" operator="lessThan">
      <formula>50</formula>
    </cfRule>
  </conditionalFormatting>
  <conditionalFormatting sqref="M21">
    <cfRule type="cellIs" dxfId="136" priority="131" operator="lessThan">
      <formula>50</formula>
    </cfRule>
  </conditionalFormatting>
  <conditionalFormatting sqref="M21">
    <cfRule type="cellIs" dxfId="135" priority="130" operator="lessThan">
      <formula>50</formula>
    </cfRule>
  </conditionalFormatting>
  <conditionalFormatting sqref="M29">
    <cfRule type="cellIs" dxfId="134" priority="129" operator="lessThan">
      <formula>50</formula>
    </cfRule>
  </conditionalFormatting>
  <conditionalFormatting sqref="M29">
    <cfRule type="cellIs" dxfId="133" priority="128" operator="lessThan">
      <formula>50</formula>
    </cfRule>
  </conditionalFormatting>
  <conditionalFormatting sqref="M29">
    <cfRule type="cellIs" dxfId="132" priority="127" operator="lessThan">
      <formula>50</formula>
    </cfRule>
  </conditionalFormatting>
  <conditionalFormatting sqref="I66">
    <cfRule type="duplicateValues" dxfId="131" priority="126"/>
  </conditionalFormatting>
  <conditionalFormatting sqref="I66">
    <cfRule type="duplicateValues" dxfId="130" priority="125"/>
  </conditionalFormatting>
  <conditionalFormatting sqref="M66">
    <cfRule type="cellIs" dxfId="129" priority="124" operator="lessThan">
      <formula>50</formula>
    </cfRule>
  </conditionalFormatting>
  <conditionalFormatting sqref="M66">
    <cfRule type="cellIs" dxfId="128" priority="123" operator="lessThan">
      <formula>50</formula>
    </cfRule>
  </conditionalFormatting>
  <conditionalFormatting sqref="M66">
    <cfRule type="cellIs" dxfId="127" priority="122" operator="lessThan">
      <formula>50</formula>
    </cfRule>
  </conditionalFormatting>
  <conditionalFormatting sqref="I70">
    <cfRule type="duplicateValues" dxfId="126" priority="111"/>
  </conditionalFormatting>
  <conditionalFormatting sqref="I70">
    <cfRule type="duplicateValues" dxfId="125" priority="110"/>
  </conditionalFormatting>
  <conditionalFormatting sqref="M70">
    <cfRule type="cellIs" dxfId="124" priority="109" operator="lessThan">
      <formula>50</formula>
    </cfRule>
  </conditionalFormatting>
  <conditionalFormatting sqref="M70">
    <cfRule type="cellIs" dxfId="123" priority="108" operator="lessThan">
      <formula>50</formula>
    </cfRule>
  </conditionalFormatting>
  <conditionalFormatting sqref="M70">
    <cfRule type="cellIs" dxfId="122" priority="107" operator="lessThan">
      <formula>50</formula>
    </cfRule>
  </conditionalFormatting>
  <conditionalFormatting sqref="I73">
    <cfRule type="duplicateValues" dxfId="121" priority="106"/>
  </conditionalFormatting>
  <conditionalFormatting sqref="I73">
    <cfRule type="duplicateValues" dxfId="120" priority="105"/>
  </conditionalFormatting>
  <conditionalFormatting sqref="M73">
    <cfRule type="cellIs" dxfId="119" priority="104" operator="lessThan">
      <formula>50</formula>
    </cfRule>
  </conditionalFormatting>
  <conditionalFormatting sqref="M73">
    <cfRule type="cellIs" dxfId="118" priority="103" operator="lessThan">
      <formula>50</formula>
    </cfRule>
  </conditionalFormatting>
  <conditionalFormatting sqref="M73">
    <cfRule type="cellIs" dxfId="117" priority="102" operator="lessThan">
      <formula>50</formula>
    </cfRule>
  </conditionalFormatting>
  <conditionalFormatting sqref="M74">
    <cfRule type="cellIs" dxfId="116" priority="101" operator="lessThan">
      <formula>50</formula>
    </cfRule>
  </conditionalFormatting>
  <conditionalFormatting sqref="I75">
    <cfRule type="duplicateValues" dxfId="115" priority="100"/>
  </conditionalFormatting>
  <conditionalFormatting sqref="I75">
    <cfRule type="duplicateValues" dxfId="114" priority="99"/>
  </conditionalFormatting>
  <conditionalFormatting sqref="M75">
    <cfRule type="cellIs" dxfId="113" priority="98" operator="lessThan">
      <formula>50</formula>
    </cfRule>
  </conditionalFormatting>
  <conditionalFormatting sqref="M75">
    <cfRule type="cellIs" dxfId="112" priority="97" operator="lessThan">
      <formula>50</formula>
    </cfRule>
  </conditionalFormatting>
  <conditionalFormatting sqref="M75">
    <cfRule type="cellIs" dxfId="111" priority="96" operator="lessThan">
      <formula>50</formula>
    </cfRule>
  </conditionalFormatting>
  <conditionalFormatting sqref="M76">
    <cfRule type="cellIs" dxfId="110" priority="95" operator="lessThan">
      <formula>50</formula>
    </cfRule>
  </conditionalFormatting>
  <conditionalFormatting sqref="I79">
    <cfRule type="duplicateValues" dxfId="109" priority="94"/>
  </conditionalFormatting>
  <conditionalFormatting sqref="I79">
    <cfRule type="duplicateValues" dxfId="108" priority="93"/>
  </conditionalFormatting>
  <conditionalFormatting sqref="I81">
    <cfRule type="duplicateValues" dxfId="107" priority="89"/>
  </conditionalFormatting>
  <conditionalFormatting sqref="I81">
    <cfRule type="duplicateValues" dxfId="106" priority="88"/>
  </conditionalFormatting>
  <conditionalFormatting sqref="M81">
    <cfRule type="cellIs" dxfId="105" priority="87" operator="lessThan">
      <formula>50</formula>
    </cfRule>
  </conditionalFormatting>
  <conditionalFormatting sqref="M81">
    <cfRule type="cellIs" dxfId="104" priority="86" operator="lessThan">
      <formula>50</formula>
    </cfRule>
  </conditionalFormatting>
  <conditionalFormatting sqref="M81">
    <cfRule type="cellIs" dxfId="103" priority="85" operator="lessThan">
      <formula>50</formula>
    </cfRule>
  </conditionalFormatting>
  <conditionalFormatting sqref="I83">
    <cfRule type="duplicateValues" dxfId="102" priority="84"/>
  </conditionalFormatting>
  <conditionalFormatting sqref="I83">
    <cfRule type="duplicateValues" dxfId="101" priority="83"/>
  </conditionalFormatting>
  <conditionalFormatting sqref="M83">
    <cfRule type="cellIs" dxfId="100" priority="82" operator="lessThan">
      <formula>50</formula>
    </cfRule>
  </conditionalFormatting>
  <conditionalFormatting sqref="M83">
    <cfRule type="cellIs" dxfId="99" priority="81" operator="lessThan">
      <formula>50</formula>
    </cfRule>
  </conditionalFormatting>
  <conditionalFormatting sqref="M83">
    <cfRule type="cellIs" dxfId="98" priority="80" operator="lessThan">
      <formula>50</formula>
    </cfRule>
  </conditionalFormatting>
  <conditionalFormatting sqref="I87">
    <cfRule type="duplicateValues" dxfId="97" priority="79"/>
  </conditionalFormatting>
  <conditionalFormatting sqref="I87">
    <cfRule type="duplicateValues" dxfId="96" priority="78"/>
  </conditionalFormatting>
  <conditionalFormatting sqref="M87">
    <cfRule type="cellIs" dxfId="95" priority="77" operator="lessThan">
      <formula>50</formula>
    </cfRule>
  </conditionalFormatting>
  <conditionalFormatting sqref="M87">
    <cfRule type="cellIs" dxfId="94" priority="76" operator="lessThan">
      <formula>50</formula>
    </cfRule>
  </conditionalFormatting>
  <conditionalFormatting sqref="M87">
    <cfRule type="cellIs" dxfId="93" priority="75" operator="lessThan">
      <formula>50</formula>
    </cfRule>
  </conditionalFormatting>
  <conditionalFormatting sqref="I90">
    <cfRule type="duplicateValues" dxfId="92" priority="74"/>
  </conditionalFormatting>
  <conditionalFormatting sqref="I90">
    <cfRule type="duplicateValues" dxfId="91" priority="73"/>
  </conditionalFormatting>
  <conditionalFormatting sqref="M90">
    <cfRule type="cellIs" dxfId="90" priority="72" operator="lessThan">
      <formula>50</formula>
    </cfRule>
  </conditionalFormatting>
  <conditionalFormatting sqref="M90">
    <cfRule type="cellIs" dxfId="89" priority="71" operator="lessThan">
      <formula>50</formula>
    </cfRule>
  </conditionalFormatting>
  <conditionalFormatting sqref="M90">
    <cfRule type="cellIs" dxfId="88" priority="70" operator="lessThan">
      <formula>50</formula>
    </cfRule>
  </conditionalFormatting>
  <conditionalFormatting sqref="I95">
    <cfRule type="duplicateValues" dxfId="87" priority="69"/>
  </conditionalFormatting>
  <conditionalFormatting sqref="I95">
    <cfRule type="duplicateValues" dxfId="86" priority="68"/>
  </conditionalFormatting>
  <conditionalFormatting sqref="M95">
    <cfRule type="cellIs" dxfId="85" priority="64" operator="lessThan">
      <formula>50</formula>
    </cfRule>
  </conditionalFormatting>
  <conditionalFormatting sqref="M95">
    <cfRule type="cellIs" dxfId="84" priority="63" operator="lessThan">
      <formula>50</formula>
    </cfRule>
  </conditionalFormatting>
  <conditionalFormatting sqref="M95">
    <cfRule type="cellIs" dxfId="83" priority="62" operator="lessThan">
      <formula>50</formula>
    </cfRule>
  </conditionalFormatting>
  <conditionalFormatting sqref="I98">
    <cfRule type="duplicateValues" dxfId="82" priority="61"/>
  </conditionalFormatting>
  <conditionalFormatting sqref="I98">
    <cfRule type="duplicateValues" dxfId="81" priority="60"/>
  </conditionalFormatting>
  <conditionalFormatting sqref="M98">
    <cfRule type="cellIs" dxfId="80" priority="59" operator="lessThan">
      <formula>50</formula>
    </cfRule>
  </conditionalFormatting>
  <conditionalFormatting sqref="M98">
    <cfRule type="cellIs" dxfId="79" priority="58" operator="lessThan">
      <formula>50</formula>
    </cfRule>
  </conditionalFormatting>
  <conditionalFormatting sqref="M98">
    <cfRule type="cellIs" dxfId="78" priority="57" operator="lessThan">
      <formula>50</formula>
    </cfRule>
  </conditionalFormatting>
  <conditionalFormatting sqref="I100">
    <cfRule type="duplicateValues" dxfId="77" priority="56"/>
  </conditionalFormatting>
  <conditionalFormatting sqref="I100">
    <cfRule type="duplicateValues" dxfId="76" priority="55"/>
  </conditionalFormatting>
  <conditionalFormatting sqref="M100">
    <cfRule type="cellIs" dxfId="75" priority="54" operator="lessThan">
      <formula>50</formula>
    </cfRule>
  </conditionalFormatting>
  <conditionalFormatting sqref="M100">
    <cfRule type="cellIs" dxfId="74" priority="53" operator="lessThan">
      <formula>50</formula>
    </cfRule>
  </conditionalFormatting>
  <conditionalFormatting sqref="M100">
    <cfRule type="cellIs" dxfId="73" priority="52" operator="lessThan">
      <formula>50</formula>
    </cfRule>
  </conditionalFormatting>
  <conditionalFormatting sqref="M79">
    <cfRule type="cellIs" dxfId="72" priority="48" operator="lessThan">
      <formula>50</formula>
    </cfRule>
  </conditionalFormatting>
  <conditionalFormatting sqref="M79">
    <cfRule type="cellIs" dxfId="71" priority="47" operator="lessThan">
      <formula>50</formula>
    </cfRule>
  </conditionalFormatting>
  <conditionalFormatting sqref="M79">
    <cfRule type="cellIs" dxfId="70" priority="46" operator="lessThan">
      <formula>50</formula>
    </cfRule>
  </conditionalFormatting>
  <conditionalFormatting sqref="I103">
    <cfRule type="duplicateValues" dxfId="69" priority="45"/>
  </conditionalFormatting>
  <conditionalFormatting sqref="I103">
    <cfRule type="duplicateValues" dxfId="68" priority="44"/>
  </conditionalFormatting>
  <conditionalFormatting sqref="M103">
    <cfRule type="cellIs" dxfId="67" priority="43" operator="lessThan">
      <formula>50</formula>
    </cfRule>
  </conditionalFormatting>
  <conditionalFormatting sqref="M103">
    <cfRule type="cellIs" dxfId="66" priority="42" operator="lessThan">
      <formula>50</formula>
    </cfRule>
  </conditionalFormatting>
  <conditionalFormatting sqref="M103">
    <cfRule type="cellIs" dxfId="65" priority="41" operator="lessThan">
      <formula>50</formula>
    </cfRule>
  </conditionalFormatting>
  <conditionalFormatting sqref="I107">
    <cfRule type="duplicateValues" dxfId="64" priority="40"/>
  </conditionalFormatting>
  <conditionalFormatting sqref="I107">
    <cfRule type="duplicateValues" dxfId="63" priority="39"/>
  </conditionalFormatting>
  <conditionalFormatting sqref="M107">
    <cfRule type="cellIs" dxfId="62" priority="38" operator="lessThan">
      <formula>50</formula>
    </cfRule>
  </conditionalFormatting>
  <conditionalFormatting sqref="M107">
    <cfRule type="cellIs" dxfId="61" priority="37" operator="lessThan">
      <formula>50</formula>
    </cfRule>
  </conditionalFormatting>
  <conditionalFormatting sqref="M107">
    <cfRule type="cellIs" dxfId="60" priority="36" operator="lessThan">
      <formula>50</formula>
    </cfRule>
  </conditionalFormatting>
  <conditionalFormatting sqref="I109">
    <cfRule type="duplicateValues" dxfId="59" priority="35"/>
  </conditionalFormatting>
  <conditionalFormatting sqref="I109">
    <cfRule type="duplicateValues" dxfId="58" priority="34"/>
  </conditionalFormatting>
  <conditionalFormatting sqref="M109">
    <cfRule type="cellIs" dxfId="57" priority="33" operator="lessThan">
      <formula>50</formula>
    </cfRule>
  </conditionalFormatting>
  <conditionalFormatting sqref="M109">
    <cfRule type="cellIs" dxfId="56" priority="32" operator="lessThan">
      <formula>50</formula>
    </cfRule>
  </conditionalFormatting>
  <conditionalFormatting sqref="M109">
    <cfRule type="cellIs" dxfId="55" priority="31" operator="lessThan">
      <formula>50</formula>
    </cfRule>
  </conditionalFormatting>
  <conditionalFormatting sqref="I111">
    <cfRule type="duplicateValues" dxfId="54" priority="30"/>
  </conditionalFormatting>
  <conditionalFormatting sqref="I111">
    <cfRule type="duplicateValues" dxfId="53" priority="29"/>
  </conditionalFormatting>
  <conditionalFormatting sqref="M111">
    <cfRule type="cellIs" dxfId="52" priority="28" operator="lessThan">
      <formula>50</formula>
    </cfRule>
  </conditionalFormatting>
  <conditionalFormatting sqref="M111">
    <cfRule type="cellIs" dxfId="51" priority="27" operator="lessThan">
      <formula>50</formula>
    </cfRule>
  </conditionalFormatting>
  <conditionalFormatting sqref="M111">
    <cfRule type="cellIs" dxfId="50" priority="26" operator="lessThan">
      <formula>50</formula>
    </cfRule>
  </conditionalFormatting>
  <conditionalFormatting sqref="I114">
    <cfRule type="duplicateValues" dxfId="49" priority="25"/>
  </conditionalFormatting>
  <conditionalFormatting sqref="I114">
    <cfRule type="duplicateValues" dxfId="48" priority="24"/>
  </conditionalFormatting>
  <conditionalFormatting sqref="M114">
    <cfRule type="cellIs" dxfId="47" priority="23" operator="lessThan">
      <formula>50</formula>
    </cfRule>
  </conditionalFormatting>
  <conditionalFormatting sqref="M114">
    <cfRule type="cellIs" dxfId="46" priority="22" operator="lessThan">
      <formula>50</formula>
    </cfRule>
  </conditionalFormatting>
  <conditionalFormatting sqref="M114">
    <cfRule type="cellIs" dxfId="45" priority="21" operator="lessThan">
      <formula>50</formula>
    </cfRule>
  </conditionalFormatting>
  <conditionalFormatting sqref="I116">
    <cfRule type="duplicateValues" dxfId="44" priority="20"/>
  </conditionalFormatting>
  <conditionalFormatting sqref="I116">
    <cfRule type="duplicateValues" dxfId="43" priority="19"/>
  </conditionalFormatting>
  <conditionalFormatting sqref="M116">
    <cfRule type="cellIs" dxfId="42" priority="18" operator="lessThan">
      <formula>50</formula>
    </cfRule>
  </conditionalFormatting>
  <conditionalFormatting sqref="M116">
    <cfRule type="cellIs" dxfId="41" priority="17" operator="lessThan">
      <formula>50</formula>
    </cfRule>
  </conditionalFormatting>
  <conditionalFormatting sqref="M116">
    <cfRule type="cellIs" dxfId="40" priority="16" operator="lessThan">
      <formula>50</formula>
    </cfRule>
  </conditionalFormatting>
  <conditionalFormatting sqref="I118">
    <cfRule type="duplicateValues" dxfId="39" priority="10"/>
  </conditionalFormatting>
  <conditionalFormatting sqref="I118">
    <cfRule type="duplicateValues" dxfId="38" priority="9"/>
  </conditionalFormatting>
  <conditionalFormatting sqref="M118">
    <cfRule type="cellIs" dxfId="37" priority="8" operator="lessThan">
      <formula>50</formula>
    </cfRule>
  </conditionalFormatting>
  <conditionalFormatting sqref="M118">
    <cfRule type="cellIs" dxfId="36" priority="7" operator="lessThan">
      <formula>50</formula>
    </cfRule>
  </conditionalFormatting>
  <conditionalFormatting sqref="M118">
    <cfRule type="cellIs" dxfId="35" priority="6" operator="lessThan">
      <formula>50</formula>
    </cfRule>
  </conditionalFormatting>
  <conditionalFormatting sqref="I120">
    <cfRule type="duplicateValues" dxfId="34" priority="5"/>
  </conditionalFormatting>
  <conditionalFormatting sqref="I120">
    <cfRule type="duplicateValues" dxfId="33" priority="4"/>
  </conditionalFormatting>
  <conditionalFormatting sqref="M120">
    <cfRule type="cellIs" dxfId="32" priority="3" operator="lessThan">
      <formula>50</formula>
    </cfRule>
  </conditionalFormatting>
  <conditionalFormatting sqref="M120">
    <cfRule type="cellIs" dxfId="31" priority="2" operator="lessThan">
      <formula>50</formula>
    </cfRule>
  </conditionalFormatting>
  <conditionalFormatting sqref="M120">
    <cfRule type="cellIs" dxfId="30" priority="1" operator="lessThan">
      <formula>50</formula>
    </cfRule>
  </conditionalFormatting>
  <printOptions horizontalCentered="1" verticalCentered="1" gridLines="1"/>
  <pageMargins left="0.35433070866141736" right="0.15748031496062992" top="0.19685039370078741" bottom="0" header="0.19685039370078741" footer="0.19685039370078741"/>
  <pageSetup paperSize="9" scale="10" orientation="portrait" blackAndWhite="1" verticalDpi="1200" r:id="rId3"/>
  <headerFooter>
    <oddFooter>&amp;L_x000D_&amp;1#&amp;"Calibri"&amp;8&amp;K000000 Classified as Confidential</oddFooter>
  </headerFooter>
  <drawing r:id="rId4"/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4CEF7-F901-4D94-8D59-8D4392924F9A}">
  <dimension ref="A1:Y464"/>
  <sheetViews>
    <sheetView zoomScale="113" zoomScaleNormal="115" workbookViewId="0">
      <pane xSplit="1" ySplit="2" topLeftCell="B440" activePane="bottomRight" state="frozen"/>
      <selection pane="topRight" activeCell="B1" sqref="B1"/>
      <selection pane="bottomLeft" activeCell="A3" sqref="A3"/>
      <selection pane="bottomRight" activeCell="E462" sqref="E462"/>
    </sheetView>
  </sheetViews>
  <sheetFormatPr defaultRowHeight="15" x14ac:dyDescent="0.25"/>
  <cols>
    <col min="2" max="2" width="12.28515625" style="171" customWidth="1"/>
    <col min="3" max="3" width="11.42578125" style="4" customWidth="1"/>
    <col min="4" max="4" width="12.28515625" style="4" customWidth="1"/>
    <col min="5" max="6" width="9.5703125" style="4" customWidth="1"/>
    <col min="7" max="7" width="6.42578125" style="4" customWidth="1"/>
    <col min="8" max="8" width="9.28515625" style="4" bestFit="1" customWidth="1"/>
    <col min="9" max="9" width="10.28515625" style="4" bestFit="1" customWidth="1"/>
    <col min="10" max="11" width="10.42578125" style="262" customWidth="1"/>
    <col min="12" max="12" width="9.28515625" style="4" bestFit="1" customWidth="1"/>
    <col min="13" max="13" width="12.140625" style="4" customWidth="1"/>
    <col min="14" max="14" width="12.5703125" customWidth="1"/>
    <col min="15" max="17" width="9.140625" style="4"/>
    <col min="19" max="19" width="18.7109375" customWidth="1"/>
    <col min="21" max="21" width="12" bestFit="1" customWidth="1"/>
    <col min="22" max="22" width="10.5703125" customWidth="1"/>
  </cols>
  <sheetData>
    <row r="1" spans="1:22" x14ac:dyDescent="0.25">
      <c r="A1" s="271"/>
      <c r="B1" s="328" t="s">
        <v>598</v>
      </c>
      <c r="C1" s="327"/>
      <c r="D1" s="327" t="s">
        <v>598</v>
      </c>
      <c r="E1" s="327" t="s">
        <v>124</v>
      </c>
      <c r="F1" s="327" t="s">
        <v>599</v>
      </c>
      <c r="G1" s="327" t="s">
        <v>424</v>
      </c>
      <c r="H1" s="327"/>
      <c r="I1" s="327" t="s">
        <v>600</v>
      </c>
      <c r="J1" s="328" t="s">
        <v>601</v>
      </c>
      <c r="K1" s="328" t="s">
        <v>602</v>
      </c>
      <c r="L1" s="327"/>
      <c r="M1" s="327" t="s">
        <v>603</v>
      </c>
      <c r="N1" s="327" t="s">
        <v>598</v>
      </c>
      <c r="O1" s="13"/>
      <c r="P1" s="13"/>
      <c r="Q1" s="13"/>
      <c r="R1" s="303"/>
      <c r="S1" s="271"/>
      <c r="U1" s="271"/>
      <c r="V1" s="271"/>
    </row>
    <row r="2" spans="1:22" ht="18.75" x14ac:dyDescent="0.3">
      <c r="A2" s="271"/>
      <c r="B2" s="328" t="s">
        <v>604</v>
      </c>
      <c r="C2" s="327" t="s">
        <v>605</v>
      </c>
      <c r="D2" s="327" t="s">
        <v>606</v>
      </c>
      <c r="E2" s="327"/>
      <c r="F2" s="327" t="s">
        <v>606</v>
      </c>
      <c r="G2" s="327"/>
      <c r="H2" s="330" t="s">
        <v>125</v>
      </c>
      <c r="I2" s="327" t="s">
        <v>606</v>
      </c>
      <c r="J2" s="328" t="s">
        <v>122</v>
      </c>
      <c r="K2" s="328" t="s">
        <v>122</v>
      </c>
      <c r="L2" s="327" t="s">
        <v>447</v>
      </c>
      <c r="M2" s="327" t="s">
        <v>945</v>
      </c>
      <c r="N2" s="327" t="s">
        <v>606</v>
      </c>
      <c r="O2" s="327" t="s">
        <v>607</v>
      </c>
      <c r="P2" s="327" t="s">
        <v>941</v>
      </c>
      <c r="Q2" s="327" t="s">
        <v>942</v>
      </c>
      <c r="R2" s="550" t="s">
        <v>535</v>
      </c>
      <c r="S2" s="271"/>
      <c r="U2" s="271"/>
      <c r="V2" s="271"/>
    </row>
    <row r="3" spans="1:22" x14ac:dyDescent="0.25">
      <c r="A3" s="271"/>
      <c r="B3" s="262">
        <v>45865</v>
      </c>
      <c r="C3" s="4" t="s">
        <v>74</v>
      </c>
      <c r="D3" s="4">
        <v>400701</v>
      </c>
      <c r="E3" s="4" t="s">
        <v>608</v>
      </c>
      <c r="G3" s="4">
        <v>12</v>
      </c>
      <c r="H3" s="4">
        <v>13</v>
      </c>
      <c r="I3" s="4">
        <v>254433</v>
      </c>
      <c r="J3" s="262">
        <v>45865</v>
      </c>
      <c r="K3" s="262">
        <v>45866</v>
      </c>
      <c r="M3" s="271"/>
      <c r="N3" s="271"/>
      <c r="S3" s="271"/>
      <c r="U3" s="271"/>
      <c r="V3" s="271"/>
    </row>
    <row r="4" spans="1:22" x14ac:dyDescent="0.25">
      <c r="A4" s="271"/>
      <c r="B4" s="262">
        <v>45865</v>
      </c>
      <c r="C4" s="4" t="s">
        <v>74</v>
      </c>
      <c r="D4" s="4">
        <v>400701</v>
      </c>
      <c r="E4" s="4" t="s">
        <v>608</v>
      </c>
      <c r="G4" s="4">
        <v>12</v>
      </c>
      <c r="H4" s="4">
        <v>13</v>
      </c>
      <c r="I4" s="4">
        <v>254434</v>
      </c>
      <c r="J4" s="262">
        <v>45865</v>
      </c>
      <c r="K4" s="262">
        <v>45866</v>
      </c>
      <c r="L4" s="4">
        <v>130</v>
      </c>
      <c r="M4" s="271"/>
      <c r="N4" s="271"/>
      <c r="S4" s="271"/>
      <c r="U4" s="271"/>
      <c r="V4" s="271"/>
    </row>
    <row r="5" spans="1:22" x14ac:dyDescent="0.25">
      <c r="A5" s="271"/>
      <c r="B5" s="262">
        <v>45866</v>
      </c>
      <c r="C5" s="4" t="s">
        <v>74</v>
      </c>
      <c r="D5" s="4">
        <v>400710</v>
      </c>
      <c r="E5" s="4" t="s">
        <v>608</v>
      </c>
      <c r="G5" s="4">
        <v>12</v>
      </c>
      <c r="H5" s="4">
        <v>16.329999999999998</v>
      </c>
      <c r="I5" s="4">
        <v>254457</v>
      </c>
      <c r="J5" s="262">
        <v>45866</v>
      </c>
      <c r="K5" s="262">
        <v>45867</v>
      </c>
      <c r="N5" s="4"/>
      <c r="S5" s="271"/>
      <c r="U5" s="271"/>
      <c r="V5" s="271"/>
    </row>
    <row r="6" spans="1:22" x14ac:dyDescent="0.25">
      <c r="A6" s="271"/>
      <c r="B6" s="262">
        <v>45866</v>
      </c>
      <c r="C6" s="4" t="s">
        <v>74</v>
      </c>
      <c r="D6" s="4">
        <v>400710</v>
      </c>
      <c r="E6" s="4" t="s">
        <v>608</v>
      </c>
      <c r="G6" s="4">
        <v>12</v>
      </c>
      <c r="H6" s="4">
        <v>16.329999999999998</v>
      </c>
      <c r="I6" s="4">
        <v>254458</v>
      </c>
      <c r="J6" s="262">
        <v>45866</v>
      </c>
      <c r="K6" s="262">
        <v>45867</v>
      </c>
      <c r="L6" s="4">
        <v>65</v>
      </c>
      <c r="N6" s="4"/>
      <c r="S6" s="271"/>
      <c r="U6" s="271"/>
      <c r="V6" s="271"/>
    </row>
    <row r="7" spans="1:22" x14ac:dyDescent="0.25">
      <c r="A7" s="271"/>
      <c r="B7" s="262">
        <v>45870</v>
      </c>
      <c r="C7" s="4" t="s">
        <v>74</v>
      </c>
      <c r="D7" s="4">
        <v>400729</v>
      </c>
      <c r="E7" s="4" t="s">
        <v>608</v>
      </c>
      <c r="G7" s="4">
        <v>12</v>
      </c>
      <c r="H7" s="4">
        <v>14</v>
      </c>
      <c r="I7" s="4">
        <v>254579</v>
      </c>
      <c r="J7" s="262">
        <v>45870</v>
      </c>
      <c r="K7" s="262">
        <v>45871</v>
      </c>
      <c r="N7" s="4"/>
      <c r="S7" s="271"/>
      <c r="U7" s="271"/>
      <c r="V7" s="271"/>
    </row>
    <row r="8" spans="1:22" x14ac:dyDescent="0.25">
      <c r="A8" s="271"/>
      <c r="B8" s="262">
        <v>45870</v>
      </c>
      <c r="C8" s="4" t="s">
        <v>74</v>
      </c>
      <c r="D8" s="4">
        <v>400729</v>
      </c>
      <c r="E8" s="4" t="s">
        <v>608</v>
      </c>
      <c r="G8" s="4">
        <v>11</v>
      </c>
      <c r="H8" s="4">
        <v>14</v>
      </c>
      <c r="I8" s="4">
        <v>254580</v>
      </c>
      <c r="J8" s="262">
        <v>45870</v>
      </c>
      <c r="K8" s="262">
        <v>45871</v>
      </c>
      <c r="L8" s="4">
        <v>165</v>
      </c>
      <c r="N8" s="4"/>
      <c r="S8" s="271"/>
      <c r="U8" s="271"/>
      <c r="V8" s="271"/>
    </row>
    <row r="9" spans="1:22" x14ac:dyDescent="0.25">
      <c r="A9" s="271"/>
      <c r="B9" s="262">
        <v>45874</v>
      </c>
      <c r="C9" s="4" t="s">
        <v>74</v>
      </c>
      <c r="D9" s="4">
        <v>400715</v>
      </c>
      <c r="E9" s="4" t="s">
        <v>608</v>
      </c>
      <c r="G9" s="4">
        <v>12</v>
      </c>
      <c r="H9" s="4">
        <v>18.5</v>
      </c>
      <c r="I9" s="4">
        <v>254689</v>
      </c>
      <c r="J9" s="262">
        <v>45874</v>
      </c>
      <c r="K9" s="262">
        <v>45876</v>
      </c>
      <c r="L9" s="4">
        <v>132</v>
      </c>
      <c r="N9" s="4"/>
      <c r="S9" s="271"/>
      <c r="U9" s="271"/>
      <c r="V9" s="271"/>
    </row>
    <row r="10" spans="1:22" x14ac:dyDescent="0.25">
      <c r="A10" s="271"/>
      <c r="B10" s="262">
        <v>45890</v>
      </c>
      <c r="C10" s="4" t="s">
        <v>74</v>
      </c>
      <c r="D10" s="4">
        <v>400706</v>
      </c>
      <c r="E10" s="4" t="s">
        <v>608</v>
      </c>
      <c r="G10" s="4">
        <v>12</v>
      </c>
      <c r="H10" s="4">
        <v>13</v>
      </c>
      <c r="I10" s="4">
        <v>254839</v>
      </c>
      <c r="J10" s="262">
        <v>45891</v>
      </c>
      <c r="K10" s="262">
        <v>45892</v>
      </c>
      <c r="L10" s="4">
        <v>55</v>
      </c>
      <c r="N10" s="4"/>
      <c r="S10" s="271"/>
      <c r="U10" s="271"/>
      <c r="V10" s="271"/>
    </row>
    <row r="11" spans="1:22" x14ac:dyDescent="0.25">
      <c r="A11" s="271"/>
      <c r="B11" s="262">
        <v>45890</v>
      </c>
      <c r="C11" s="4" t="s">
        <v>74</v>
      </c>
      <c r="D11" s="4">
        <v>400723</v>
      </c>
      <c r="E11" s="4" t="s">
        <v>608</v>
      </c>
      <c r="G11" s="4">
        <v>12</v>
      </c>
      <c r="H11" s="4">
        <v>15</v>
      </c>
      <c r="I11" s="4">
        <v>254840</v>
      </c>
      <c r="J11" s="262">
        <v>45891</v>
      </c>
      <c r="K11" s="262">
        <v>45892</v>
      </c>
      <c r="L11" s="4">
        <v>93</v>
      </c>
      <c r="N11" s="4"/>
      <c r="S11" s="271"/>
      <c r="U11" s="271"/>
      <c r="V11" s="271"/>
    </row>
    <row r="12" spans="1:22" x14ac:dyDescent="0.25">
      <c r="A12" s="271"/>
      <c r="B12" s="262">
        <v>45890</v>
      </c>
      <c r="C12" s="4" t="s">
        <v>74</v>
      </c>
      <c r="D12" s="4">
        <v>400715</v>
      </c>
      <c r="E12" s="4" t="s">
        <v>608</v>
      </c>
      <c r="G12" s="4">
        <v>12</v>
      </c>
      <c r="H12" s="4">
        <v>18.5</v>
      </c>
      <c r="I12" s="4">
        <v>254841</v>
      </c>
      <c r="J12" s="262">
        <v>45891</v>
      </c>
      <c r="K12" s="262">
        <v>45892</v>
      </c>
      <c r="L12" s="4">
        <v>92</v>
      </c>
      <c r="N12" s="4"/>
      <c r="S12" s="271"/>
      <c r="U12" s="271"/>
      <c r="V12" s="271"/>
    </row>
    <row r="13" spans="1:22" x14ac:dyDescent="0.25">
      <c r="A13" s="271"/>
      <c r="B13" s="262">
        <v>45890</v>
      </c>
      <c r="C13" s="4" t="s">
        <v>74</v>
      </c>
      <c r="D13" s="4">
        <v>400724</v>
      </c>
      <c r="E13" s="4" t="s">
        <v>608</v>
      </c>
      <c r="G13" s="4">
        <v>12</v>
      </c>
      <c r="H13" s="4">
        <v>15</v>
      </c>
      <c r="I13" s="4">
        <v>254842</v>
      </c>
      <c r="J13" s="262">
        <v>45891</v>
      </c>
      <c r="K13" s="262">
        <v>45892</v>
      </c>
      <c r="L13" s="4">
        <v>88</v>
      </c>
      <c r="N13" s="4"/>
      <c r="S13" s="271"/>
      <c r="U13" s="271"/>
      <c r="V13" s="271"/>
    </row>
    <row r="14" spans="1:22" x14ac:dyDescent="0.25">
      <c r="A14" s="271"/>
      <c r="B14" s="262">
        <v>45890</v>
      </c>
      <c r="C14" s="4" t="s">
        <v>74</v>
      </c>
      <c r="D14" s="4">
        <v>400726</v>
      </c>
      <c r="E14" s="4" t="s">
        <v>608</v>
      </c>
      <c r="G14" s="4">
        <v>12</v>
      </c>
      <c r="H14" s="4">
        <v>15</v>
      </c>
      <c r="I14" s="4">
        <v>254843</v>
      </c>
      <c r="J14" s="262">
        <v>45891</v>
      </c>
      <c r="K14" s="262">
        <v>45892</v>
      </c>
      <c r="L14" s="4">
        <v>115</v>
      </c>
      <c r="N14" s="4"/>
      <c r="S14" s="271"/>
      <c r="U14" s="271"/>
      <c r="V14" s="271"/>
    </row>
    <row r="15" spans="1:22" x14ac:dyDescent="0.25">
      <c r="A15" s="271"/>
      <c r="B15" s="262">
        <v>45890</v>
      </c>
      <c r="C15" s="4" t="s">
        <v>74</v>
      </c>
      <c r="D15" s="4">
        <v>400705</v>
      </c>
      <c r="E15" s="4" t="s">
        <v>608</v>
      </c>
      <c r="G15" s="4">
        <v>12</v>
      </c>
      <c r="H15" s="4">
        <v>13</v>
      </c>
      <c r="I15" s="4">
        <v>254844</v>
      </c>
      <c r="J15" s="262">
        <v>45891</v>
      </c>
      <c r="K15" s="262">
        <v>45892</v>
      </c>
      <c r="L15" s="4">
        <v>63</v>
      </c>
      <c r="N15" s="4"/>
      <c r="S15" s="271"/>
      <c r="U15" s="271"/>
      <c r="V15" s="271"/>
    </row>
    <row r="16" spans="1:22" x14ac:dyDescent="0.25">
      <c r="A16" s="271"/>
      <c r="B16" s="262">
        <v>45890</v>
      </c>
      <c r="C16" s="4" t="s">
        <v>74</v>
      </c>
      <c r="D16" s="4">
        <v>400725</v>
      </c>
      <c r="E16" s="4" t="s">
        <v>608</v>
      </c>
      <c r="G16" s="4">
        <v>12</v>
      </c>
      <c r="H16" s="4">
        <v>15</v>
      </c>
      <c r="I16" s="4">
        <v>254845</v>
      </c>
      <c r="J16" s="262">
        <v>45891</v>
      </c>
      <c r="K16" s="262">
        <v>45892</v>
      </c>
      <c r="L16" s="4">
        <v>68</v>
      </c>
      <c r="N16" s="4"/>
      <c r="S16" s="271"/>
      <c r="U16" s="271"/>
      <c r="V16" s="271"/>
    </row>
    <row r="17" spans="1:22" x14ac:dyDescent="0.25">
      <c r="A17" s="271"/>
      <c r="B17" s="262">
        <v>45890</v>
      </c>
      <c r="C17" s="4" t="s">
        <v>74</v>
      </c>
      <c r="D17" s="4">
        <v>400717</v>
      </c>
      <c r="E17" s="4" t="s">
        <v>608</v>
      </c>
      <c r="G17" s="4">
        <v>12</v>
      </c>
      <c r="H17" s="4">
        <v>18.5</v>
      </c>
      <c r="I17" s="4">
        <v>254846</v>
      </c>
      <c r="J17" s="262">
        <v>45891</v>
      </c>
      <c r="K17" s="262">
        <v>45892</v>
      </c>
      <c r="L17" s="4">
        <v>125</v>
      </c>
      <c r="N17" s="4"/>
      <c r="S17" s="271"/>
      <c r="U17" s="271"/>
      <c r="V17" s="271"/>
    </row>
    <row r="18" spans="1:22" x14ac:dyDescent="0.25">
      <c r="A18" s="271"/>
      <c r="B18" s="262">
        <v>45890</v>
      </c>
      <c r="C18" s="4" t="s">
        <v>74</v>
      </c>
      <c r="D18" s="4">
        <v>400720</v>
      </c>
      <c r="E18" s="4" t="s">
        <v>608</v>
      </c>
      <c r="G18" s="4">
        <v>12</v>
      </c>
      <c r="H18" s="4">
        <v>18.5</v>
      </c>
      <c r="I18" s="4">
        <v>254847</v>
      </c>
      <c r="J18" s="262">
        <v>45891</v>
      </c>
      <c r="K18" s="262">
        <v>45892</v>
      </c>
      <c r="L18" s="4">
        <v>120</v>
      </c>
      <c r="N18" s="4"/>
      <c r="S18" s="271"/>
      <c r="U18" s="271"/>
      <c r="V18" s="271"/>
    </row>
    <row r="19" spans="1:22" x14ac:dyDescent="0.25">
      <c r="A19" s="271"/>
      <c r="B19" s="262">
        <v>45892</v>
      </c>
      <c r="C19" s="4" t="s">
        <v>74</v>
      </c>
      <c r="D19" s="4">
        <v>400714</v>
      </c>
      <c r="E19" s="4" t="s">
        <v>608</v>
      </c>
      <c r="G19" s="4">
        <v>11</v>
      </c>
      <c r="H19" s="4">
        <v>18.5</v>
      </c>
      <c r="I19" s="4">
        <v>254883</v>
      </c>
      <c r="J19" s="262">
        <v>45892</v>
      </c>
      <c r="K19" s="262">
        <v>45893</v>
      </c>
      <c r="L19" s="4">
        <v>162</v>
      </c>
      <c r="N19" s="4"/>
      <c r="S19" s="271"/>
      <c r="U19" s="271"/>
      <c r="V19" s="271"/>
    </row>
    <row r="20" spans="1:22" x14ac:dyDescent="0.25">
      <c r="A20" s="271"/>
      <c r="B20" s="262">
        <v>45892</v>
      </c>
      <c r="C20" s="4" t="s">
        <v>74</v>
      </c>
      <c r="D20" s="4">
        <v>400716</v>
      </c>
      <c r="E20" s="4" t="s">
        <v>608</v>
      </c>
      <c r="G20" s="4">
        <v>11</v>
      </c>
      <c r="H20" s="4">
        <v>18.5</v>
      </c>
      <c r="I20" s="4">
        <v>254884</v>
      </c>
      <c r="J20" s="262">
        <v>45892</v>
      </c>
      <c r="K20" s="262">
        <v>45893</v>
      </c>
      <c r="L20" s="4">
        <v>170</v>
      </c>
      <c r="N20" s="4"/>
      <c r="S20" s="271"/>
      <c r="U20" s="271"/>
      <c r="V20" s="271"/>
    </row>
    <row r="21" spans="1:22" x14ac:dyDescent="0.25">
      <c r="A21" s="271"/>
      <c r="B21" s="262">
        <v>45892</v>
      </c>
      <c r="C21" s="4" t="s">
        <v>74</v>
      </c>
      <c r="D21" s="4">
        <v>400719</v>
      </c>
      <c r="E21" s="4" t="s">
        <v>608</v>
      </c>
      <c r="G21" s="4">
        <v>11</v>
      </c>
      <c r="H21" s="4">
        <v>18.5</v>
      </c>
      <c r="I21" s="4">
        <v>254885</v>
      </c>
      <c r="J21" s="262">
        <v>45892</v>
      </c>
      <c r="K21" s="262">
        <v>45893</v>
      </c>
      <c r="L21" s="4">
        <v>138</v>
      </c>
      <c r="N21" s="4"/>
      <c r="S21" s="271"/>
      <c r="U21" s="271"/>
      <c r="V21" s="271"/>
    </row>
    <row r="22" spans="1:22" x14ac:dyDescent="0.25">
      <c r="A22" s="271"/>
      <c r="B22" s="262">
        <v>45892</v>
      </c>
      <c r="C22" s="4" t="s">
        <v>74</v>
      </c>
      <c r="D22" s="4">
        <v>400722</v>
      </c>
      <c r="E22" s="4" t="s">
        <v>608</v>
      </c>
      <c r="G22" s="4">
        <v>11</v>
      </c>
      <c r="H22" s="4">
        <v>15</v>
      </c>
      <c r="I22" s="4">
        <v>254886</v>
      </c>
      <c r="J22" s="262">
        <v>45892</v>
      </c>
      <c r="K22" s="262">
        <v>45893</v>
      </c>
      <c r="L22" s="4">
        <v>140</v>
      </c>
      <c r="N22" s="4"/>
      <c r="S22" s="271"/>
      <c r="U22" s="271"/>
      <c r="V22" s="271"/>
    </row>
    <row r="23" spans="1:22" x14ac:dyDescent="0.25">
      <c r="A23" s="271"/>
      <c r="B23" s="262">
        <v>45895</v>
      </c>
      <c r="C23" s="4" t="s">
        <v>57</v>
      </c>
      <c r="D23" s="4">
        <v>650802</v>
      </c>
      <c r="E23" s="4" t="s">
        <v>609</v>
      </c>
      <c r="G23" s="4">
        <v>2</v>
      </c>
      <c r="H23" s="4">
        <v>17.3</v>
      </c>
      <c r="I23" s="4">
        <v>254950</v>
      </c>
      <c r="J23" s="262">
        <v>45895</v>
      </c>
      <c r="K23" s="262">
        <v>45897</v>
      </c>
      <c r="L23" s="4">
        <v>135</v>
      </c>
      <c r="N23" s="4"/>
      <c r="S23" s="271"/>
      <c r="U23" s="271"/>
      <c r="V23" s="271"/>
    </row>
    <row r="24" spans="1:22" x14ac:dyDescent="0.25">
      <c r="A24" s="271"/>
      <c r="B24" s="262">
        <v>45901</v>
      </c>
      <c r="C24" s="4" t="s">
        <v>57</v>
      </c>
      <c r="D24" s="4">
        <v>650801</v>
      </c>
      <c r="E24" s="4" t="s">
        <v>609</v>
      </c>
      <c r="G24" s="4">
        <v>2</v>
      </c>
      <c r="H24" s="4">
        <v>17.3</v>
      </c>
      <c r="I24" s="4">
        <v>255101</v>
      </c>
      <c r="J24" s="262">
        <v>45901</v>
      </c>
      <c r="K24" s="262">
        <v>45902</v>
      </c>
      <c r="L24" s="4">
        <v>190</v>
      </c>
      <c r="N24" s="4"/>
      <c r="S24" s="271"/>
      <c r="U24" s="271"/>
      <c r="V24" s="271"/>
    </row>
    <row r="25" spans="1:22" x14ac:dyDescent="0.25">
      <c r="A25" s="271"/>
      <c r="B25" s="262">
        <v>45901</v>
      </c>
      <c r="C25" s="4" t="s">
        <v>74</v>
      </c>
      <c r="D25" s="4">
        <v>400804</v>
      </c>
      <c r="E25" s="4" t="s">
        <v>608</v>
      </c>
      <c r="G25" s="4">
        <v>12</v>
      </c>
      <c r="H25" s="4">
        <v>20</v>
      </c>
      <c r="I25" s="4">
        <v>255102</v>
      </c>
      <c r="J25" s="262">
        <v>45901</v>
      </c>
      <c r="K25" s="262">
        <v>45902</v>
      </c>
      <c r="L25" s="4">
        <v>160</v>
      </c>
      <c r="N25" s="4"/>
      <c r="S25" s="271"/>
      <c r="U25" s="271"/>
      <c r="V25" s="271"/>
    </row>
    <row r="26" spans="1:22" x14ac:dyDescent="0.25">
      <c r="A26" s="271"/>
      <c r="B26" s="262">
        <v>45902</v>
      </c>
      <c r="C26" s="4" t="s">
        <v>74</v>
      </c>
      <c r="D26" s="4">
        <v>400812</v>
      </c>
      <c r="E26" s="4" t="s">
        <v>608</v>
      </c>
      <c r="G26" s="4">
        <v>12</v>
      </c>
      <c r="H26" s="4">
        <v>11</v>
      </c>
      <c r="I26" s="4">
        <v>255131</v>
      </c>
      <c r="J26" s="262">
        <v>45902</v>
      </c>
      <c r="K26" s="262">
        <v>45904</v>
      </c>
      <c r="L26" s="4">
        <v>96</v>
      </c>
      <c r="N26" s="4"/>
      <c r="S26" s="271"/>
      <c r="U26" s="271"/>
      <c r="V26" s="271"/>
    </row>
    <row r="27" spans="1:22" x14ac:dyDescent="0.25">
      <c r="A27" s="271"/>
      <c r="B27" s="262">
        <v>45902</v>
      </c>
      <c r="D27" s="4" t="s">
        <v>610</v>
      </c>
      <c r="E27" s="4" t="s">
        <v>611</v>
      </c>
      <c r="H27" s="4">
        <v>11</v>
      </c>
      <c r="I27" s="4">
        <v>255150</v>
      </c>
      <c r="K27" s="262">
        <v>45905</v>
      </c>
      <c r="L27" s="4">
        <v>50</v>
      </c>
    </row>
    <row r="28" spans="1:22" x14ac:dyDescent="0.25">
      <c r="A28" s="271"/>
      <c r="B28" s="262">
        <v>45902</v>
      </c>
      <c r="D28" s="4" t="s">
        <v>610</v>
      </c>
      <c r="E28" s="4" t="s">
        <v>612</v>
      </c>
      <c r="H28" s="4">
        <v>11</v>
      </c>
      <c r="I28" s="4">
        <v>255151</v>
      </c>
      <c r="K28" s="262">
        <v>45905</v>
      </c>
      <c r="L28" s="4">
        <v>70</v>
      </c>
    </row>
    <row r="29" spans="1:22" x14ac:dyDescent="0.25">
      <c r="A29" s="271"/>
      <c r="B29" s="262">
        <v>45902</v>
      </c>
      <c r="D29" s="4" t="s">
        <v>610</v>
      </c>
      <c r="E29" s="4" t="s">
        <v>613</v>
      </c>
      <c r="H29" s="4">
        <v>18.3</v>
      </c>
      <c r="I29" s="4">
        <v>255152</v>
      </c>
      <c r="K29" s="262">
        <v>45905</v>
      </c>
      <c r="L29" s="4">
        <v>80</v>
      </c>
    </row>
    <row r="30" spans="1:22" x14ac:dyDescent="0.25">
      <c r="A30" s="271"/>
      <c r="B30" s="262">
        <v>45902</v>
      </c>
      <c r="D30" s="4" t="s">
        <v>614</v>
      </c>
      <c r="H30" s="4">
        <v>11</v>
      </c>
      <c r="I30" s="4">
        <v>255153</v>
      </c>
      <c r="J30" s="262">
        <v>45904</v>
      </c>
      <c r="K30" s="262">
        <v>45905</v>
      </c>
      <c r="L30" s="4">
        <v>98</v>
      </c>
      <c r="N30" s="4"/>
      <c r="S30" s="271"/>
      <c r="U30" s="271"/>
      <c r="V30" s="271"/>
    </row>
    <row r="31" spans="1:22" x14ac:dyDescent="0.25">
      <c r="A31" s="271"/>
      <c r="B31" s="262">
        <v>45902</v>
      </c>
      <c r="D31" s="4" t="s">
        <v>614</v>
      </c>
      <c r="H31" s="4">
        <v>13</v>
      </c>
      <c r="I31" s="4">
        <v>255154</v>
      </c>
      <c r="J31" s="262">
        <v>45904</v>
      </c>
      <c r="K31" s="262">
        <v>45905</v>
      </c>
      <c r="L31" s="4">
        <v>40</v>
      </c>
      <c r="N31" s="4"/>
      <c r="S31" s="271"/>
      <c r="U31" s="271"/>
      <c r="V31" s="271"/>
    </row>
    <row r="32" spans="1:22" x14ac:dyDescent="0.25">
      <c r="A32" s="271"/>
      <c r="B32" s="262">
        <v>45904</v>
      </c>
      <c r="C32" s="4" t="s">
        <v>348</v>
      </c>
      <c r="D32" s="4">
        <v>710903</v>
      </c>
      <c r="E32" s="4" t="s">
        <v>609</v>
      </c>
      <c r="G32" s="4">
        <v>12</v>
      </c>
      <c r="H32" s="4">
        <v>22</v>
      </c>
      <c r="I32" s="4">
        <v>255161</v>
      </c>
      <c r="J32" s="262">
        <v>45904</v>
      </c>
      <c r="K32" s="262">
        <v>45905</v>
      </c>
      <c r="L32" s="4">
        <v>131</v>
      </c>
      <c r="N32" s="4">
        <f t="shared" ref="N32:N63" si="0">D32</f>
        <v>710903</v>
      </c>
      <c r="S32" s="271"/>
      <c r="U32" s="271"/>
      <c r="V32" s="271"/>
    </row>
    <row r="33" spans="1:22" x14ac:dyDescent="0.25">
      <c r="A33" s="271"/>
      <c r="B33" s="262">
        <v>45904</v>
      </c>
      <c r="C33" s="4" t="s">
        <v>74</v>
      </c>
      <c r="D33" s="4">
        <v>400812</v>
      </c>
      <c r="E33" s="4" t="s">
        <v>608</v>
      </c>
      <c r="G33" s="4">
        <v>12</v>
      </c>
      <c r="H33" s="4">
        <v>11</v>
      </c>
      <c r="I33" s="4">
        <v>255178</v>
      </c>
      <c r="J33" s="262">
        <v>45904</v>
      </c>
      <c r="K33" s="262">
        <v>45905</v>
      </c>
      <c r="L33" s="4">
        <v>88</v>
      </c>
      <c r="N33" s="4">
        <f t="shared" si="0"/>
        <v>400812</v>
      </c>
      <c r="S33" s="271"/>
      <c r="U33" s="271"/>
      <c r="V33" s="271"/>
    </row>
    <row r="34" spans="1:22" x14ac:dyDescent="0.25">
      <c r="A34" s="271"/>
      <c r="B34" s="262">
        <v>45905</v>
      </c>
      <c r="C34" s="4" t="s">
        <v>348</v>
      </c>
      <c r="D34" s="4">
        <v>710901</v>
      </c>
      <c r="E34" s="4" t="s">
        <v>609</v>
      </c>
      <c r="G34" s="4">
        <v>12</v>
      </c>
      <c r="H34" s="4">
        <v>23</v>
      </c>
      <c r="I34" s="4">
        <v>255191</v>
      </c>
      <c r="J34" s="262">
        <v>45905</v>
      </c>
      <c r="K34" s="262">
        <v>45905</v>
      </c>
      <c r="L34" s="4">
        <v>160</v>
      </c>
      <c r="N34" s="4">
        <f t="shared" si="0"/>
        <v>710901</v>
      </c>
      <c r="O34" s="4">
        <v>0</v>
      </c>
      <c r="S34" t="s">
        <v>615</v>
      </c>
      <c r="U34" s="271"/>
      <c r="V34" s="271"/>
    </row>
    <row r="35" spans="1:22" x14ac:dyDescent="0.25">
      <c r="A35" s="271"/>
      <c r="B35" s="262">
        <v>45905</v>
      </c>
      <c r="C35" s="4" t="s">
        <v>74</v>
      </c>
      <c r="D35" s="4">
        <v>400811</v>
      </c>
      <c r="E35" s="4" t="s">
        <v>608</v>
      </c>
      <c r="G35" s="4">
        <v>12</v>
      </c>
      <c r="H35" s="4">
        <v>14</v>
      </c>
      <c r="I35" s="4">
        <v>255210</v>
      </c>
      <c r="J35" s="262">
        <v>45906</v>
      </c>
      <c r="K35" s="262">
        <v>45845</v>
      </c>
      <c r="L35" s="4">
        <v>70</v>
      </c>
      <c r="N35" s="4">
        <f t="shared" si="0"/>
        <v>400811</v>
      </c>
      <c r="O35" s="4">
        <v>125</v>
      </c>
      <c r="S35" s="271"/>
      <c r="U35" s="271"/>
      <c r="V35" s="271"/>
    </row>
    <row r="36" spans="1:22" x14ac:dyDescent="0.25">
      <c r="A36" s="271"/>
      <c r="B36" s="262">
        <v>45905</v>
      </c>
      <c r="C36" s="4" t="s">
        <v>348</v>
      </c>
      <c r="D36" s="4">
        <v>710905</v>
      </c>
      <c r="E36" s="4" t="s">
        <v>609</v>
      </c>
      <c r="G36" s="4">
        <v>2</v>
      </c>
      <c r="H36" s="4">
        <v>20</v>
      </c>
      <c r="I36" s="4">
        <v>255211</v>
      </c>
      <c r="J36" s="262">
        <v>45906</v>
      </c>
      <c r="K36" s="262">
        <v>45845</v>
      </c>
      <c r="L36" s="4">
        <v>172</v>
      </c>
      <c r="N36" s="4">
        <f t="shared" si="0"/>
        <v>710905</v>
      </c>
      <c r="O36" s="4">
        <v>90</v>
      </c>
      <c r="S36" s="271"/>
      <c r="U36" s="271"/>
      <c r="V36" s="271"/>
    </row>
    <row r="37" spans="1:22" x14ac:dyDescent="0.25">
      <c r="A37" s="271"/>
      <c r="B37" s="262">
        <v>45908</v>
      </c>
      <c r="C37" s="4" t="s">
        <v>21</v>
      </c>
      <c r="D37" s="4">
        <v>910901</v>
      </c>
      <c r="E37" s="4" t="s">
        <v>609</v>
      </c>
      <c r="G37" s="4">
        <v>2</v>
      </c>
      <c r="H37" s="4">
        <v>14</v>
      </c>
      <c r="I37" s="4">
        <v>255268</v>
      </c>
      <c r="J37" s="262">
        <v>45877</v>
      </c>
      <c r="K37" s="262">
        <v>45908</v>
      </c>
      <c r="L37" s="4">
        <v>116</v>
      </c>
      <c r="N37" s="4">
        <f t="shared" si="0"/>
        <v>910901</v>
      </c>
      <c r="O37" s="4">
        <v>70</v>
      </c>
      <c r="S37" s="271"/>
      <c r="U37" s="271"/>
      <c r="V37" s="271"/>
    </row>
    <row r="38" spans="1:22" x14ac:dyDescent="0.25">
      <c r="A38" s="271"/>
      <c r="B38" s="262">
        <v>45909</v>
      </c>
      <c r="C38" s="4" t="s">
        <v>348</v>
      </c>
      <c r="D38" s="4">
        <v>710901</v>
      </c>
      <c r="E38" s="4" t="s">
        <v>616</v>
      </c>
      <c r="G38" s="4">
        <v>2</v>
      </c>
      <c r="H38" s="4">
        <v>25</v>
      </c>
      <c r="I38" s="4">
        <v>255292</v>
      </c>
      <c r="J38" s="262">
        <v>45909</v>
      </c>
      <c r="K38" s="262">
        <v>45909</v>
      </c>
      <c r="L38" s="4">
        <v>95</v>
      </c>
      <c r="N38" s="4">
        <f t="shared" si="0"/>
        <v>710901</v>
      </c>
      <c r="S38" s="271"/>
      <c r="U38" s="271"/>
      <c r="V38" s="271"/>
    </row>
    <row r="39" spans="1:22" x14ac:dyDescent="0.25">
      <c r="A39" s="271"/>
      <c r="B39" s="262">
        <v>45912</v>
      </c>
      <c r="C39" s="4" t="s">
        <v>74</v>
      </c>
      <c r="D39" s="4">
        <v>400731</v>
      </c>
      <c r="E39" s="4" t="s">
        <v>608</v>
      </c>
      <c r="G39" s="4">
        <v>11</v>
      </c>
      <c r="H39" s="4">
        <v>21</v>
      </c>
      <c r="I39" s="4">
        <v>255344</v>
      </c>
      <c r="J39" s="262">
        <v>45912</v>
      </c>
      <c r="K39" s="262">
        <v>45913</v>
      </c>
      <c r="L39" s="4">
        <v>158</v>
      </c>
      <c r="N39" s="4">
        <f t="shared" si="0"/>
        <v>400731</v>
      </c>
      <c r="O39" s="4">
        <v>0</v>
      </c>
      <c r="S39" s="271"/>
      <c r="U39" s="271"/>
      <c r="V39" s="271"/>
    </row>
    <row r="40" spans="1:22" x14ac:dyDescent="0.25">
      <c r="A40" s="271"/>
      <c r="B40" s="262">
        <v>45912</v>
      </c>
      <c r="C40" s="4" t="s">
        <v>74</v>
      </c>
      <c r="D40" s="4">
        <v>400730</v>
      </c>
      <c r="E40" s="4" t="s">
        <v>608</v>
      </c>
      <c r="G40" s="4">
        <v>12</v>
      </c>
      <c r="H40" s="4">
        <v>21</v>
      </c>
      <c r="I40" s="4">
        <v>255345</v>
      </c>
      <c r="J40" s="262">
        <v>45912</v>
      </c>
      <c r="K40" s="262">
        <v>45913</v>
      </c>
      <c r="L40" s="4">
        <v>170</v>
      </c>
      <c r="N40" s="4">
        <f t="shared" si="0"/>
        <v>400730</v>
      </c>
      <c r="O40" s="172" t="s">
        <v>617</v>
      </c>
      <c r="S40" s="271"/>
      <c r="U40" s="271"/>
      <c r="V40" s="271"/>
    </row>
    <row r="41" spans="1:22" x14ac:dyDescent="0.25">
      <c r="A41" s="271"/>
      <c r="B41" s="262">
        <v>45913</v>
      </c>
      <c r="C41" s="4" t="s">
        <v>74</v>
      </c>
      <c r="D41" s="4">
        <v>400809</v>
      </c>
      <c r="E41" s="4" t="s">
        <v>608</v>
      </c>
      <c r="G41" s="4">
        <v>12</v>
      </c>
      <c r="H41" s="4">
        <v>14</v>
      </c>
      <c r="I41" s="4">
        <v>255407</v>
      </c>
      <c r="J41" s="262">
        <v>45913</v>
      </c>
      <c r="K41" s="262">
        <v>45915</v>
      </c>
      <c r="L41" s="4">
        <v>82</v>
      </c>
      <c r="N41" s="4">
        <f t="shared" si="0"/>
        <v>400809</v>
      </c>
      <c r="O41" s="4">
        <v>66</v>
      </c>
      <c r="S41" s="271"/>
      <c r="U41" s="271"/>
      <c r="V41" s="271"/>
    </row>
    <row r="42" spans="1:22" x14ac:dyDescent="0.25">
      <c r="A42" s="271"/>
      <c r="B42" s="262">
        <v>45913</v>
      </c>
      <c r="C42" s="4" t="s">
        <v>74</v>
      </c>
      <c r="D42" s="4">
        <v>400810</v>
      </c>
      <c r="E42" s="4" t="s">
        <v>608</v>
      </c>
      <c r="G42" s="4">
        <v>12</v>
      </c>
      <c r="H42" s="4">
        <v>14</v>
      </c>
      <c r="I42" s="4">
        <v>255408</v>
      </c>
      <c r="J42" s="262">
        <v>45913</v>
      </c>
      <c r="K42" s="262">
        <v>45915</v>
      </c>
      <c r="L42" s="4">
        <v>62</v>
      </c>
      <c r="N42" s="4">
        <f t="shared" si="0"/>
        <v>400810</v>
      </c>
      <c r="O42" s="4">
        <v>100</v>
      </c>
      <c r="S42" s="271"/>
      <c r="U42" s="271"/>
      <c r="V42" s="271"/>
    </row>
    <row r="43" spans="1:22" x14ac:dyDescent="0.25">
      <c r="A43" s="271"/>
      <c r="B43" s="262">
        <v>45913</v>
      </c>
      <c r="C43" s="4" t="s">
        <v>57</v>
      </c>
      <c r="D43" s="4">
        <v>650905</v>
      </c>
      <c r="E43" s="4" t="s">
        <v>609</v>
      </c>
      <c r="G43" s="4">
        <v>1</v>
      </c>
      <c r="H43" s="4">
        <v>17.3</v>
      </c>
      <c r="I43" s="4">
        <v>255409</v>
      </c>
      <c r="J43" s="262">
        <v>45913</v>
      </c>
      <c r="K43" s="262">
        <v>45915</v>
      </c>
      <c r="L43" s="4">
        <v>51</v>
      </c>
      <c r="N43" s="4">
        <f t="shared" si="0"/>
        <v>650905</v>
      </c>
      <c r="O43" s="4">
        <v>0</v>
      </c>
      <c r="S43" s="271"/>
      <c r="U43" s="271"/>
      <c r="V43" s="271"/>
    </row>
    <row r="44" spans="1:22" x14ac:dyDescent="0.25">
      <c r="A44" s="271"/>
      <c r="B44" s="262">
        <v>45914</v>
      </c>
      <c r="C44" s="4" t="s">
        <v>348</v>
      </c>
      <c r="D44" s="4">
        <v>710907</v>
      </c>
      <c r="E44" s="4" t="s">
        <v>609</v>
      </c>
      <c r="G44" s="4">
        <v>1</v>
      </c>
      <c r="H44" s="4">
        <v>11</v>
      </c>
      <c r="I44" s="4">
        <v>255419</v>
      </c>
      <c r="J44" s="262">
        <v>45914</v>
      </c>
      <c r="K44" s="262">
        <v>45915</v>
      </c>
      <c r="L44" s="4">
        <v>160</v>
      </c>
      <c r="N44" s="4">
        <f t="shared" si="0"/>
        <v>710907</v>
      </c>
      <c r="S44" s="271"/>
      <c r="U44" s="271"/>
      <c r="V44" s="271"/>
    </row>
    <row r="45" spans="1:22" x14ac:dyDescent="0.25">
      <c r="A45" s="271"/>
      <c r="B45" s="262">
        <v>45914</v>
      </c>
      <c r="C45" s="4" t="s">
        <v>74</v>
      </c>
      <c r="D45" s="4">
        <v>400806</v>
      </c>
      <c r="E45" s="4" t="s">
        <v>608</v>
      </c>
      <c r="G45" s="4">
        <v>12</v>
      </c>
      <c r="H45" s="4">
        <v>22.3</v>
      </c>
      <c r="I45" s="4">
        <v>255420</v>
      </c>
      <c r="J45" s="262">
        <v>45914</v>
      </c>
      <c r="K45" s="262">
        <v>45915</v>
      </c>
      <c r="L45" s="4">
        <v>135</v>
      </c>
      <c r="N45" s="4">
        <f t="shared" si="0"/>
        <v>400806</v>
      </c>
      <c r="S45" s="271"/>
      <c r="U45" s="271"/>
      <c r="V45" s="271"/>
    </row>
    <row r="46" spans="1:22" x14ac:dyDescent="0.25">
      <c r="A46" s="271"/>
      <c r="B46" s="262">
        <v>45915</v>
      </c>
      <c r="C46" s="4" t="s">
        <v>74</v>
      </c>
      <c r="D46" s="4">
        <v>400805</v>
      </c>
      <c r="E46" s="4" t="s">
        <v>608</v>
      </c>
      <c r="G46" s="4">
        <v>12</v>
      </c>
      <c r="H46" s="4">
        <v>22.3</v>
      </c>
      <c r="I46" s="4">
        <v>255443</v>
      </c>
      <c r="J46" s="262">
        <v>45915</v>
      </c>
      <c r="K46" s="262">
        <v>45916</v>
      </c>
      <c r="L46" s="4">
        <v>145</v>
      </c>
      <c r="N46" s="4">
        <f t="shared" si="0"/>
        <v>400805</v>
      </c>
      <c r="S46" s="271"/>
      <c r="U46" s="271"/>
      <c r="V46" s="271"/>
    </row>
    <row r="47" spans="1:22" x14ac:dyDescent="0.25">
      <c r="A47" s="271"/>
      <c r="B47" s="262">
        <v>45915</v>
      </c>
      <c r="C47" s="4" t="s">
        <v>348</v>
      </c>
      <c r="D47" s="4">
        <v>710906</v>
      </c>
      <c r="E47" s="4" t="s">
        <v>609</v>
      </c>
      <c r="G47" s="4">
        <v>1</v>
      </c>
      <c r="H47" s="4">
        <v>13</v>
      </c>
      <c r="I47" s="4">
        <v>255452</v>
      </c>
      <c r="J47" s="262">
        <v>45915</v>
      </c>
      <c r="K47" s="262">
        <v>45916</v>
      </c>
      <c r="L47" s="4">
        <v>145</v>
      </c>
      <c r="N47" s="4">
        <f t="shared" si="0"/>
        <v>710906</v>
      </c>
      <c r="S47" s="271"/>
      <c r="U47" s="271"/>
      <c r="V47" s="271"/>
    </row>
    <row r="48" spans="1:22" x14ac:dyDescent="0.25">
      <c r="A48" s="271"/>
      <c r="B48" s="262">
        <v>45918</v>
      </c>
      <c r="C48" s="4" t="s">
        <v>57</v>
      </c>
      <c r="D48" s="4">
        <v>650902</v>
      </c>
      <c r="E48" s="4" t="s">
        <v>609</v>
      </c>
      <c r="G48" s="4">
        <v>1</v>
      </c>
      <c r="H48" s="4">
        <v>17.3</v>
      </c>
      <c r="I48" s="4">
        <v>255496</v>
      </c>
      <c r="J48" s="262">
        <v>45918</v>
      </c>
      <c r="K48" s="262">
        <v>45920</v>
      </c>
      <c r="L48" s="4">
        <v>130</v>
      </c>
      <c r="N48" s="4">
        <f t="shared" si="0"/>
        <v>650902</v>
      </c>
      <c r="S48" s="271"/>
      <c r="U48" s="271"/>
      <c r="V48" s="271"/>
    </row>
    <row r="49" spans="1:22" x14ac:dyDescent="0.25">
      <c r="A49" s="271"/>
      <c r="B49" s="262">
        <v>45918</v>
      </c>
      <c r="C49" s="4" t="s">
        <v>57</v>
      </c>
      <c r="D49" s="4">
        <v>650904</v>
      </c>
      <c r="E49" s="4" t="s">
        <v>609</v>
      </c>
      <c r="G49" s="4">
        <v>2</v>
      </c>
      <c r="H49" s="4">
        <v>17.3</v>
      </c>
      <c r="I49" s="4">
        <v>255497</v>
      </c>
      <c r="J49" s="262">
        <v>45918</v>
      </c>
      <c r="K49" s="262">
        <v>45920</v>
      </c>
      <c r="L49" s="4">
        <v>58</v>
      </c>
      <c r="N49" s="4">
        <f t="shared" si="0"/>
        <v>650904</v>
      </c>
      <c r="S49" s="271"/>
      <c r="U49" s="271"/>
      <c r="V49" s="271"/>
    </row>
    <row r="50" spans="1:22" x14ac:dyDescent="0.25">
      <c r="A50" s="271"/>
      <c r="B50" s="262">
        <v>45918</v>
      </c>
      <c r="C50" s="4" t="s">
        <v>74</v>
      </c>
      <c r="D50" s="4">
        <v>400712</v>
      </c>
      <c r="E50" s="4" t="s">
        <v>608</v>
      </c>
      <c r="G50" s="4">
        <v>12</v>
      </c>
      <c r="H50" s="4">
        <v>16.3</v>
      </c>
      <c r="I50" s="4">
        <v>255512</v>
      </c>
      <c r="J50" s="262">
        <v>45918</v>
      </c>
      <c r="K50" s="262">
        <v>45920</v>
      </c>
      <c r="L50" s="4">
        <v>103</v>
      </c>
      <c r="N50" s="4">
        <f t="shared" si="0"/>
        <v>400712</v>
      </c>
      <c r="O50" s="4">
        <v>48</v>
      </c>
      <c r="S50" s="271"/>
      <c r="U50" s="271"/>
      <c r="V50" s="271"/>
    </row>
    <row r="51" spans="1:22" x14ac:dyDescent="0.25">
      <c r="A51" s="271"/>
      <c r="B51" s="262">
        <v>45918</v>
      </c>
      <c r="C51" s="4" t="s">
        <v>74</v>
      </c>
      <c r="D51" s="4">
        <v>400728</v>
      </c>
      <c r="E51" s="4" t="s">
        <v>608</v>
      </c>
      <c r="G51" s="4">
        <v>12</v>
      </c>
      <c r="H51" s="4">
        <v>15</v>
      </c>
      <c r="I51" s="4">
        <v>255513</v>
      </c>
      <c r="J51" s="262">
        <v>45918</v>
      </c>
      <c r="K51" s="262">
        <v>45920</v>
      </c>
      <c r="L51" s="4">
        <v>73</v>
      </c>
      <c r="N51" s="4">
        <f t="shared" si="0"/>
        <v>400728</v>
      </c>
      <c r="O51" s="4">
        <v>109</v>
      </c>
      <c r="S51" s="271"/>
      <c r="U51" s="271"/>
      <c r="V51" s="271"/>
    </row>
    <row r="52" spans="1:22" x14ac:dyDescent="0.25">
      <c r="A52" s="271"/>
      <c r="B52" s="262">
        <v>45918</v>
      </c>
      <c r="C52" s="4" t="s">
        <v>74</v>
      </c>
      <c r="D52" s="4">
        <v>400712</v>
      </c>
      <c r="E52" s="4" t="s">
        <v>608</v>
      </c>
      <c r="G52" s="4">
        <v>12</v>
      </c>
      <c r="H52" s="4">
        <v>16.3</v>
      </c>
      <c r="I52" s="4">
        <v>255514</v>
      </c>
      <c r="J52" s="262">
        <v>45918</v>
      </c>
      <c r="K52" s="262">
        <v>45920</v>
      </c>
      <c r="N52" s="4">
        <f t="shared" si="0"/>
        <v>400712</v>
      </c>
      <c r="S52" s="271"/>
      <c r="U52" s="271"/>
      <c r="V52" s="271"/>
    </row>
    <row r="53" spans="1:22" x14ac:dyDescent="0.25">
      <c r="A53" s="271"/>
      <c r="B53" s="262">
        <v>45919</v>
      </c>
      <c r="C53" s="4" t="s">
        <v>348</v>
      </c>
      <c r="D53" s="4">
        <v>710909</v>
      </c>
      <c r="E53" s="4" t="s">
        <v>609</v>
      </c>
      <c r="G53" s="4">
        <v>1</v>
      </c>
      <c r="H53" s="4">
        <v>12</v>
      </c>
      <c r="I53" s="4">
        <v>255533</v>
      </c>
      <c r="J53" s="262">
        <v>45920</v>
      </c>
      <c r="K53" s="262">
        <v>45920</v>
      </c>
      <c r="L53" s="4">
        <v>77</v>
      </c>
      <c r="N53" s="4">
        <f t="shared" si="0"/>
        <v>710909</v>
      </c>
      <c r="S53" s="271"/>
      <c r="U53" s="271"/>
      <c r="V53" s="271"/>
    </row>
    <row r="54" spans="1:22" x14ac:dyDescent="0.25">
      <c r="A54" s="271"/>
      <c r="B54" s="262">
        <v>45919</v>
      </c>
      <c r="C54" s="4" t="s">
        <v>74</v>
      </c>
      <c r="D54" s="4">
        <v>400801</v>
      </c>
      <c r="E54" s="4" t="s">
        <v>608</v>
      </c>
      <c r="G54" s="4">
        <v>12</v>
      </c>
      <c r="H54" s="4" t="s">
        <v>618</v>
      </c>
      <c r="I54" s="4">
        <v>255534</v>
      </c>
      <c r="J54" s="262">
        <v>45920</v>
      </c>
      <c r="K54" s="262">
        <v>45920</v>
      </c>
      <c r="L54" s="4">
        <v>0</v>
      </c>
      <c r="N54" s="4">
        <f t="shared" si="0"/>
        <v>400801</v>
      </c>
      <c r="O54" s="4">
        <v>0</v>
      </c>
    </row>
    <row r="55" spans="1:22" x14ac:dyDescent="0.25">
      <c r="A55" s="271"/>
      <c r="B55" s="262">
        <v>45919</v>
      </c>
      <c r="C55" s="4" t="s">
        <v>74</v>
      </c>
      <c r="D55" s="4">
        <v>400802</v>
      </c>
      <c r="E55" s="4" t="s">
        <v>608</v>
      </c>
      <c r="G55" s="4">
        <v>12</v>
      </c>
      <c r="H55" s="4" t="s">
        <v>619</v>
      </c>
      <c r="I55" s="4">
        <v>255535</v>
      </c>
      <c r="J55" s="262">
        <v>45920</v>
      </c>
      <c r="K55" s="262">
        <v>45920</v>
      </c>
      <c r="L55" s="4">
        <v>0</v>
      </c>
      <c r="N55" s="4">
        <f t="shared" si="0"/>
        <v>400802</v>
      </c>
      <c r="O55" s="4">
        <v>0</v>
      </c>
    </row>
    <row r="56" spans="1:22" x14ac:dyDescent="0.25">
      <c r="B56" s="262">
        <v>45919</v>
      </c>
      <c r="C56" s="4" t="s">
        <v>74</v>
      </c>
      <c r="D56" s="4">
        <v>400801</v>
      </c>
      <c r="E56" s="4" t="s">
        <v>608</v>
      </c>
      <c r="G56" s="4">
        <v>12</v>
      </c>
      <c r="H56" s="4">
        <v>20</v>
      </c>
      <c r="I56" s="4">
        <v>255536</v>
      </c>
      <c r="J56" s="262">
        <v>45920</v>
      </c>
      <c r="K56" s="262">
        <v>45920</v>
      </c>
      <c r="L56" s="4">
        <v>107</v>
      </c>
      <c r="N56" s="4">
        <f t="shared" si="0"/>
        <v>400801</v>
      </c>
      <c r="O56" s="4">
        <v>108</v>
      </c>
      <c r="S56" s="271"/>
      <c r="U56" s="271"/>
      <c r="V56" s="271"/>
    </row>
    <row r="57" spans="1:22" x14ac:dyDescent="0.25">
      <c r="B57" s="332">
        <v>45920</v>
      </c>
      <c r="C57" s="13" t="s">
        <v>74</v>
      </c>
      <c r="D57" s="13">
        <v>400801</v>
      </c>
      <c r="E57" s="13" t="s">
        <v>608</v>
      </c>
      <c r="F57" s="13"/>
      <c r="G57" s="13">
        <v>12</v>
      </c>
      <c r="H57" s="13">
        <v>20</v>
      </c>
      <c r="I57" s="13">
        <v>255560</v>
      </c>
      <c r="J57" s="332">
        <v>45921</v>
      </c>
      <c r="K57" s="332">
        <v>45921</v>
      </c>
      <c r="L57" s="13">
        <v>96</v>
      </c>
      <c r="M57" s="262">
        <v>45923</v>
      </c>
      <c r="N57" s="4">
        <f t="shared" si="0"/>
        <v>400801</v>
      </c>
      <c r="O57" s="4">
        <v>0</v>
      </c>
    </row>
    <row r="58" spans="1:22" x14ac:dyDescent="0.25">
      <c r="B58" s="262">
        <v>45920</v>
      </c>
      <c r="C58" s="4" t="s">
        <v>74</v>
      </c>
      <c r="D58" s="4">
        <v>400721</v>
      </c>
      <c r="E58" s="4" t="s">
        <v>608</v>
      </c>
      <c r="G58" s="4">
        <v>12</v>
      </c>
      <c r="H58" s="4" t="s">
        <v>620</v>
      </c>
      <c r="I58" s="4">
        <v>255561</v>
      </c>
      <c r="J58" s="262">
        <v>45921</v>
      </c>
      <c r="K58" s="262">
        <v>45921</v>
      </c>
      <c r="L58" s="4">
        <v>0</v>
      </c>
      <c r="N58" s="4">
        <f t="shared" si="0"/>
        <v>400721</v>
      </c>
      <c r="O58" s="4" t="s">
        <v>621</v>
      </c>
    </row>
    <row r="59" spans="1:22" x14ac:dyDescent="0.25">
      <c r="B59" s="332">
        <v>45920</v>
      </c>
      <c r="C59" s="13" t="s">
        <v>74</v>
      </c>
      <c r="D59" s="13">
        <v>400802</v>
      </c>
      <c r="E59" s="13" t="s">
        <v>608</v>
      </c>
      <c r="F59" s="13"/>
      <c r="G59" s="13">
        <v>12</v>
      </c>
      <c r="H59" s="13">
        <v>20</v>
      </c>
      <c r="I59" s="13">
        <v>255562</v>
      </c>
      <c r="J59" s="332">
        <v>45921</v>
      </c>
      <c r="K59" s="332">
        <v>45921</v>
      </c>
      <c r="L59" s="13">
        <v>72</v>
      </c>
      <c r="M59" s="262">
        <v>45923</v>
      </c>
      <c r="N59" s="4">
        <f t="shared" si="0"/>
        <v>400802</v>
      </c>
      <c r="O59" s="4">
        <v>80</v>
      </c>
    </row>
    <row r="60" spans="1:22" x14ac:dyDescent="0.25">
      <c r="B60" s="262">
        <v>45920</v>
      </c>
      <c r="C60" s="4" t="s">
        <v>348</v>
      </c>
      <c r="D60" s="4">
        <v>710908</v>
      </c>
      <c r="E60" s="4" t="s">
        <v>609</v>
      </c>
      <c r="G60" s="4">
        <v>1</v>
      </c>
      <c r="H60" s="4">
        <v>14</v>
      </c>
      <c r="I60" s="4">
        <v>255563</v>
      </c>
      <c r="J60" s="262">
        <v>45921</v>
      </c>
      <c r="K60" s="262">
        <v>45921</v>
      </c>
      <c r="L60" s="4">
        <v>95</v>
      </c>
      <c r="N60" s="4">
        <f t="shared" si="0"/>
        <v>710908</v>
      </c>
      <c r="O60" s="4">
        <v>0</v>
      </c>
      <c r="S60" s="271"/>
      <c r="U60" s="271"/>
      <c r="V60" s="271"/>
    </row>
    <row r="61" spans="1:22" x14ac:dyDescent="0.25">
      <c r="B61" s="262">
        <v>45923</v>
      </c>
      <c r="D61" s="22" t="s">
        <v>622</v>
      </c>
      <c r="E61" s="22" t="s">
        <v>608</v>
      </c>
      <c r="F61" s="22"/>
      <c r="G61" s="22"/>
      <c r="H61" s="22">
        <v>27</v>
      </c>
      <c r="I61" s="22">
        <v>255624</v>
      </c>
      <c r="J61" s="333">
        <v>45925</v>
      </c>
      <c r="K61" s="333">
        <v>45925</v>
      </c>
      <c r="L61" s="22">
        <v>98</v>
      </c>
      <c r="M61" s="22"/>
      <c r="N61" s="22" t="str">
        <f t="shared" si="0"/>
        <v>SMT-26-30</v>
      </c>
      <c r="O61" s="22">
        <v>40</v>
      </c>
      <c r="S61" s="271"/>
      <c r="U61" s="271"/>
      <c r="V61" s="271"/>
    </row>
    <row r="62" spans="1:22" x14ac:dyDescent="0.25">
      <c r="B62" s="262">
        <v>45923</v>
      </c>
      <c r="C62" s="4" t="s">
        <v>89</v>
      </c>
      <c r="D62" s="4">
        <v>940901</v>
      </c>
      <c r="E62" s="4" t="s">
        <v>609</v>
      </c>
      <c r="G62" s="4">
        <v>1</v>
      </c>
      <c r="H62" s="4">
        <v>11</v>
      </c>
      <c r="I62" s="4">
        <v>255625</v>
      </c>
      <c r="J62" s="262">
        <v>45925</v>
      </c>
      <c r="K62" s="262">
        <v>45925</v>
      </c>
      <c r="L62" s="4">
        <v>225</v>
      </c>
      <c r="N62" s="4">
        <f t="shared" si="0"/>
        <v>940901</v>
      </c>
      <c r="O62" s="4">
        <v>225</v>
      </c>
      <c r="S62" s="271"/>
      <c r="U62" s="271"/>
      <c r="V62" s="271"/>
    </row>
    <row r="63" spans="1:22" x14ac:dyDescent="0.25">
      <c r="B63" s="262">
        <v>45925</v>
      </c>
      <c r="C63" s="4" t="s">
        <v>74</v>
      </c>
      <c r="D63" s="4">
        <v>400721</v>
      </c>
      <c r="E63" s="4" t="s">
        <v>608</v>
      </c>
      <c r="F63" s="4">
        <v>156</v>
      </c>
      <c r="G63" s="4">
        <v>12</v>
      </c>
      <c r="H63" s="4">
        <v>15</v>
      </c>
      <c r="I63" s="4">
        <v>255638</v>
      </c>
      <c r="J63" s="262">
        <v>45926</v>
      </c>
      <c r="K63" s="262">
        <v>45926</v>
      </c>
      <c r="L63" s="4">
        <v>108</v>
      </c>
      <c r="N63" s="4">
        <f t="shared" si="0"/>
        <v>400721</v>
      </c>
      <c r="O63" s="4">
        <v>135</v>
      </c>
      <c r="S63" s="271"/>
      <c r="U63" s="271"/>
      <c r="V63" s="271"/>
    </row>
    <row r="64" spans="1:22" x14ac:dyDescent="0.25">
      <c r="B64" s="262">
        <v>45925</v>
      </c>
      <c r="C64" s="4" t="s">
        <v>74</v>
      </c>
      <c r="D64" s="4">
        <v>400718</v>
      </c>
      <c r="E64" s="4" t="s">
        <v>608</v>
      </c>
      <c r="F64" s="4">
        <v>159</v>
      </c>
      <c r="G64" s="4">
        <v>12</v>
      </c>
      <c r="H64" s="4">
        <v>18.5</v>
      </c>
      <c r="I64" s="4">
        <v>255637</v>
      </c>
      <c r="J64" s="262">
        <v>45926</v>
      </c>
      <c r="K64" s="262">
        <v>45926</v>
      </c>
      <c r="L64" s="4">
        <v>104</v>
      </c>
      <c r="N64" s="4">
        <f t="shared" ref="N64:N95" si="1">D64</f>
        <v>400718</v>
      </c>
      <c r="O64" s="4">
        <v>62</v>
      </c>
      <c r="S64" s="271"/>
      <c r="U64" s="271"/>
      <c r="V64" s="271"/>
    </row>
    <row r="65" spans="1:25" x14ac:dyDescent="0.25">
      <c r="B65" s="262">
        <v>45925</v>
      </c>
      <c r="C65" s="4" t="s">
        <v>57</v>
      </c>
      <c r="D65" s="4">
        <v>650901</v>
      </c>
      <c r="E65" s="4" t="s">
        <v>609</v>
      </c>
      <c r="G65" s="4">
        <v>2</v>
      </c>
      <c r="H65" s="4">
        <v>17.5</v>
      </c>
      <c r="I65" s="4">
        <v>255652</v>
      </c>
      <c r="J65" s="262">
        <v>45926</v>
      </c>
      <c r="K65" s="262">
        <v>45926</v>
      </c>
      <c r="L65" s="4">
        <v>128</v>
      </c>
      <c r="N65" s="4">
        <f t="shared" si="1"/>
        <v>650901</v>
      </c>
      <c r="O65" s="4">
        <v>0</v>
      </c>
      <c r="S65" s="271"/>
      <c r="U65" s="271"/>
      <c r="V65" s="271"/>
    </row>
    <row r="66" spans="1:25" x14ac:dyDescent="0.25">
      <c r="B66" s="262">
        <v>45925</v>
      </c>
      <c r="C66" s="4" t="s">
        <v>57</v>
      </c>
      <c r="D66" s="4">
        <v>650907</v>
      </c>
      <c r="E66" s="4" t="s">
        <v>609</v>
      </c>
      <c r="G66" s="4">
        <v>2</v>
      </c>
      <c r="H66" s="4">
        <v>20</v>
      </c>
      <c r="I66" s="4">
        <v>255651</v>
      </c>
      <c r="J66" s="262">
        <v>45926</v>
      </c>
      <c r="K66" s="262">
        <v>45926</v>
      </c>
      <c r="L66" s="4">
        <v>51</v>
      </c>
      <c r="N66" s="4">
        <f t="shared" si="1"/>
        <v>650907</v>
      </c>
      <c r="O66" s="4">
        <v>0</v>
      </c>
      <c r="S66" s="271"/>
      <c r="U66" s="271"/>
      <c r="V66" s="271"/>
    </row>
    <row r="67" spans="1:25" x14ac:dyDescent="0.25">
      <c r="B67" s="262">
        <v>45926</v>
      </c>
      <c r="C67" s="4" t="s">
        <v>74</v>
      </c>
      <c r="D67" s="4">
        <v>400727</v>
      </c>
      <c r="E67" s="4" t="s">
        <v>608</v>
      </c>
      <c r="F67" s="4">
        <v>157</v>
      </c>
      <c r="G67" s="4">
        <v>12</v>
      </c>
      <c r="H67" s="4">
        <v>15</v>
      </c>
      <c r="I67" s="4">
        <v>255640</v>
      </c>
      <c r="J67" s="262">
        <v>45926</v>
      </c>
      <c r="K67" s="262">
        <v>45926</v>
      </c>
      <c r="L67" s="4">
        <v>107</v>
      </c>
      <c r="N67" s="4">
        <f t="shared" si="1"/>
        <v>400727</v>
      </c>
      <c r="O67" s="4">
        <v>72</v>
      </c>
      <c r="S67" s="271"/>
      <c r="U67" s="271"/>
      <c r="V67" s="271"/>
    </row>
    <row r="68" spans="1:25" x14ac:dyDescent="0.25">
      <c r="B68" s="262">
        <v>45926</v>
      </c>
      <c r="C68" s="4" t="s">
        <v>74</v>
      </c>
      <c r="D68" s="4">
        <v>400713</v>
      </c>
      <c r="E68" s="4" t="s">
        <v>608</v>
      </c>
      <c r="F68" s="4">
        <v>158</v>
      </c>
      <c r="G68" s="4">
        <v>12</v>
      </c>
      <c r="H68" s="4">
        <v>18.5</v>
      </c>
      <c r="I68" s="4">
        <v>255639</v>
      </c>
      <c r="J68" s="262">
        <v>45926</v>
      </c>
      <c r="K68" s="262">
        <v>45926</v>
      </c>
      <c r="L68" s="4">
        <v>150</v>
      </c>
      <c r="N68" s="4">
        <f t="shared" si="1"/>
        <v>400713</v>
      </c>
      <c r="O68" s="4">
        <v>0</v>
      </c>
      <c r="S68" s="271"/>
      <c r="U68" s="271"/>
      <c r="V68" s="271"/>
    </row>
    <row r="69" spans="1:25" x14ac:dyDescent="0.25">
      <c r="B69" s="262">
        <v>45926</v>
      </c>
      <c r="C69" s="4" t="s">
        <v>57</v>
      </c>
      <c r="D69" s="4">
        <v>650906</v>
      </c>
      <c r="E69" s="4" t="s">
        <v>609</v>
      </c>
      <c r="G69" s="4">
        <v>2</v>
      </c>
      <c r="H69" s="4">
        <v>20</v>
      </c>
      <c r="I69" s="4">
        <v>255691</v>
      </c>
      <c r="J69" s="262">
        <v>45927</v>
      </c>
      <c r="K69" s="262">
        <v>45927</v>
      </c>
      <c r="L69" s="4">
        <v>90</v>
      </c>
      <c r="N69" s="4">
        <f t="shared" si="1"/>
        <v>650906</v>
      </c>
      <c r="O69" s="4">
        <v>0</v>
      </c>
      <c r="S69" s="271"/>
      <c r="U69" s="271"/>
      <c r="V69" s="271"/>
    </row>
    <row r="70" spans="1:25" x14ac:dyDescent="0.25">
      <c r="B70" s="262">
        <v>45926</v>
      </c>
      <c r="C70" s="4" t="s">
        <v>57</v>
      </c>
      <c r="D70" s="4">
        <v>650903</v>
      </c>
      <c r="E70" s="4" t="s">
        <v>609</v>
      </c>
      <c r="G70" s="4">
        <v>2</v>
      </c>
      <c r="H70" s="4">
        <v>17.3</v>
      </c>
      <c r="I70" s="4">
        <v>255690</v>
      </c>
      <c r="J70" s="262">
        <v>45927</v>
      </c>
      <c r="K70" s="262">
        <v>45927</v>
      </c>
      <c r="L70" s="4">
        <v>75</v>
      </c>
      <c r="N70" s="4">
        <f t="shared" si="1"/>
        <v>650903</v>
      </c>
      <c r="S70" s="271"/>
      <c r="U70" s="271"/>
      <c r="V70" s="271"/>
    </row>
    <row r="71" spans="1:25" x14ac:dyDescent="0.25">
      <c r="B71" s="262">
        <v>45926</v>
      </c>
      <c r="C71" s="4" t="s">
        <v>74</v>
      </c>
      <c r="D71" s="4">
        <v>400909</v>
      </c>
      <c r="E71" s="4" t="s">
        <v>608</v>
      </c>
      <c r="F71" s="4">
        <v>161</v>
      </c>
      <c r="G71" s="4">
        <v>11</v>
      </c>
      <c r="H71" s="4">
        <v>22.3</v>
      </c>
      <c r="I71" s="4">
        <v>255693</v>
      </c>
      <c r="J71" s="262">
        <v>45927</v>
      </c>
      <c r="K71" s="262">
        <v>45927</v>
      </c>
      <c r="L71" s="4">
        <v>46</v>
      </c>
      <c r="N71" s="4">
        <f t="shared" si="1"/>
        <v>400909</v>
      </c>
      <c r="O71" s="4">
        <v>52</v>
      </c>
      <c r="S71" s="271"/>
      <c r="U71" s="271"/>
      <c r="V71" s="271"/>
    </row>
    <row r="72" spans="1:25" x14ac:dyDescent="0.25">
      <c r="B72" s="332">
        <v>45926</v>
      </c>
      <c r="C72" s="13" t="s">
        <v>74</v>
      </c>
      <c r="D72" s="13">
        <v>400910</v>
      </c>
      <c r="E72" s="13" t="s">
        <v>608</v>
      </c>
      <c r="F72" s="13">
        <v>160</v>
      </c>
      <c r="G72" s="13">
        <v>12</v>
      </c>
      <c r="H72" s="13">
        <v>11</v>
      </c>
      <c r="I72" s="13">
        <v>255692</v>
      </c>
      <c r="J72" s="332">
        <v>45927</v>
      </c>
      <c r="K72" s="332">
        <v>45927</v>
      </c>
      <c r="L72" s="13">
        <v>48</v>
      </c>
      <c r="M72" s="262">
        <v>45939</v>
      </c>
      <c r="N72" s="4">
        <f t="shared" si="1"/>
        <v>400910</v>
      </c>
      <c r="O72" s="4">
        <v>70</v>
      </c>
      <c r="S72" s="271"/>
      <c r="U72" s="271"/>
      <c r="V72" s="271"/>
    </row>
    <row r="73" spans="1:25" x14ac:dyDescent="0.25">
      <c r="B73" s="334">
        <v>45928</v>
      </c>
      <c r="C73" s="13" t="s">
        <v>74</v>
      </c>
      <c r="D73" s="13">
        <v>400915</v>
      </c>
      <c r="E73" s="13" t="s">
        <v>608</v>
      </c>
      <c r="F73" s="13">
        <v>164</v>
      </c>
      <c r="G73" s="13">
        <v>12</v>
      </c>
      <c r="H73" s="13">
        <v>13</v>
      </c>
      <c r="I73" s="13">
        <v>255727</v>
      </c>
      <c r="J73" s="332">
        <v>45928</v>
      </c>
      <c r="K73" s="332">
        <v>45929</v>
      </c>
      <c r="L73" s="13">
        <v>99</v>
      </c>
      <c r="M73" s="262">
        <v>45939</v>
      </c>
      <c r="N73" s="4">
        <f t="shared" si="1"/>
        <v>400915</v>
      </c>
      <c r="O73" s="4">
        <v>65</v>
      </c>
      <c r="S73" s="271"/>
      <c r="U73" s="271"/>
      <c r="V73" s="271"/>
    </row>
    <row r="74" spans="1:25" x14ac:dyDescent="0.25">
      <c r="B74" s="171">
        <v>45928</v>
      </c>
      <c r="C74" s="4" t="s">
        <v>74</v>
      </c>
      <c r="D74" s="4">
        <v>400908</v>
      </c>
      <c r="E74" s="4" t="s">
        <v>608</v>
      </c>
      <c r="F74" s="4">
        <v>163</v>
      </c>
      <c r="G74" s="4">
        <v>11</v>
      </c>
      <c r="H74" s="4">
        <v>22.3</v>
      </c>
      <c r="I74" s="4">
        <v>255725</v>
      </c>
      <c r="J74" s="262">
        <v>45928</v>
      </c>
      <c r="K74" s="262">
        <v>45929</v>
      </c>
      <c r="L74" s="4">
        <v>147</v>
      </c>
      <c r="N74" s="4">
        <f t="shared" si="1"/>
        <v>400908</v>
      </c>
      <c r="O74" s="4">
        <v>0</v>
      </c>
      <c r="S74" s="271"/>
      <c r="U74" s="271"/>
      <c r="V74" s="271"/>
    </row>
    <row r="75" spans="1:25" x14ac:dyDescent="0.25">
      <c r="B75" s="334">
        <v>45928</v>
      </c>
      <c r="C75" s="13" t="s">
        <v>74</v>
      </c>
      <c r="D75" s="13">
        <v>400912</v>
      </c>
      <c r="E75" s="13" t="s">
        <v>608</v>
      </c>
      <c r="F75" s="13">
        <v>162</v>
      </c>
      <c r="G75" s="13">
        <v>12</v>
      </c>
      <c r="H75" s="13">
        <v>11</v>
      </c>
      <c r="I75" s="13">
        <v>255726</v>
      </c>
      <c r="J75" s="332">
        <v>45928</v>
      </c>
      <c r="K75" s="332">
        <v>45929</v>
      </c>
      <c r="L75" s="13">
        <v>118</v>
      </c>
      <c r="M75" s="262">
        <v>45939</v>
      </c>
      <c r="N75" s="4">
        <f t="shared" si="1"/>
        <v>400912</v>
      </c>
      <c r="O75" s="4">
        <v>73</v>
      </c>
      <c r="S75" s="271"/>
      <c r="U75" s="271"/>
      <c r="V75" s="271"/>
    </row>
    <row r="76" spans="1:25" x14ac:dyDescent="0.25">
      <c r="B76" s="262">
        <v>45929</v>
      </c>
      <c r="C76" s="4" t="s">
        <v>74</v>
      </c>
      <c r="D76" s="4">
        <v>400914</v>
      </c>
      <c r="E76" s="4" t="s">
        <v>608</v>
      </c>
      <c r="F76" s="4">
        <v>165</v>
      </c>
      <c r="G76" s="4">
        <v>11</v>
      </c>
      <c r="H76" s="4">
        <v>13</v>
      </c>
      <c r="I76" s="4">
        <v>255763</v>
      </c>
      <c r="J76" s="262">
        <v>45930</v>
      </c>
      <c r="K76" s="262">
        <v>45932</v>
      </c>
      <c r="L76" s="4">
        <v>88</v>
      </c>
      <c r="N76" s="4">
        <f t="shared" si="1"/>
        <v>400914</v>
      </c>
      <c r="O76" s="4">
        <v>40</v>
      </c>
      <c r="S76" s="271"/>
      <c r="U76" s="271"/>
      <c r="V76" s="271"/>
    </row>
    <row r="77" spans="1:25" x14ac:dyDescent="0.25">
      <c r="B77" s="262">
        <v>45929</v>
      </c>
      <c r="C77" s="4" t="s">
        <v>74</v>
      </c>
      <c r="D77" s="4">
        <v>400916</v>
      </c>
      <c r="E77" s="4" t="s">
        <v>608</v>
      </c>
      <c r="F77" s="4">
        <v>166</v>
      </c>
      <c r="G77" s="4">
        <v>12</v>
      </c>
      <c r="H77" s="4">
        <v>13</v>
      </c>
      <c r="I77" s="4">
        <v>255762</v>
      </c>
      <c r="J77" s="262">
        <v>45930</v>
      </c>
      <c r="K77" s="262">
        <v>45932</v>
      </c>
      <c r="L77" s="4">
        <v>78</v>
      </c>
      <c r="N77" s="4">
        <f t="shared" si="1"/>
        <v>400916</v>
      </c>
      <c r="O77" s="4">
        <v>92</v>
      </c>
      <c r="S77" s="271"/>
      <c r="U77" s="271"/>
      <c r="V77" s="271"/>
    </row>
    <row r="78" spans="1:25" x14ac:dyDescent="0.25">
      <c r="B78" s="262">
        <v>45932</v>
      </c>
      <c r="C78" s="4" t="s">
        <v>74</v>
      </c>
      <c r="D78" s="4">
        <v>400906</v>
      </c>
      <c r="E78" s="4" t="s">
        <v>608</v>
      </c>
      <c r="F78" s="4">
        <v>167</v>
      </c>
      <c r="G78" s="4">
        <v>11</v>
      </c>
      <c r="H78" s="4">
        <v>22.3</v>
      </c>
      <c r="I78" s="4">
        <v>255788</v>
      </c>
      <c r="J78" s="262">
        <v>45932</v>
      </c>
      <c r="K78" s="262">
        <v>45933</v>
      </c>
      <c r="L78" s="4">
        <v>140</v>
      </c>
      <c r="N78" s="4">
        <f t="shared" si="1"/>
        <v>400906</v>
      </c>
      <c r="O78" s="4">
        <v>45</v>
      </c>
      <c r="S78" s="271"/>
      <c r="U78" s="271"/>
      <c r="V78" s="271"/>
    </row>
    <row r="79" spans="1:25" x14ac:dyDescent="0.25">
      <c r="A79" t="s">
        <v>623</v>
      </c>
      <c r="B79" s="332">
        <v>45932</v>
      </c>
      <c r="C79" s="13" t="s">
        <v>74</v>
      </c>
      <c r="D79" s="13">
        <v>400917</v>
      </c>
      <c r="E79" s="13" t="s">
        <v>608</v>
      </c>
      <c r="F79" s="13">
        <v>168</v>
      </c>
      <c r="G79" s="13">
        <v>12</v>
      </c>
      <c r="H79" s="13">
        <v>13</v>
      </c>
      <c r="I79" s="13">
        <v>255790</v>
      </c>
      <c r="J79" s="332">
        <v>45932</v>
      </c>
      <c r="K79" s="332">
        <v>45933</v>
      </c>
      <c r="L79" s="13">
        <v>56</v>
      </c>
      <c r="M79" s="262">
        <v>45939</v>
      </c>
      <c r="N79" s="4">
        <f t="shared" si="1"/>
        <v>400917</v>
      </c>
      <c r="O79" s="4">
        <v>110</v>
      </c>
      <c r="S79" s="119">
        <v>45929</v>
      </c>
      <c r="T79" s="120">
        <v>0.56944444444444442</v>
      </c>
      <c r="U79" s="121">
        <v>45930</v>
      </c>
      <c r="V79" s="122">
        <v>0.11458333333333333</v>
      </c>
      <c r="W79" s="83">
        <f>IF(V79&lt;&gt;0,((U79+V79)-(S79+T79)),"")</f>
        <v>0.54513888889050577</v>
      </c>
      <c r="X79" s="115">
        <v>45930</v>
      </c>
      <c r="Y79" s="116">
        <v>0.77777777777777779</v>
      </c>
    </row>
    <row r="80" spans="1:25" x14ac:dyDescent="0.25">
      <c r="A80" t="s">
        <v>623</v>
      </c>
      <c r="B80" s="332">
        <v>45932</v>
      </c>
      <c r="C80" s="13" t="s">
        <v>74</v>
      </c>
      <c r="D80" s="13">
        <v>400919</v>
      </c>
      <c r="E80" s="13" t="s">
        <v>608</v>
      </c>
      <c r="F80" s="13">
        <v>169</v>
      </c>
      <c r="G80" s="13">
        <v>12</v>
      </c>
      <c r="H80" s="13">
        <v>15</v>
      </c>
      <c r="I80" s="13">
        <v>255789</v>
      </c>
      <c r="J80" s="332">
        <v>45933</v>
      </c>
      <c r="K80" s="332">
        <v>45933</v>
      </c>
      <c r="L80" s="13">
        <v>94</v>
      </c>
      <c r="M80" s="262">
        <v>45940</v>
      </c>
      <c r="N80" s="4">
        <f t="shared" si="1"/>
        <v>400919</v>
      </c>
      <c r="O80" s="4">
        <v>80</v>
      </c>
      <c r="S80" s="119">
        <v>45930</v>
      </c>
      <c r="T80" s="120">
        <v>0.82638888888888884</v>
      </c>
      <c r="U80" s="121">
        <v>45931</v>
      </c>
      <c r="V80" s="122">
        <v>0.32291666666666669</v>
      </c>
      <c r="W80" s="83">
        <f>IF(V80&lt;&gt;0,((U80+V80)-(S80+T80)),"")</f>
        <v>0.49652777777373558</v>
      </c>
      <c r="X80" s="115">
        <v>45931</v>
      </c>
      <c r="Y80" s="116">
        <v>0.95833333333333337</v>
      </c>
    </row>
    <row r="81" spans="1:25" x14ac:dyDescent="0.25">
      <c r="A81" t="s">
        <v>623</v>
      </c>
      <c r="B81" s="332">
        <v>45934</v>
      </c>
      <c r="C81" s="13" t="s">
        <v>74</v>
      </c>
      <c r="D81" s="13">
        <v>400922</v>
      </c>
      <c r="E81" s="13" t="s">
        <v>608</v>
      </c>
      <c r="F81" s="13">
        <v>170</v>
      </c>
      <c r="G81" s="13">
        <v>12</v>
      </c>
      <c r="H81" s="13">
        <v>15</v>
      </c>
      <c r="I81" s="13">
        <v>255838</v>
      </c>
      <c r="J81" s="332">
        <v>45935</v>
      </c>
      <c r="K81" s="332">
        <v>45935</v>
      </c>
      <c r="L81" s="13">
        <v>94</v>
      </c>
      <c r="M81" s="262">
        <v>45940</v>
      </c>
      <c r="N81" s="4">
        <f t="shared" si="1"/>
        <v>400922</v>
      </c>
      <c r="O81" s="4">
        <v>79</v>
      </c>
      <c r="S81" s="119">
        <v>45932</v>
      </c>
      <c r="T81" s="120">
        <v>0</v>
      </c>
      <c r="U81" s="121">
        <v>45932</v>
      </c>
      <c r="V81" s="122">
        <v>0.49652777777777779</v>
      </c>
      <c r="W81" s="83">
        <f>IF(V81&lt;&gt;0,((U81+V81)-(S81+T81)),"")</f>
        <v>0.49652777778101154</v>
      </c>
      <c r="X81" s="115">
        <v>45932</v>
      </c>
      <c r="Y81" s="116">
        <v>0.14583333333333334</v>
      </c>
    </row>
    <row r="82" spans="1:25" x14ac:dyDescent="0.25">
      <c r="A82" t="s">
        <v>623</v>
      </c>
      <c r="B82" s="335">
        <v>45934</v>
      </c>
      <c r="C82" s="163" t="s">
        <v>74</v>
      </c>
      <c r="D82" s="163">
        <v>400925</v>
      </c>
      <c r="E82" s="163" t="s">
        <v>608</v>
      </c>
      <c r="F82" s="163">
        <v>171</v>
      </c>
      <c r="G82" s="163">
        <v>11</v>
      </c>
      <c r="H82" s="163">
        <v>20</v>
      </c>
      <c r="I82" s="163">
        <v>255837</v>
      </c>
      <c r="J82" s="336">
        <v>45935</v>
      </c>
      <c r="K82" s="336">
        <v>45935</v>
      </c>
      <c r="L82" s="163">
        <v>190</v>
      </c>
      <c r="M82" s="262">
        <v>45969</v>
      </c>
      <c r="N82" s="4">
        <f t="shared" si="1"/>
        <v>400925</v>
      </c>
      <c r="O82" s="4">
        <v>50</v>
      </c>
    </row>
    <row r="83" spans="1:25" x14ac:dyDescent="0.25">
      <c r="B83" s="262">
        <v>45934</v>
      </c>
      <c r="C83" s="4" t="s">
        <v>74</v>
      </c>
      <c r="D83" s="4">
        <v>400913</v>
      </c>
      <c r="E83" s="4" t="s">
        <v>608</v>
      </c>
      <c r="F83" s="4">
        <v>172</v>
      </c>
      <c r="G83" s="4">
        <v>12</v>
      </c>
      <c r="H83" s="4">
        <v>11</v>
      </c>
      <c r="I83" s="4">
        <v>255839</v>
      </c>
      <c r="J83" s="262">
        <v>45935</v>
      </c>
      <c r="K83" s="262">
        <v>45935</v>
      </c>
      <c r="L83" s="4">
        <v>67</v>
      </c>
      <c r="N83" s="4">
        <f t="shared" si="1"/>
        <v>400913</v>
      </c>
      <c r="O83" s="4">
        <v>95</v>
      </c>
      <c r="P83" s="4" t="s">
        <v>624</v>
      </c>
    </row>
    <row r="84" spans="1:25" x14ac:dyDescent="0.25">
      <c r="B84" s="334">
        <v>45936</v>
      </c>
      <c r="C84" s="13" t="s">
        <v>74</v>
      </c>
      <c r="D84" s="13">
        <v>400926</v>
      </c>
      <c r="E84" s="13" t="s">
        <v>608</v>
      </c>
      <c r="F84" s="321">
        <v>173</v>
      </c>
      <c r="G84" s="13">
        <v>11</v>
      </c>
      <c r="H84" s="13">
        <v>20</v>
      </c>
      <c r="I84" s="13">
        <v>255889</v>
      </c>
      <c r="J84" s="332">
        <v>45937</v>
      </c>
      <c r="K84" s="332">
        <v>45937</v>
      </c>
      <c r="L84" s="13">
        <v>102</v>
      </c>
      <c r="M84" s="262">
        <v>45969</v>
      </c>
      <c r="N84" s="4">
        <f t="shared" si="1"/>
        <v>400926</v>
      </c>
      <c r="O84" s="4">
        <v>0</v>
      </c>
    </row>
    <row r="85" spans="1:25" x14ac:dyDescent="0.25">
      <c r="B85" s="171">
        <v>45936</v>
      </c>
      <c r="C85" s="4" t="s">
        <v>74</v>
      </c>
      <c r="D85" s="4">
        <v>400930</v>
      </c>
      <c r="E85" s="4" t="s">
        <v>608</v>
      </c>
      <c r="F85" s="322">
        <v>174</v>
      </c>
      <c r="G85" s="4">
        <v>12</v>
      </c>
      <c r="H85" s="4">
        <v>11</v>
      </c>
      <c r="I85" s="4">
        <v>255887</v>
      </c>
      <c r="J85" s="262">
        <v>45936</v>
      </c>
      <c r="K85" s="262">
        <v>45937</v>
      </c>
      <c r="L85" s="4">
        <v>73</v>
      </c>
      <c r="N85" s="4">
        <f t="shared" si="1"/>
        <v>400930</v>
      </c>
      <c r="O85" s="4">
        <v>75</v>
      </c>
    </row>
    <row r="86" spans="1:25" x14ac:dyDescent="0.25">
      <c r="B86" s="171">
        <v>45936</v>
      </c>
      <c r="C86" s="13" t="s">
        <v>80</v>
      </c>
      <c r="D86" s="4">
        <v>411001</v>
      </c>
      <c r="E86" s="4" t="s">
        <v>608</v>
      </c>
      <c r="F86" s="322">
        <v>175</v>
      </c>
      <c r="G86" s="4">
        <v>11</v>
      </c>
      <c r="H86" s="4">
        <v>13</v>
      </c>
      <c r="I86" s="4">
        <v>255888</v>
      </c>
      <c r="J86" s="262">
        <v>45937</v>
      </c>
      <c r="K86" s="262">
        <v>45937</v>
      </c>
      <c r="N86" s="4">
        <f t="shared" si="1"/>
        <v>411001</v>
      </c>
    </row>
    <row r="87" spans="1:25" x14ac:dyDescent="0.25">
      <c r="B87" s="171">
        <v>45937</v>
      </c>
      <c r="C87" s="4" t="s">
        <v>74</v>
      </c>
      <c r="D87" s="4">
        <v>400928</v>
      </c>
      <c r="E87" s="4" t="s">
        <v>608</v>
      </c>
      <c r="F87" s="4">
        <v>176</v>
      </c>
      <c r="G87" s="4">
        <v>12</v>
      </c>
      <c r="H87" s="4">
        <v>16.3</v>
      </c>
      <c r="I87" s="4">
        <v>255967</v>
      </c>
      <c r="J87" s="262">
        <v>45940</v>
      </c>
      <c r="K87" s="262">
        <v>45940</v>
      </c>
      <c r="L87" s="4">
        <v>102</v>
      </c>
      <c r="N87" s="4">
        <f t="shared" si="1"/>
        <v>400928</v>
      </c>
      <c r="O87" s="4">
        <v>68</v>
      </c>
    </row>
    <row r="88" spans="1:25" x14ac:dyDescent="0.25">
      <c r="B88" s="334">
        <v>45937</v>
      </c>
      <c r="C88" s="13" t="s">
        <v>74</v>
      </c>
      <c r="D88" s="13">
        <v>400925</v>
      </c>
      <c r="E88" s="13" t="s">
        <v>608</v>
      </c>
      <c r="F88" s="13">
        <v>171</v>
      </c>
      <c r="G88" s="13">
        <v>11</v>
      </c>
      <c r="H88" s="13">
        <v>20</v>
      </c>
      <c r="I88" s="13">
        <v>255966</v>
      </c>
      <c r="J88" s="332">
        <v>45940</v>
      </c>
      <c r="K88" s="332">
        <v>45940</v>
      </c>
      <c r="L88" s="13">
        <v>148</v>
      </c>
      <c r="M88" s="262">
        <v>45969</v>
      </c>
      <c r="N88" s="4">
        <f t="shared" si="1"/>
        <v>400925</v>
      </c>
      <c r="O88" s="4">
        <v>42</v>
      </c>
    </row>
    <row r="89" spans="1:25" x14ac:dyDescent="0.25">
      <c r="B89" s="171">
        <v>45939</v>
      </c>
      <c r="C89" s="4" t="s">
        <v>74</v>
      </c>
      <c r="D89" s="4">
        <v>400927</v>
      </c>
      <c r="E89" s="4" t="s">
        <v>608</v>
      </c>
      <c r="F89" s="322">
        <v>177</v>
      </c>
      <c r="G89" s="4">
        <v>11</v>
      </c>
      <c r="H89" s="4">
        <v>20</v>
      </c>
      <c r="I89" s="4">
        <v>255946</v>
      </c>
      <c r="J89" s="262">
        <v>45939</v>
      </c>
      <c r="K89" s="262">
        <v>45940</v>
      </c>
      <c r="L89" s="4">
        <v>115</v>
      </c>
      <c r="N89" s="4">
        <f t="shared" si="1"/>
        <v>400927</v>
      </c>
      <c r="O89" s="4">
        <v>77</v>
      </c>
    </row>
    <row r="90" spans="1:25" x14ac:dyDescent="0.25">
      <c r="B90" s="171">
        <v>45939</v>
      </c>
      <c r="C90" s="4" t="s">
        <v>74</v>
      </c>
      <c r="D90" s="13">
        <v>401001</v>
      </c>
      <c r="E90" s="4" t="s">
        <v>608</v>
      </c>
      <c r="F90" s="322">
        <v>178</v>
      </c>
      <c r="G90" s="4">
        <v>12</v>
      </c>
      <c r="H90" s="4">
        <v>20</v>
      </c>
      <c r="I90" s="4">
        <v>255945</v>
      </c>
      <c r="J90" s="262">
        <v>45939</v>
      </c>
      <c r="K90" s="262">
        <v>45940</v>
      </c>
      <c r="L90" s="4">
        <v>141</v>
      </c>
      <c r="N90" s="4">
        <f t="shared" si="1"/>
        <v>401001</v>
      </c>
      <c r="O90" s="4">
        <v>115</v>
      </c>
    </row>
    <row r="91" spans="1:25" x14ac:dyDescent="0.25">
      <c r="B91" s="171">
        <v>45942</v>
      </c>
      <c r="C91" s="4" t="s">
        <v>48</v>
      </c>
      <c r="D91" s="4">
        <v>851001</v>
      </c>
      <c r="E91" s="4" t="s">
        <v>609</v>
      </c>
      <c r="F91" s="322">
        <v>117</v>
      </c>
      <c r="G91" s="4">
        <v>2</v>
      </c>
      <c r="H91" s="4">
        <v>13</v>
      </c>
      <c r="I91" s="4">
        <v>256015</v>
      </c>
      <c r="J91" s="262">
        <v>45942</v>
      </c>
      <c r="K91" s="262">
        <v>45943</v>
      </c>
      <c r="L91" s="4">
        <v>118</v>
      </c>
      <c r="N91" s="4">
        <f t="shared" si="1"/>
        <v>851001</v>
      </c>
      <c r="O91" s="4">
        <v>70</v>
      </c>
    </row>
    <row r="92" spans="1:25" x14ac:dyDescent="0.25">
      <c r="B92" s="171">
        <v>45944</v>
      </c>
      <c r="C92" s="4" t="s">
        <v>48</v>
      </c>
      <c r="D92" s="4">
        <v>851002</v>
      </c>
      <c r="E92" s="4" t="s">
        <v>609</v>
      </c>
      <c r="F92" s="322">
        <v>118</v>
      </c>
      <c r="G92" s="4">
        <v>2</v>
      </c>
      <c r="H92" s="4">
        <v>13</v>
      </c>
      <c r="I92" s="4">
        <v>256041</v>
      </c>
      <c r="J92" s="262">
        <v>45944</v>
      </c>
      <c r="K92" s="262">
        <v>1410</v>
      </c>
      <c r="L92" s="4">
        <v>95</v>
      </c>
      <c r="N92" s="4">
        <f t="shared" si="1"/>
        <v>851002</v>
      </c>
      <c r="O92" s="4">
        <v>79</v>
      </c>
    </row>
    <row r="93" spans="1:25" x14ac:dyDescent="0.25">
      <c r="B93" s="171">
        <v>45944</v>
      </c>
      <c r="C93" s="4" t="s">
        <v>625</v>
      </c>
      <c r="D93" s="4">
        <v>261001</v>
      </c>
      <c r="E93" s="4" t="s">
        <v>609</v>
      </c>
      <c r="F93" s="322">
        <v>119</v>
      </c>
      <c r="G93" s="4">
        <v>2</v>
      </c>
      <c r="H93" s="4">
        <v>13</v>
      </c>
      <c r="I93" s="4">
        <v>256054</v>
      </c>
      <c r="J93" s="262">
        <v>45944</v>
      </c>
      <c r="K93" s="262">
        <v>45946</v>
      </c>
      <c r="L93" s="4">
        <v>105</v>
      </c>
      <c r="N93" s="4">
        <f t="shared" si="1"/>
        <v>261001</v>
      </c>
      <c r="O93" s="4">
        <v>80</v>
      </c>
    </row>
    <row r="94" spans="1:25" x14ac:dyDescent="0.25">
      <c r="B94" s="171">
        <v>45946</v>
      </c>
      <c r="C94" s="4" t="s">
        <v>625</v>
      </c>
      <c r="D94" s="4">
        <v>261002</v>
      </c>
      <c r="E94" s="4" t="s">
        <v>609</v>
      </c>
      <c r="F94" s="322">
        <v>120</v>
      </c>
      <c r="G94" s="4">
        <v>2</v>
      </c>
      <c r="H94" s="4">
        <v>13</v>
      </c>
      <c r="I94" s="4">
        <v>256073</v>
      </c>
      <c r="J94" s="262">
        <v>45946</v>
      </c>
      <c r="K94" s="262">
        <v>45946</v>
      </c>
      <c r="L94" s="4">
        <v>82</v>
      </c>
      <c r="N94" s="4">
        <f t="shared" si="1"/>
        <v>261002</v>
      </c>
      <c r="O94" s="4">
        <v>62</v>
      </c>
    </row>
    <row r="95" spans="1:25" x14ac:dyDescent="0.25">
      <c r="B95" s="171">
        <v>45946</v>
      </c>
      <c r="C95" s="4" t="s">
        <v>625</v>
      </c>
      <c r="D95" s="4">
        <v>261003</v>
      </c>
      <c r="E95" s="4" t="s">
        <v>609</v>
      </c>
      <c r="F95" s="322">
        <v>121</v>
      </c>
      <c r="G95" s="4">
        <v>2</v>
      </c>
      <c r="H95" s="4">
        <v>13</v>
      </c>
      <c r="I95" s="4">
        <v>256087</v>
      </c>
      <c r="J95" s="262">
        <v>45946</v>
      </c>
      <c r="K95" s="262">
        <v>45947</v>
      </c>
      <c r="L95" s="4">
        <v>108</v>
      </c>
      <c r="N95" s="4">
        <f t="shared" si="1"/>
        <v>261003</v>
      </c>
      <c r="O95" s="4">
        <v>70</v>
      </c>
    </row>
    <row r="96" spans="1:25" x14ac:dyDescent="0.25">
      <c r="B96" s="334">
        <v>45956</v>
      </c>
      <c r="C96" s="13" t="s">
        <v>74</v>
      </c>
      <c r="D96" s="13">
        <v>400911</v>
      </c>
      <c r="E96" s="13" t="s">
        <v>608</v>
      </c>
      <c r="F96" s="13">
        <v>180</v>
      </c>
      <c r="G96" s="13">
        <v>12</v>
      </c>
      <c r="H96" s="13">
        <v>11</v>
      </c>
      <c r="I96" s="13">
        <v>256122</v>
      </c>
      <c r="J96" s="332">
        <v>45956</v>
      </c>
      <c r="K96" s="332">
        <v>45957</v>
      </c>
      <c r="L96" s="13">
        <v>104</v>
      </c>
      <c r="M96" s="262">
        <v>45967</v>
      </c>
      <c r="N96" s="4">
        <f t="shared" ref="N96:N127" si="2">D96</f>
        <v>400911</v>
      </c>
      <c r="O96" s="4">
        <v>51</v>
      </c>
    </row>
    <row r="97" spans="2:15" x14ac:dyDescent="0.25">
      <c r="B97" s="334">
        <v>45956</v>
      </c>
      <c r="C97" s="13" t="s">
        <v>74</v>
      </c>
      <c r="D97" s="13">
        <v>400929</v>
      </c>
      <c r="E97" s="13" t="s">
        <v>608</v>
      </c>
      <c r="F97" s="13">
        <v>179</v>
      </c>
      <c r="G97" s="13">
        <v>12</v>
      </c>
      <c r="H97" s="13">
        <v>11</v>
      </c>
      <c r="I97" s="13">
        <v>256123</v>
      </c>
      <c r="J97" s="332">
        <v>45956</v>
      </c>
      <c r="K97" s="332">
        <v>45957</v>
      </c>
      <c r="L97" s="13">
        <v>50</v>
      </c>
      <c r="M97" s="262">
        <v>45967</v>
      </c>
      <c r="N97" s="4">
        <f t="shared" si="2"/>
        <v>400929</v>
      </c>
      <c r="O97" s="4">
        <v>90</v>
      </c>
    </row>
    <row r="98" spans="2:15" x14ac:dyDescent="0.25">
      <c r="B98" s="334">
        <v>45956</v>
      </c>
      <c r="C98" s="13" t="s">
        <v>74</v>
      </c>
      <c r="D98" s="13">
        <v>400918</v>
      </c>
      <c r="E98" s="13" t="s">
        <v>608</v>
      </c>
      <c r="F98" s="13">
        <v>182</v>
      </c>
      <c r="G98" s="13">
        <v>12</v>
      </c>
      <c r="H98" s="13">
        <v>15</v>
      </c>
      <c r="I98" s="13">
        <v>256126</v>
      </c>
      <c r="J98" s="332">
        <v>45956</v>
      </c>
      <c r="K98" s="332">
        <v>45957</v>
      </c>
      <c r="L98" s="13">
        <v>71</v>
      </c>
      <c r="M98" s="262">
        <v>45967</v>
      </c>
      <c r="N98" s="4">
        <f t="shared" si="2"/>
        <v>400918</v>
      </c>
      <c r="O98" s="4">
        <v>68</v>
      </c>
    </row>
    <row r="99" spans="2:15" x14ac:dyDescent="0.25">
      <c r="B99" s="334">
        <v>45956</v>
      </c>
      <c r="C99" s="13" t="s">
        <v>74</v>
      </c>
      <c r="D99" s="13">
        <v>400920</v>
      </c>
      <c r="E99" s="13" t="s">
        <v>608</v>
      </c>
      <c r="F99" s="13">
        <v>181</v>
      </c>
      <c r="G99" s="13">
        <v>12</v>
      </c>
      <c r="H99" s="13">
        <v>15</v>
      </c>
      <c r="I99" s="13">
        <v>256125</v>
      </c>
      <c r="J99" s="332">
        <v>45956</v>
      </c>
      <c r="K99" s="332">
        <v>45957</v>
      </c>
      <c r="L99" s="13">
        <v>82</v>
      </c>
      <c r="M99" s="262">
        <v>45967</v>
      </c>
      <c r="N99" s="4">
        <f t="shared" si="2"/>
        <v>400920</v>
      </c>
      <c r="O99" s="4">
        <v>82</v>
      </c>
    </row>
    <row r="100" spans="2:15" x14ac:dyDescent="0.25">
      <c r="B100" s="171">
        <v>45956</v>
      </c>
      <c r="C100" s="4" t="s">
        <v>74</v>
      </c>
      <c r="D100" s="13">
        <v>400921</v>
      </c>
      <c r="E100" s="4" t="s">
        <v>608</v>
      </c>
      <c r="F100" s="4">
        <v>183</v>
      </c>
      <c r="G100" s="4">
        <v>12</v>
      </c>
      <c r="H100" s="337">
        <v>15</v>
      </c>
      <c r="I100" s="4">
        <v>256124</v>
      </c>
      <c r="J100" s="262">
        <v>45956</v>
      </c>
      <c r="K100" s="262">
        <v>45957</v>
      </c>
      <c r="L100" s="4">
        <v>58</v>
      </c>
      <c r="N100" s="4">
        <f t="shared" si="2"/>
        <v>400921</v>
      </c>
    </row>
    <row r="101" spans="2:15" x14ac:dyDescent="0.25">
      <c r="B101" s="171">
        <v>45958</v>
      </c>
      <c r="C101" s="4" t="s">
        <v>348</v>
      </c>
      <c r="D101" s="4">
        <v>711005</v>
      </c>
      <c r="E101" s="4" t="s">
        <v>609</v>
      </c>
      <c r="F101" s="4">
        <v>122</v>
      </c>
      <c r="G101" s="4">
        <v>2</v>
      </c>
      <c r="H101" s="337">
        <v>13</v>
      </c>
      <c r="I101" s="4">
        <v>256162</v>
      </c>
      <c r="J101" s="262">
        <v>45958</v>
      </c>
      <c r="K101" s="262">
        <v>45958</v>
      </c>
      <c r="L101" s="4">
        <v>102</v>
      </c>
      <c r="N101" s="4">
        <f t="shared" si="2"/>
        <v>711005</v>
      </c>
      <c r="O101" s="4">
        <v>90</v>
      </c>
    </row>
    <row r="102" spans="2:15" x14ac:dyDescent="0.25">
      <c r="B102" s="171">
        <v>45960</v>
      </c>
      <c r="C102" s="4" t="s">
        <v>348</v>
      </c>
      <c r="D102" s="4">
        <v>711006</v>
      </c>
      <c r="E102" s="4" t="s">
        <v>609</v>
      </c>
      <c r="F102" s="4">
        <v>123</v>
      </c>
      <c r="G102" s="4">
        <v>2</v>
      </c>
      <c r="H102" s="337">
        <v>15</v>
      </c>
      <c r="I102" s="4">
        <v>256195</v>
      </c>
      <c r="J102" s="262">
        <v>45960</v>
      </c>
      <c r="K102" s="262">
        <v>45961</v>
      </c>
      <c r="L102" s="4">
        <v>110</v>
      </c>
      <c r="N102" s="4">
        <f t="shared" si="2"/>
        <v>711006</v>
      </c>
    </row>
    <row r="103" spans="2:15" x14ac:dyDescent="0.25">
      <c r="B103" s="171">
        <v>45960</v>
      </c>
      <c r="C103" s="4" t="s">
        <v>348</v>
      </c>
      <c r="D103" s="4">
        <v>711007</v>
      </c>
      <c r="E103" s="4" t="s">
        <v>609</v>
      </c>
      <c r="F103" s="4">
        <v>124</v>
      </c>
      <c r="G103" s="4">
        <v>2</v>
      </c>
      <c r="H103" s="337">
        <v>14</v>
      </c>
      <c r="I103" s="4">
        <v>256196</v>
      </c>
      <c r="J103" s="262">
        <v>45960</v>
      </c>
      <c r="K103" s="262">
        <v>45961</v>
      </c>
      <c r="L103" s="4">
        <v>80</v>
      </c>
      <c r="N103" s="4">
        <f t="shared" si="2"/>
        <v>711007</v>
      </c>
    </row>
    <row r="104" spans="2:15" x14ac:dyDescent="0.25">
      <c r="B104" s="171">
        <v>45960</v>
      </c>
      <c r="C104" s="4" t="s">
        <v>74</v>
      </c>
      <c r="D104" s="4">
        <v>400907</v>
      </c>
      <c r="E104" s="4" t="s">
        <v>608</v>
      </c>
      <c r="F104" s="4">
        <v>184</v>
      </c>
      <c r="G104" s="4">
        <v>12</v>
      </c>
      <c r="H104" s="337">
        <v>22.3</v>
      </c>
      <c r="I104" s="4">
        <v>256200</v>
      </c>
      <c r="J104" s="262">
        <v>45960</v>
      </c>
      <c r="K104" s="262">
        <v>45961</v>
      </c>
      <c r="L104" s="4">
        <v>118</v>
      </c>
      <c r="N104" s="4">
        <f t="shared" si="2"/>
        <v>400907</v>
      </c>
      <c r="O104" s="4">
        <v>50</v>
      </c>
    </row>
    <row r="105" spans="2:15" x14ac:dyDescent="0.25">
      <c r="B105" s="171">
        <v>45960</v>
      </c>
      <c r="C105" s="4" t="s">
        <v>74</v>
      </c>
      <c r="D105" s="4">
        <v>401007</v>
      </c>
      <c r="E105" s="4" t="s">
        <v>608</v>
      </c>
      <c r="F105" s="4">
        <v>185</v>
      </c>
      <c r="G105" s="4">
        <v>12</v>
      </c>
      <c r="H105" s="337">
        <v>16.3</v>
      </c>
      <c r="I105" s="4">
        <v>256202</v>
      </c>
      <c r="J105" s="262">
        <v>45960</v>
      </c>
      <c r="K105" s="262">
        <v>45961</v>
      </c>
      <c r="L105" s="4">
        <v>95</v>
      </c>
      <c r="N105" s="4">
        <f t="shared" si="2"/>
        <v>401007</v>
      </c>
      <c r="O105" s="4">
        <v>87</v>
      </c>
    </row>
    <row r="106" spans="2:15" x14ac:dyDescent="0.25">
      <c r="B106" s="171">
        <v>45960</v>
      </c>
      <c r="C106" s="4" t="s">
        <v>74</v>
      </c>
      <c r="D106" s="4">
        <v>400923</v>
      </c>
      <c r="E106" s="4" t="s">
        <v>608</v>
      </c>
      <c r="F106" s="4">
        <v>186</v>
      </c>
      <c r="G106" s="4">
        <v>12</v>
      </c>
      <c r="H106" s="337">
        <v>18.5</v>
      </c>
      <c r="I106" s="4">
        <v>256201</v>
      </c>
      <c r="J106" s="262">
        <v>45960</v>
      </c>
      <c r="K106" s="262">
        <v>45961</v>
      </c>
      <c r="L106" s="4">
        <v>85</v>
      </c>
      <c r="N106" s="4">
        <f t="shared" si="2"/>
        <v>400923</v>
      </c>
      <c r="O106" s="4">
        <v>85</v>
      </c>
    </row>
    <row r="107" spans="2:15" x14ac:dyDescent="0.25">
      <c r="B107" s="171">
        <v>45961</v>
      </c>
      <c r="C107" s="4" t="s">
        <v>348</v>
      </c>
      <c r="D107" s="4">
        <v>711001</v>
      </c>
      <c r="E107" s="4" t="s">
        <v>609</v>
      </c>
      <c r="F107" s="4">
        <v>125</v>
      </c>
      <c r="G107" s="4">
        <v>2</v>
      </c>
      <c r="H107" s="337">
        <v>22</v>
      </c>
      <c r="I107" s="4">
        <v>256219</v>
      </c>
      <c r="J107" s="262">
        <v>45961</v>
      </c>
      <c r="K107" s="262">
        <v>45962</v>
      </c>
      <c r="L107" s="4">
        <v>114</v>
      </c>
      <c r="N107" s="4">
        <f t="shared" si="2"/>
        <v>711001</v>
      </c>
      <c r="O107" s="4">
        <v>48</v>
      </c>
    </row>
    <row r="108" spans="2:15" x14ac:dyDescent="0.25">
      <c r="B108" s="171">
        <v>45961</v>
      </c>
      <c r="C108" s="4" t="s">
        <v>348</v>
      </c>
      <c r="D108" s="4">
        <v>711004</v>
      </c>
      <c r="E108" s="4" t="s">
        <v>609</v>
      </c>
      <c r="F108" s="4">
        <v>125</v>
      </c>
      <c r="G108" s="4">
        <v>2</v>
      </c>
      <c r="H108" s="337">
        <v>22</v>
      </c>
      <c r="I108" s="4">
        <v>256220</v>
      </c>
      <c r="J108" s="262">
        <v>45961</v>
      </c>
      <c r="K108" s="262">
        <v>45962</v>
      </c>
      <c r="L108" s="4">
        <v>139</v>
      </c>
      <c r="N108" s="4">
        <f t="shared" si="2"/>
        <v>711004</v>
      </c>
      <c r="O108" s="4">
        <v>85</v>
      </c>
    </row>
    <row r="109" spans="2:15" x14ac:dyDescent="0.25">
      <c r="B109" s="171">
        <v>45961</v>
      </c>
      <c r="C109" s="4" t="s">
        <v>74</v>
      </c>
      <c r="D109" s="13">
        <v>401008</v>
      </c>
      <c r="E109" s="4" t="s">
        <v>608</v>
      </c>
      <c r="F109" s="4">
        <v>187</v>
      </c>
      <c r="G109" s="4">
        <v>12</v>
      </c>
      <c r="H109" s="337">
        <v>16.3</v>
      </c>
      <c r="I109" s="4">
        <v>256218</v>
      </c>
      <c r="J109" s="262">
        <v>45961</v>
      </c>
      <c r="K109" s="262">
        <v>45962</v>
      </c>
      <c r="L109" s="4">
        <v>82</v>
      </c>
      <c r="N109" s="4">
        <f t="shared" si="2"/>
        <v>401008</v>
      </c>
      <c r="O109" s="4">
        <v>52</v>
      </c>
    </row>
    <row r="110" spans="2:15" x14ac:dyDescent="0.25">
      <c r="B110" s="171">
        <v>45963</v>
      </c>
      <c r="C110" s="4" t="s">
        <v>348</v>
      </c>
      <c r="D110" s="4">
        <v>711002</v>
      </c>
      <c r="E110" s="4" t="s">
        <v>609</v>
      </c>
      <c r="F110" s="4">
        <v>126</v>
      </c>
      <c r="G110" s="4">
        <v>2</v>
      </c>
      <c r="H110" s="337">
        <v>22</v>
      </c>
      <c r="I110" s="4">
        <v>256245</v>
      </c>
      <c r="J110" s="262">
        <v>45963</v>
      </c>
      <c r="K110" s="262">
        <v>45964</v>
      </c>
      <c r="L110" s="4">
        <v>135</v>
      </c>
      <c r="N110" s="4">
        <f t="shared" si="2"/>
        <v>711002</v>
      </c>
      <c r="O110" s="4">
        <v>50</v>
      </c>
    </row>
    <row r="111" spans="2:15" x14ac:dyDescent="0.25">
      <c r="B111" s="171">
        <v>45963</v>
      </c>
      <c r="C111" s="4" t="s">
        <v>348</v>
      </c>
      <c r="D111" s="4">
        <v>711003</v>
      </c>
      <c r="E111" s="4" t="s">
        <v>609</v>
      </c>
      <c r="F111" s="4">
        <v>126</v>
      </c>
      <c r="G111" s="4">
        <v>2</v>
      </c>
      <c r="H111" s="337">
        <v>22</v>
      </c>
      <c r="I111" s="4">
        <v>256246</v>
      </c>
      <c r="J111" s="262">
        <v>45963</v>
      </c>
      <c r="K111" s="262">
        <v>45964</v>
      </c>
      <c r="L111" s="4">
        <v>130</v>
      </c>
      <c r="N111" s="4">
        <f t="shared" si="2"/>
        <v>711003</v>
      </c>
      <c r="O111" s="4">
        <v>30</v>
      </c>
    </row>
    <row r="112" spans="2:15" x14ac:dyDescent="0.25">
      <c r="B112" s="171">
        <v>45964</v>
      </c>
      <c r="C112" s="4" t="s">
        <v>74</v>
      </c>
      <c r="D112" s="4">
        <v>400901</v>
      </c>
      <c r="E112" s="4" t="s">
        <v>608</v>
      </c>
      <c r="F112" s="4">
        <v>188</v>
      </c>
      <c r="G112" s="4">
        <v>12</v>
      </c>
      <c r="H112" s="337">
        <v>18.5</v>
      </c>
      <c r="I112" s="4">
        <v>256264</v>
      </c>
      <c r="J112" s="262">
        <v>45964</v>
      </c>
      <c r="K112" s="262">
        <v>45965</v>
      </c>
      <c r="L112" s="4">
        <v>86</v>
      </c>
      <c r="N112" s="4">
        <f t="shared" si="2"/>
        <v>400901</v>
      </c>
      <c r="O112" s="4">
        <v>63</v>
      </c>
    </row>
    <row r="113" spans="2:15" x14ac:dyDescent="0.25">
      <c r="B113" s="171">
        <v>45964</v>
      </c>
      <c r="C113" s="4" t="s">
        <v>74</v>
      </c>
      <c r="D113" s="4">
        <v>400905</v>
      </c>
      <c r="E113" s="4" t="s">
        <v>608</v>
      </c>
      <c r="F113" s="4">
        <v>189</v>
      </c>
      <c r="G113" s="4">
        <v>12</v>
      </c>
      <c r="H113" s="337">
        <v>18.5</v>
      </c>
      <c r="I113" s="4">
        <v>256262</v>
      </c>
      <c r="J113" s="262">
        <v>45964</v>
      </c>
      <c r="K113" s="262">
        <v>45965</v>
      </c>
      <c r="L113" s="4">
        <v>97</v>
      </c>
      <c r="N113" s="4">
        <f t="shared" si="2"/>
        <v>400905</v>
      </c>
      <c r="O113" s="4">
        <v>70</v>
      </c>
    </row>
    <row r="114" spans="2:15" x14ac:dyDescent="0.25">
      <c r="B114" s="171">
        <v>45964</v>
      </c>
      <c r="C114" s="4" t="s">
        <v>74</v>
      </c>
      <c r="D114" s="4">
        <v>400903</v>
      </c>
      <c r="E114" s="4" t="s">
        <v>608</v>
      </c>
      <c r="F114" s="4">
        <v>190</v>
      </c>
      <c r="G114" s="4">
        <v>12</v>
      </c>
      <c r="H114" s="337">
        <v>18.5</v>
      </c>
      <c r="I114" s="4">
        <v>256263</v>
      </c>
      <c r="J114" s="262">
        <v>45964</v>
      </c>
      <c r="K114" s="262">
        <v>45965</v>
      </c>
      <c r="L114" s="4">
        <v>104</v>
      </c>
      <c r="N114" s="4">
        <f t="shared" si="2"/>
        <v>400903</v>
      </c>
      <c r="O114" s="4">
        <v>104</v>
      </c>
    </row>
    <row r="115" spans="2:15" x14ac:dyDescent="0.25">
      <c r="B115" s="171">
        <v>45968</v>
      </c>
      <c r="C115" s="4" t="s">
        <v>74</v>
      </c>
      <c r="D115" s="4">
        <v>400904</v>
      </c>
      <c r="E115" s="4" t="s">
        <v>608</v>
      </c>
      <c r="F115" s="4">
        <v>191</v>
      </c>
      <c r="G115" s="4">
        <v>12</v>
      </c>
      <c r="H115" s="337">
        <v>18.5</v>
      </c>
      <c r="I115" s="4">
        <v>256362</v>
      </c>
      <c r="J115" s="262">
        <v>45969</v>
      </c>
      <c r="K115" s="262">
        <v>45969</v>
      </c>
      <c r="L115" s="4">
        <v>114</v>
      </c>
      <c r="N115" s="4">
        <f t="shared" si="2"/>
        <v>400904</v>
      </c>
      <c r="O115" s="4">
        <v>55</v>
      </c>
    </row>
    <row r="116" spans="2:15" x14ac:dyDescent="0.25">
      <c r="B116" s="171">
        <v>45968</v>
      </c>
      <c r="C116" s="4" t="s">
        <v>74</v>
      </c>
      <c r="D116" s="4">
        <v>400902</v>
      </c>
      <c r="E116" s="4" t="s">
        <v>608</v>
      </c>
      <c r="F116" s="4">
        <v>192</v>
      </c>
      <c r="G116" s="4">
        <v>12</v>
      </c>
      <c r="H116" s="337">
        <v>18.5</v>
      </c>
      <c r="I116" s="4">
        <v>256363</v>
      </c>
      <c r="J116" s="262">
        <v>45968</v>
      </c>
      <c r="K116" s="262">
        <v>45969</v>
      </c>
      <c r="L116" s="4">
        <v>90</v>
      </c>
      <c r="N116" s="4">
        <f t="shared" si="2"/>
        <v>400902</v>
      </c>
      <c r="O116" s="4">
        <v>80</v>
      </c>
    </row>
    <row r="117" spans="2:15" x14ac:dyDescent="0.25">
      <c r="B117" s="171">
        <v>45968</v>
      </c>
      <c r="C117" s="4" t="s">
        <v>626</v>
      </c>
      <c r="D117" s="4">
        <v>551102</v>
      </c>
      <c r="E117" s="4" t="s">
        <v>609</v>
      </c>
      <c r="F117" s="4">
        <v>127</v>
      </c>
      <c r="G117" s="4">
        <v>2</v>
      </c>
      <c r="H117" s="337">
        <v>11</v>
      </c>
      <c r="I117" s="4">
        <v>256364</v>
      </c>
      <c r="J117" s="262">
        <v>45968</v>
      </c>
      <c r="K117" s="262">
        <v>45969</v>
      </c>
      <c r="L117" s="4">
        <v>112</v>
      </c>
      <c r="N117" s="4">
        <f t="shared" si="2"/>
        <v>551102</v>
      </c>
      <c r="O117" s="4">
        <v>36</v>
      </c>
    </row>
    <row r="118" spans="2:15" x14ac:dyDescent="0.25">
      <c r="B118" s="171">
        <v>45969</v>
      </c>
      <c r="C118" s="4" t="s">
        <v>626</v>
      </c>
      <c r="D118" s="4">
        <v>551101</v>
      </c>
      <c r="E118" s="4" t="s">
        <v>609</v>
      </c>
      <c r="F118" s="4">
        <v>128</v>
      </c>
      <c r="G118" s="4">
        <v>2</v>
      </c>
      <c r="H118" s="337">
        <v>11</v>
      </c>
      <c r="I118" s="4">
        <v>256402</v>
      </c>
      <c r="J118" s="262">
        <v>45970</v>
      </c>
      <c r="K118" s="262">
        <v>45970</v>
      </c>
      <c r="L118" s="4">
        <v>60</v>
      </c>
      <c r="N118" s="4">
        <f t="shared" si="2"/>
        <v>551101</v>
      </c>
      <c r="O118" s="4">
        <v>36</v>
      </c>
    </row>
    <row r="119" spans="2:15" x14ac:dyDescent="0.25">
      <c r="B119" s="171">
        <v>45970</v>
      </c>
      <c r="C119" s="4" t="s">
        <v>348</v>
      </c>
      <c r="D119" s="4">
        <v>711108</v>
      </c>
      <c r="E119" s="4" t="s">
        <v>609</v>
      </c>
      <c r="F119" s="4">
        <v>129</v>
      </c>
      <c r="G119" s="4">
        <v>2</v>
      </c>
      <c r="H119" s="337">
        <v>17.5</v>
      </c>
      <c r="I119" s="4">
        <v>256417</v>
      </c>
      <c r="J119" s="262">
        <v>45970</v>
      </c>
      <c r="K119" s="262">
        <v>45971</v>
      </c>
      <c r="L119" s="4">
        <v>120</v>
      </c>
      <c r="N119" s="4">
        <f t="shared" si="2"/>
        <v>711108</v>
      </c>
      <c r="O119" s="4">
        <v>67</v>
      </c>
    </row>
    <row r="120" spans="2:15" x14ac:dyDescent="0.25">
      <c r="B120" s="171">
        <v>45970</v>
      </c>
      <c r="C120" s="4" t="s">
        <v>74</v>
      </c>
      <c r="D120" s="4">
        <v>400924</v>
      </c>
      <c r="E120" s="4" t="s">
        <v>608</v>
      </c>
      <c r="F120" s="4">
        <v>193</v>
      </c>
      <c r="G120" s="4">
        <v>12</v>
      </c>
      <c r="H120" s="337">
        <v>18.5</v>
      </c>
      <c r="I120" s="4">
        <v>256416</v>
      </c>
      <c r="J120" s="262">
        <v>45971</v>
      </c>
      <c r="K120" s="262">
        <v>45971</v>
      </c>
      <c r="L120" s="4">
        <v>110</v>
      </c>
      <c r="N120" s="4">
        <f t="shared" si="2"/>
        <v>400924</v>
      </c>
      <c r="O120" s="4">
        <v>61</v>
      </c>
    </row>
    <row r="121" spans="2:15" x14ac:dyDescent="0.25">
      <c r="B121" s="171">
        <v>45970</v>
      </c>
      <c r="C121" s="4" t="s">
        <v>74</v>
      </c>
      <c r="D121" s="4">
        <v>401005</v>
      </c>
      <c r="E121" s="4" t="s">
        <v>608</v>
      </c>
      <c r="F121" s="4">
        <v>194</v>
      </c>
      <c r="G121" s="4">
        <v>12</v>
      </c>
      <c r="H121" s="337">
        <v>20</v>
      </c>
      <c r="I121" s="4">
        <v>256415</v>
      </c>
      <c r="J121" s="262">
        <v>45971</v>
      </c>
      <c r="K121" s="262">
        <v>45971</v>
      </c>
      <c r="L121" s="4">
        <v>95</v>
      </c>
      <c r="N121" s="4">
        <f t="shared" si="2"/>
        <v>401005</v>
      </c>
      <c r="O121" s="4">
        <v>112</v>
      </c>
    </row>
    <row r="122" spans="2:15" x14ac:dyDescent="0.25">
      <c r="B122" s="171">
        <v>45972</v>
      </c>
      <c r="C122" s="4" t="s">
        <v>74</v>
      </c>
      <c r="D122" s="13">
        <v>401006</v>
      </c>
      <c r="E122" s="4" t="s">
        <v>608</v>
      </c>
      <c r="F122" s="4">
        <v>195</v>
      </c>
      <c r="G122" s="4">
        <v>12</v>
      </c>
      <c r="H122" s="337">
        <v>20</v>
      </c>
      <c r="I122" s="4">
        <v>256464</v>
      </c>
      <c r="J122" s="262">
        <v>45974</v>
      </c>
      <c r="K122" s="262">
        <v>45974</v>
      </c>
      <c r="L122" s="4">
        <v>98</v>
      </c>
      <c r="N122" s="4">
        <f t="shared" si="2"/>
        <v>401006</v>
      </c>
      <c r="O122" s="4">
        <v>40</v>
      </c>
    </row>
    <row r="123" spans="2:15" x14ac:dyDescent="0.25">
      <c r="B123" s="171">
        <v>45972</v>
      </c>
      <c r="C123" s="4" t="s">
        <v>348</v>
      </c>
      <c r="D123" s="4">
        <v>711102</v>
      </c>
      <c r="E123" s="4" t="s">
        <v>609</v>
      </c>
      <c r="F123" s="4">
        <v>130</v>
      </c>
      <c r="G123" s="4">
        <v>2</v>
      </c>
      <c r="H123" s="337">
        <v>24</v>
      </c>
      <c r="I123" s="4">
        <v>256435</v>
      </c>
      <c r="J123" s="262">
        <v>45972</v>
      </c>
      <c r="K123" s="262">
        <v>45972</v>
      </c>
      <c r="L123" s="4">
        <v>95</v>
      </c>
      <c r="N123" s="4">
        <f t="shared" si="2"/>
        <v>711102</v>
      </c>
      <c r="O123" s="4">
        <v>60</v>
      </c>
    </row>
    <row r="124" spans="2:15" x14ac:dyDescent="0.25">
      <c r="B124" s="171">
        <v>45972</v>
      </c>
      <c r="C124" s="4" t="s">
        <v>21</v>
      </c>
      <c r="D124" s="4">
        <v>911101</v>
      </c>
      <c r="E124" s="4" t="s">
        <v>609</v>
      </c>
      <c r="F124" s="4">
        <v>131</v>
      </c>
      <c r="G124" s="4">
        <v>2</v>
      </c>
      <c r="H124" s="337">
        <v>20</v>
      </c>
      <c r="I124" s="4">
        <v>256470</v>
      </c>
      <c r="J124" s="262">
        <v>45974</v>
      </c>
      <c r="K124" s="262">
        <v>45974</v>
      </c>
      <c r="L124" s="4">
        <v>134</v>
      </c>
      <c r="N124" s="4">
        <f t="shared" si="2"/>
        <v>911101</v>
      </c>
      <c r="O124" s="4">
        <v>45</v>
      </c>
    </row>
    <row r="125" spans="2:15" x14ac:dyDescent="0.25">
      <c r="B125" s="171">
        <v>45974</v>
      </c>
      <c r="C125" s="4" t="s">
        <v>348</v>
      </c>
      <c r="D125" s="4">
        <v>711104</v>
      </c>
      <c r="E125" s="4" t="s">
        <v>609</v>
      </c>
      <c r="F125" s="4">
        <v>132</v>
      </c>
      <c r="G125" s="4">
        <v>2</v>
      </c>
      <c r="H125" s="337">
        <v>24</v>
      </c>
      <c r="I125" s="4">
        <v>256491</v>
      </c>
      <c r="J125" s="262">
        <v>45975</v>
      </c>
      <c r="K125" s="262">
        <v>45975</v>
      </c>
      <c r="L125" s="4">
        <v>108</v>
      </c>
      <c r="N125" s="4">
        <f t="shared" si="2"/>
        <v>711104</v>
      </c>
      <c r="O125" s="4">
        <v>95</v>
      </c>
    </row>
    <row r="126" spans="2:15" x14ac:dyDescent="0.25">
      <c r="B126" s="171">
        <v>45975</v>
      </c>
      <c r="C126" s="4" t="s">
        <v>348</v>
      </c>
      <c r="D126" s="4">
        <v>711107</v>
      </c>
      <c r="E126" s="4" t="s">
        <v>609</v>
      </c>
      <c r="F126" s="4">
        <v>133</v>
      </c>
      <c r="G126" s="4">
        <v>2</v>
      </c>
      <c r="H126" s="337">
        <v>9</v>
      </c>
      <c r="I126" s="4">
        <v>256509</v>
      </c>
      <c r="J126" s="262">
        <v>45975</v>
      </c>
      <c r="K126" s="262">
        <v>45976</v>
      </c>
      <c r="L126" s="4">
        <v>34</v>
      </c>
      <c r="N126" s="4">
        <f t="shared" si="2"/>
        <v>711107</v>
      </c>
    </row>
    <row r="127" spans="2:15" x14ac:dyDescent="0.25">
      <c r="B127" s="171">
        <v>45976</v>
      </c>
      <c r="C127" s="4" t="s">
        <v>74</v>
      </c>
      <c r="D127" s="4">
        <v>401004</v>
      </c>
      <c r="E127" s="4" t="s">
        <v>608</v>
      </c>
      <c r="F127" s="4">
        <v>196</v>
      </c>
      <c r="G127" s="4">
        <v>11</v>
      </c>
      <c r="H127" s="337">
        <v>20</v>
      </c>
      <c r="I127" s="4">
        <v>256528</v>
      </c>
      <c r="J127" s="262">
        <v>45977</v>
      </c>
      <c r="K127" s="262">
        <v>45977</v>
      </c>
      <c r="L127" s="4" t="s">
        <v>627</v>
      </c>
      <c r="N127" s="4">
        <f t="shared" si="2"/>
        <v>401004</v>
      </c>
      <c r="O127" s="4">
        <v>50</v>
      </c>
    </row>
    <row r="128" spans="2:15" x14ac:dyDescent="0.25">
      <c r="B128" s="171">
        <v>45977</v>
      </c>
      <c r="C128" s="4" t="s">
        <v>21</v>
      </c>
      <c r="D128" s="68">
        <v>911103</v>
      </c>
      <c r="E128" s="4" t="s">
        <v>609</v>
      </c>
      <c r="F128" s="68">
        <v>134</v>
      </c>
      <c r="G128" s="68">
        <v>2</v>
      </c>
      <c r="H128" s="337">
        <v>17.5</v>
      </c>
      <c r="I128" s="4">
        <v>256537</v>
      </c>
      <c r="J128" s="262">
        <v>45977</v>
      </c>
      <c r="K128" s="262">
        <v>45977</v>
      </c>
      <c r="L128" s="4">
        <v>110</v>
      </c>
      <c r="N128" s="4">
        <f t="shared" ref="N128:N159" si="3">D128</f>
        <v>911103</v>
      </c>
      <c r="O128" s="4">
        <v>85</v>
      </c>
    </row>
    <row r="129" spans="2:15" x14ac:dyDescent="0.25">
      <c r="B129" s="171">
        <v>45978</v>
      </c>
      <c r="C129" s="4" t="s">
        <v>57</v>
      </c>
      <c r="D129" s="68">
        <v>651104</v>
      </c>
      <c r="E129" s="4" t="s">
        <v>609</v>
      </c>
      <c r="F129" s="68">
        <v>135</v>
      </c>
      <c r="G129" s="68">
        <v>2</v>
      </c>
      <c r="H129" s="337">
        <v>17.5</v>
      </c>
      <c r="I129" s="4">
        <v>256553</v>
      </c>
      <c r="J129" s="262">
        <v>45978</v>
      </c>
      <c r="K129" s="262">
        <v>45978</v>
      </c>
      <c r="L129" s="4">
        <v>90</v>
      </c>
      <c r="N129" s="4">
        <f t="shared" si="3"/>
        <v>651104</v>
      </c>
      <c r="O129" s="4">
        <v>75</v>
      </c>
    </row>
    <row r="130" spans="2:15" x14ac:dyDescent="0.25">
      <c r="B130" s="171">
        <v>45978</v>
      </c>
      <c r="C130" s="4" t="s">
        <v>74</v>
      </c>
      <c r="D130" s="4">
        <v>401101</v>
      </c>
      <c r="E130" s="4" t="s">
        <v>608</v>
      </c>
      <c r="F130" s="4">
        <v>197</v>
      </c>
      <c r="G130" s="4">
        <v>11</v>
      </c>
      <c r="H130" s="337">
        <v>16.3</v>
      </c>
      <c r="I130" s="4">
        <v>256548</v>
      </c>
      <c r="J130" s="262">
        <v>45978</v>
      </c>
      <c r="K130" s="262">
        <v>45978</v>
      </c>
      <c r="L130" s="4">
        <v>105</v>
      </c>
      <c r="N130" s="4">
        <f t="shared" si="3"/>
        <v>401101</v>
      </c>
      <c r="O130" s="337" t="s">
        <v>628</v>
      </c>
    </row>
    <row r="131" spans="2:15" x14ac:dyDescent="0.25">
      <c r="B131" s="171">
        <v>45979</v>
      </c>
      <c r="C131" s="4" t="s">
        <v>57</v>
      </c>
      <c r="D131" s="68">
        <v>651103</v>
      </c>
      <c r="E131" s="4" t="s">
        <v>609</v>
      </c>
      <c r="F131" s="68">
        <v>136</v>
      </c>
      <c r="G131" s="68">
        <v>2</v>
      </c>
      <c r="H131" s="337">
        <v>17.5</v>
      </c>
      <c r="I131" s="4">
        <v>256589</v>
      </c>
      <c r="J131" s="262">
        <v>45979</v>
      </c>
      <c r="K131" s="262">
        <v>45981</v>
      </c>
      <c r="L131" s="4">
        <v>120</v>
      </c>
      <c r="N131" s="4">
        <f t="shared" si="3"/>
        <v>651103</v>
      </c>
      <c r="O131" s="4">
        <v>70</v>
      </c>
    </row>
    <row r="132" spans="2:15" x14ac:dyDescent="0.25">
      <c r="B132" s="171">
        <v>45981</v>
      </c>
      <c r="C132" s="4" t="s">
        <v>74</v>
      </c>
      <c r="D132" s="4">
        <v>401102</v>
      </c>
      <c r="E132" s="4" t="s">
        <v>608</v>
      </c>
      <c r="F132" s="4">
        <v>198</v>
      </c>
      <c r="G132" s="4">
        <v>11</v>
      </c>
      <c r="H132" s="337">
        <v>16.3</v>
      </c>
      <c r="I132" s="4">
        <v>256627</v>
      </c>
      <c r="J132" s="262">
        <v>45982</v>
      </c>
      <c r="K132" s="262">
        <v>45982</v>
      </c>
      <c r="L132" s="4">
        <v>140</v>
      </c>
      <c r="N132" s="4">
        <f t="shared" si="3"/>
        <v>401102</v>
      </c>
      <c r="O132" s="4">
        <v>52</v>
      </c>
    </row>
    <row r="133" spans="2:15" x14ac:dyDescent="0.25">
      <c r="B133" s="171">
        <v>45981</v>
      </c>
      <c r="C133" s="4" t="s">
        <v>74</v>
      </c>
      <c r="D133" s="4">
        <v>401103</v>
      </c>
      <c r="E133" s="4" t="s">
        <v>608</v>
      </c>
      <c r="F133" s="4">
        <v>199</v>
      </c>
      <c r="G133" s="4">
        <v>11</v>
      </c>
      <c r="H133" s="337">
        <v>17.3</v>
      </c>
      <c r="I133" s="4">
        <v>256625</v>
      </c>
      <c r="J133" s="262">
        <v>45982</v>
      </c>
      <c r="K133" s="262">
        <v>45982</v>
      </c>
      <c r="L133" s="4">
        <v>137</v>
      </c>
      <c r="N133" s="4">
        <f t="shared" si="3"/>
        <v>401103</v>
      </c>
      <c r="O133" s="4">
        <v>30</v>
      </c>
    </row>
    <row r="134" spans="2:15" x14ac:dyDescent="0.25">
      <c r="B134" s="171">
        <v>45981</v>
      </c>
      <c r="C134" s="4" t="s">
        <v>74</v>
      </c>
      <c r="D134" s="4">
        <v>610502</v>
      </c>
      <c r="E134" s="4" t="s">
        <v>608</v>
      </c>
      <c r="F134" s="4">
        <v>60</v>
      </c>
      <c r="G134" s="4">
        <v>12</v>
      </c>
      <c r="H134" s="337">
        <v>20</v>
      </c>
      <c r="I134" s="4">
        <v>256626</v>
      </c>
      <c r="J134" s="262">
        <v>45982</v>
      </c>
      <c r="K134" s="262">
        <v>45982</v>
      </c>
      <c r="L134" s="4">
        <v>175</v>
      </c>
      <c r="N134" s="4">
        <f t="shared" si="3"/>
        <v>610502</v>
      </c>
      <c r="O134" s="4" t="s">
        <v>628</v>
      </c>
    </row>
    <row r="135" spans="2:15" x14ac:dyDescent="0.25">
      <c r="B135" s="171">
        <v>45981</v>
      </c>
      <c r="C135" s="4" t="s">
        <v>74</v>
      </c>
      <c r="D135" s="4">
        <v>610601</v>
      </c>
      <c r="E135" s="4" t="s">
        <v>608</v>
      </c>
      <c r="F135" s="4">
        <v>71</v>
      </c>
      <c r="G135" s="4">
        <v>11</v>
      </c>
      <c r="H135" s="337">
        <v>20</v>
      </c>
      <c r="I135" s="4">
        <v>256624</v>
      </c>
      <c r="J135" s="262">
        <v>45982</v>
      </c>
      <c r="K135" s="262">
        <v>45982</v>
      </c>
      <c r="L135" s="4">
        <v>112</v>
      </c>
      <c r="N135" s="4">
        <f t="shared" si="3"/>
        <v>610601</v>
      </c>
      <c r="O135" s="4" t="s">
        <v>628</v>
      </c>
    </row>
    <row r="136" spans="2:15" x14ac:dyDescent="0.25">
      <c r="B136" s="171">
        <v>45981</v>
      </c>
      <c r="C136" s="4" t="s">
        <v>80</v>
      </c>
      <c r="D136" s="68">
        <v>411101</v>
      </c>
      <c r="E136" s="4" t="s">
        <v>609</v>
      </c>
      <c r="F136" s="68">
        <v>137</v>
      </c>
      <c r="G136" s="68">
        <v>2</v>
      </c>
      <c r="H136" s="337">
        <v>10</v>
      </c>
      <c r="I136" s="4">
        <v>256614</v>
      </c>
      <c r="J136" s="262">
        <v>45981</v>
      </c>
      <c r="K136" s="262">
        <v>45982</v>
      </c>
      <c r="L136" s="4" t="s">
        <v>629</v>
      </c>
      <c r="N136" s="4">
        <f t="shared" si="3"/>
        <v>411101</v>
      </c>
    </row>
    <row r="137" spans="2:15" x14ac:dyDescent="0.25">
      <c r="B137" s="171">
        <v>45981</v>
      </c>
      <c r="C137" s="4" t="s">
        <v>57</v>
      </c>
      <c r="D137" s="68">
        <v>651102</v>
      </c>
      <c r="E137" s="4" t="s">
        <v>609</v>
      </c>
      <c r="F137" s="68">
        <v>138</v>
      </c>
      <c r="G137" s="68">
        <v>2</v>
      </c>
      <c r="H137" s="337">
        <v>17.5</v>
      </c>
      <c r="I137" s="4">
        <v>256622</v>
      </c>
      <c r="J137" s="262">
        <v>45982</v>
      </c>
      <c r="K137" s="262">
        <v>45982</v>
      </c>
      <c r="L137" s="4">
        <v>133</v>
      </c>
      <c r="N137" s="337">
        <f t="shared" si="3"/>
        <v>651102</v>
      </c>
      <c r="O137" s="4">
        <v>75</v>
      </c>
    </row>
    <row r="138" spans="2:15" x14ac:dyDescent="0.25">
      <c r="B138" s="171">
        <v>45982</v>
      </c>
      <c r="C138" s="4" t="s">
        <v>57</v>
      </c>
      <c r="D138" s="68">
        <v>651101</v>
      </c>
      <c r="E138" s="4" t="s">
        <v>609</v>
      </c>
      <c r="F138" s="68">
        <v>139</v>
      </c>
      <c r="G138" s="68">
        <v>2</v>
      </c>
      <c r="H138" s="337">
        <v>17.5</v>
      </c>
      <c r="I138" s="4">
        <v>256672</v>
      </c>
      <c r="J138" s="262">
        <v>45982</v>
      </c>
      <c r="K138" s="262">
        <v>45983</v>
      </c>
      <c r="L138" s="4">
        <v>104</v>
      </c>
      <c r="N138" s="337">
        <f t="shared" si="3"/>
        <v>651101</v>
      </c>
      <c r="O138" s="4">
        <v>79</v>
      </c>
    </row>
    <row r="139" spans="2:15" x14ac:dyDescent="0.25">
      <c r="B139" s="171">
        <v>45984</v>
      </c>
      <c r="C139" s="4" t="s">
        <v>21</v>
      </c>
      <c r="D139" s="68">
        <v>911104</v>
      </c>
      <c r="E139" s="4" t="s">
        <v>609</v>
      </c>
      <c r="F139" s="68">
        <v>140</v>
      </c>
      <c r="G139" s="68">
        <v>2</v>
      </c>
      <c r="H139" s="337">
        <v>22</v>
      </c>
      <c r="I139" s="4">
        <v>256703</v>
      </c>
      <c r="J139" s="262">
        <v>45984</v>
      </c>
      <c r="K139" s="262">
        <v>45985</v>
      </c>
      <c r="L139" s="4">
        <v>124</v>
      </c>
      <c r="N139" s="4">
        <f t="shared" si="3"/>
        <v>911104</v>
      </c>
      <c r="O139" s="4">
        <v>90</v>
      </c>
    </row>
    <row r="140" spans="2:15" x14ac:dyDescent="0.25">
      <c r="B140" s="171">
        <v>45984</v>
      </c>
      <c r="C140" s="4" t="s">
        <v>21</v>
      </c>
      <c r="D140" s="4">
        <v>911105</v>
      </c>
      <c r="E140" s="4" t="s">
        <v>609</v>
      </c>
      <c r="F140" s="68">
        <v>140</v>
      </c>
      <c r="G140" s="68">
        <v>2</v>
      </c>
      <c r="H140" s="337">
        <v>22</v>
      </c>
      <c r="I140" s="4">
        <v>256702</v>
      </c>
      <c r="J140" s="262">
        <v>45984</v>
      </c>
      <c r="K140" s="262">
        <v>45985</v>
      </c>
      <c r="L140" s="4">
        <v>108</v>
      </c>
      <c r="N140" s="4">
        <f t="shared" si="3"/>
        <v>911105</v>
      </c>
      <c r="O140" s="4">
        <v>98</v>
      </c>
    </row>
    <row r="141" spans="2:15" x14ac:dyDescent="0.25">
      <c r="B141" s="171">
        <v>45984</v>
      </c>
      <c r="C141" s="4" t="s">
        <v>21</v>
      </c>
      <c r="D141" s="4">
        <v>911106</v>
      </c>
      <c r="E141" s="4" t="s">
        <v>609</v>
      </c>
      <c r="F141" s="68">
        <v>140</v>
      </c>
      <c r="G141" s="68">
        <v>2</v>
      </c>
      <c r="H141" s="337">
        <v>20</v>
      </c>
      <c r="I141" s="4">
        <v>256698</v>
      </c>
      <c r="J141" s="262">
        <v>45984</v>
      </c>
      <c r="K141" s="262">
        <v>45985</v>
      </c>
      <c r="L141" s="4">
        <v>108</v>
      </c>
      <c r="N141" s="4">
        <f t="shared" si="3"/>
        <v>911106</v>
      </c>
      <c r="O141" s="4">
        <v>72</v>
      </c>
    </row>
    <row r="142" spans="2:15" x14ac:dyDescent="0.25">
      <c r="B142" s="171">
        <v>45992</v>
      </c>
      <c r="C142" s="4" t="s">
        <v>74</v>
      </c>
      <c r="D142" s="4">
        <v>401002</v>
      </c>
      <c r="E142" s="4" t="s">
        <v>608</v>
      </c>
      <c r="F142" s="4">
        <v>200</v>
      </c>
      <c r="G142" s="4">
        <v>11</v>
      </c>
      <c r="H142" s="337">
        <v>20</v>
      </c>
      <c r="I142" s="4">
        <v>256854</v>
      </c>
      <c r="J142" s="262">
        <v>45992</v>
      </c>
      <c r="K142" s="262">
        <v>45993</v>
      </c>
      <c r="L142" s="4">
        <v>149</v>
      </c>
      <c r="N142" s="4">
        <f t="shared" si="3"/>
        <v>401002</v>
      </c>
      <c r="O142" s="4">
        <v>37</v>
      </c>
    </row>
    <row r="143" spans="2:15" x14ac:dyDescent="0.25">
      <c r="B143" s="171">
        <v>45659</v>
      </c>
      <c r="C143" s="4" t="s">
        <v>74</v>
      </c>
      <c r="D143" s="4">
        <v>401003</v>
      </c>
      <c r="E143" s="4" t="s">
        <v>608</v>
      </c>
      <c r="F143" s="4">
        <v>201</v>
      </c>
      <c r="G143" s="4">
        <v>11</v>
      </c>
      <c r="H143" s="337">
        <v>20</v>
      </c>
      <c r="I143" s="4">
        <v>256882</v>
      </c>
      <c r="J143" s="262">
        <v>45993</v>
      </c>
      <c r="K143" s="262">
        <v>45995</v>
      </c>
      <c r="L143" s="4">
        <v>149</v>
      </c>
      <c r="N143" s="4">
        <f t="shared" si="3"/>
        <v>401003</v>
      </c>
    </row>
    <row r="144" spans="2:15" x14ac:dyDescent="0.25">
      <c r="B144" s="171">
        <v>45996</v>
      </c>
      <c r="C144" s="13" t="s">
        <v>562</v>
      </c>
      <c r="D144" s="13" t="s">
        <v>630</v>
      </c>
      <c r="E144" s="13" t="s">
        <v>562</v>
      </c>
      <c r="H144" s="337">
        <v>18.5</v>
      </c>
      <c r="I144" s="4">
        <v>256928</v>
      </c>
      <c r="J144" s="262">
        <v>45996</v>
      </c>
      <c r="K144" s="262">
        <v>45997</v>
      </c>
      <c r="L144" s="4">
        <v>55</v>
      </c>
      <c r="N144" s="4" t="str">
        <f t="shared" si="3"/>
        <v>610503D</v>
      </c>
      <c r="O144" s="4">
        <v>127</v>
      </c>
    </row>
    <row r="145" spans="2:19" x14ac:dyDescent="0.25">
      <c r="B145" s="171">
        <v>45996</v>
      </c>
      <c r="C145" s="4" t="s">
        <v>21</v>
      </c>
      <c r="D145" s="4">
        <v>610503</v>
      </c>
      <c r="E145" s="4" t="s">
        <v>608</v>
      </c>
      <c r="F145" s="4">
        <v>60</v>
      </c>
      <c r="G145" s="4">
        <v>12</v>
      </c>
      <c r="H145" s="337">
        <v>20</v>
      </c>
      <c r="I145" s="4">
        <v>256976</v>
      </c>
      <c r="J145" s="262">
        <v>45999</v>
      </c>
      <c r="K145" s="262">
        <v>46000</v>
      </c>
      <c r="L145" s="4">
        <v>125</v>
      </c>
      <c r="N145" s="4">
        <f t="shared" si="3"/>
        <v>610503</v>
      </c>
      <c r="O145" s="4">
        <v>55</v>
      </c>
    </row>
    <row r="146" spans="2:19" x14ac:dyDescent="0.25">
      <c r="B146" s="171">
        <v>46002</v>
      </c>
      <c r="C146" s="4" t="s">
        <v>348</v>
      </c>
      <c r="D146" s="4">
        <v>711201</v>
      </c>
      <c r="E146" s="4" t="s">
        <v>609</v>
      </c>
      <c r="F146" s="4">
        <v>142</v>
      </c>
      <c r="G146" s="4">
        <v>2</v>
      </c>
      <c r="H146" s="337">
        <v>15</v>
      </c>
      <c r="I146" s="4">
        <v>257029</v>
      </c>
      <c r="J146" s="262">
        <v>46002</v>
      </c>
      <c r="K146" s="262">
        <v>46003</v>
      </c>
      <c r="L146" s="4">
        <v>102</v>
      </c>
      <c r="N146" s="4">
        <f t="shared" si="3"/>
        <v>711201</v>
      </c>
      <c r="O146" s="4" t="s">
        <v>628</v>
      </c>
    </row>
    <row r="147" spans="2:19" x14ac:dyDescent="0.25">
      <c r="B147" s="171">
        <v>46003</v>
      </c>
      <c r="C147" s="4" t="s">
        <v>348</v>
      </c>
      <c r="D147" s="4">
        <v>711205</v>
      </c>
      <c r="E147" s="4" t="s">
        <v>609</v>
      </c>
      <c r="F147" s="4">
        <v>143</v>
      </c>
      <c r="G147" s="4">
        <v>2</v>
      </c>
      <c r="H147" s="337">
        <v>15</v>
      </c>
      <c r="I147" s="4">
        <v>257046</v>
      </c>
      <c r="J147" s="262">
        <v>46003</v>
      </c>
      <c r="K147" s="262">
        <v>46004</v>
      </c>
      <c r="L147" s="4">
        <v>110</v>
      </c>
      <c r="N147" s="4">
        <f t="shared" si="3"/>
        <v>711205</v>
      </c>
      <c r="O147" s="4" t="s">
        <v>628</v>
      </c>
    </row>
    <row r="148" spans="2:19" x14ac:dyDescent="0.25">
      <c r="B148" s="171">
        <v>46004</v>
      </c>
      <c r="C148" s="4" t="s">
        <v>348</v>
      </c>
      <c r="D148" s="4">
        <v>711203</v>
      </c>
      <c r="E148" s="4" t="s">
        <v>609</v>
      </c>
      <c r="F148" s="4">
        <v>144</v>
      </c>
      <c r="G148" s="4">
        <v>2</v>
      </c>
      <c r="H148" s="337">
        <v>15</v>
      </c>
      <c r="I148" s="4">
        <v>257079</v>
      </c>
      <c r="J148" s="262">
        <v>46004</v>
      </c>
      <c r="K148" s="262">
        <v>46005</v>
      </c>
      <c r="L148" s="4">
        <v>130</v>
      </c>
      <c r="N148" s="4">
        <f t="shared" si="3"/>
        <v>711203</v>
      </c>
      <c r="O148" s="4" t="s">
        <v>628</v>
      </c>
    </row>
    <row r="149" spans="2:19" x14ac:dyDescent="0.25">
      <c r="B149" s="171">
        <v>46004</v>
      </c>
      <c r="C149" s="4" t="s">
        <v>74</v>
      </c>
      <c r="D149" s="4">
        <v>401203</v>
      </c>
      <c r="E149" s="4" t="s">
        <v>608</v>
      </c>
      <c r="F149" s="4">
        <v>202</v>
      </c>
      <c r="G149" s="4">
        <v>12</v>
      </c>
      <c r="H149" s="337">
        <v>14</v>
      </c>
      <c r="I149" s="4">
        <v>257080</v>
      </c>
      <c r="J149" s="262">
        <v>46004</v>
      </c>
      <c r="K149" s="262">
        <v>46005</v>
      </c>
      <c r="L149" s="4">
        <v>128</v>
      </c>
      <c r="N149" s="4">
        <f t="shared" si="3"/>
        <v>401203</v>
      </c>
      <c r="O149" s="4">
        <v>55</v>
      </c>
    </row>
    <row r="150" spans="2:19" x14ac:dyDescent="0.25">
      <c r="B150" s="171">
        <v>46005</v>
      </c>
      <c r="C150" s="4" t="s">
        <v>74</v>
      </c>
      <c r="D150" s="4">
        <v>401202</v>
      </c>
      <c r="E150" s="4" t="s">
        <v>608</v>
      </c>
      <c r="F150" s="4">
        <v>203</v>
      </c>
      <c r="G150" s="4">
        <v>12</v>
      </c>
      <c r="H150" s="337">
        <v>14</v>
      </c>
      <c r="I150" s="4">
        <v>257095</v>
      </c>
      <c r="J150" s="262">
        <v>46005</v>
      </c>
      <c r="K150" s="262">
        <v>46006</v>
      </c>
      <c r="L150" s="4">
        <v>110</v>
      </c>
      <c r="N150" s="4">
        <f t="shared" si="3"/>
        <v>401202</v>
      </c>
    </row>
    <row r="151" spans="2:19" x14ac:dyDescent="0.25">
      <c r="B151" s="171">
        <v>46005</v>
      </c>
      <c r="C151" s="4" t="s">
        <v>108</v>
      </c>
      <c r="D151" s="4">
        <v>701201</v>
      </c>
      <c r="E151" s="4" t="s">
        <v>609</v>
      </c>
      <c r="F151" s="4">
        <v>145</v>
      </c>
      <c r="G151" s="4">
        <v>2</v>
      </c>
      <c r="H151" s="337">
        <v>10</v>
      </c>
      <c r="I151" s="4">
        <v>257096</v>
      </c>
      <c r="J151" s="262">
        <v>46005</v>
      </c>
      <c r="K151" s="262">
        <v>46006</v>
      </c>
      <c r="L151" s="4">
        <v>46</v>
      </c>
      <c r="N151" s="4">
        <f t="shared" si="3"/>
        <v>701201</v>
      </c>
    </row>
    <row r="152" spans="2:19" x14ac:dyDescent="0.25">
      <c r="B152" s="171">
        <v>46006</v>
      </c>
      <c r="C152" s="4" t="s">
        <v>74</v>
      </c>
      <c r="D152" s="4">
        <v>401206</v>
      </c>
      <c r="E152" s="4" t="s">
        <v>608</v>
      </c>
      <c r="F152" s="4">
        <v>204</v>
      </c>
      <c r="G152" s="4">
        <v>12</v>
      </c>
      <c r="H152" s="337">
        <v>24</v>
      </c>
      <c r="I152" s="4">
        <v>257126</v>
      </c>
      <c r="J152" s="262">
        <v>46006</v>
      </c>
      <c r="K152" s="262">
        <v>46007</v>
      </c>
      <c r="L152" s="4">
        <v>140</v>
      </c>
      <c r="N152" s="4">
        <f t="shared" si="3"/>
        <v>401206</v>
      </c>
      <c r="O152" s="4">
        <v>158</v>
      </c>
    </row>
    <row r="153" spans="2:19" x14ac:dyDescent="0.25">
      <c r="B153" s="171">
        <v>46007</v>
      </c>
      <c r="C153" s="4" t="s">
        <v>108</v>
      </c>
      <c r="D153" s="4">
        <v>701203</v>
      </c>
      <c r="E153" s="4" t="s">
        <v>609</v>
      </c>
      <c r="F153" s="4">
        <v>146</v>
      </c>
      <c r="G153" s="4">
        <v>2</v>
      </c>
      <c r="H153" s="337">
        <v>5.2</v>
      </c>
      <c r="I153" s="4">
        <v>257140</v>
      </c>
      <c r="J153" s="262">
        <v>46007</v>
      </c>
      <c r="K153" s="262">
        <v>46009</v>
      </c>
      <c r="L153" s="4">
        <v>93</v>
      </c>
      <c r="N153" s="4">
        <f t="shared" si="3"/>
        <v>701203</v>
      </c>
      <c r="O153" s="4" t="s">
        <v>628</v>
      </c>
    </row>
    <row r="154" spans="2:19" x14ac:dyDescent="0.25">
      <c r="B154" s="171">
        <v>46007</v>
      </c>
      <c r="C154" s="4" t="s">
        <v>74</v>
      </c>
      <c r="D154" s="4">
        <v>401205</v>
      </c>
      <c r="E154" s="4" t="s">
        <v>608</v>
      </c>
      <c r="F154" s="4">
        <v>205</v>
      </c>
      <c r="G154" s="4">
        <v>12</v>
      </c>
      <c r="H154" s="337">
        <v>12</v>
      </c>
      <c r="I154" s="4">
        <v>257177</v>
      </c>
      <c r="J154" s="262">
        <v>46010</v>
      </c>
      <c r="K154" s="262">
        <v>46010</v>
      </c>
      <c r="L154" s="13">
        <v>75</v>
      </c>
      <c r="N154" s="4">
        <f t="shared" si="3"/>
        <v>401205</v>
      </c>
      <c r="O154" s="4" t="s">
        <v>628</v>
      </c>
      <c r="S154" s="4" t="s">
        <v>631</v>
      </c>
    </row>
    <row r="155" spans="2:19" x14ac:dyDescent="0.25">
      <c r="B155" s="171">
        <v>46009</v>
      </c>
      <c r="C155" s="4" t="s">
        <v>74</v>
      </c>
      <c r="D155" s="4">
        <v>401204</v>
      </c>
      <c r="E155" s="4" t="s">
        <v>608</v>
      </c>
      <c r="F155" s="322">
        <v>206</v>
      </c>
      <c r="G155" s="4">
        <v>12</v>
      </c>
      <c r="H155" s="337">
        <v>12</v>
      </c>
      <c r="I155" s="4">
        <v>257179</v>
      </c>
      <c r="J155" s="262">
        <v>46010</v>
      </c>
      <c r="K155" s="262">
        <v>46010</v>
      </c>
      <c r="L155" s="13">
        <v>96</v>
      </c>
      <c r="N155" s="4">
        <f t="shared" si="3"/>
        <v>401204</v>
      </c>
      <c r="O155" s="4" t="s">
        <v>628</v>
      </c>
      <c r="S155" s="4" t="s">
        <v>631</v>
      </c>
    </row>
    <row r="156" spans="2:19" x14ac:dyDescent="0.25">
      <c r="B156" s="171">
        <v>46009</v>
      </c>
      <c r="C156" s="4" t="s">
        <v>74</v>
      </c>
      <c r="D156" s="4">
        <v>401201</v>
      </c>
      <c r="E156" s="4" t="s">
        <v>608</v>
      </c>
      <c r="F156" s="322">
        <v>207</v>
      </c>
      <c r="G156" s="4">
        <v>12</v>
      </c>
      <c r="H156" s="337">
        <v>16.3</v>
      </c>
      <c r="I156" s="4">
        <v>257178</v>
      </c>
      <c r="J156" s="262">
        <v>46010</v>
      </c>
      <c r="K156" s="262">
        <v>46010</v>
      </c>
      <c r="L156" s="13">
        <v>110</v>
      </c>
      <c r="N156" s="4">
        <f t="shared" si="3"/>
        <v>401201</v>
      </c>
      <c r="O156" s="4">
        <v>60</v>
      </c>
      <c r="S156" s="4" t="s">
        <v>631</v>
      </c>
    </row>
    <row r="157" spans="2:19" x14ac:dyDescent="0.25">
      <c r="B157" s="171">
        <v>46009</v>
      </c>
      <c r="C157" s="4" t="s">
        <v>348</v>
      </c>
      <c r="D157" s="68">
        <v>711204</v>
      </c>
      <c r="E157" s="4" t="s">
        <v>609</v>
      </c>
      <c r="F157" s="68">
        <v>147</v>
      </c>
      <c r="G157" s="68">
        <v>2</v>
      </c>
      <c r="H157" s="338">
        <v>15</v>
      </c>
      <c r="I157" s="4">
        <v>257158</v>
      </c>
      <c r="J157" s="262">
        <v>46009</v>
      </c>
      <c r="K157" s="262">
        <v>46010</v>
      </c>
      <c r="L157" s="4">
        <v>125</v>
      </c>
      <c r="N157" s="4">
        <f t="shared" si="3"/>
        <v>711204</v>
      </c>
    </row>
    <row r="158" spans="2:19" x14ac:dyDescent="0.25">
      <c r="B158" s="171">
        <v>46009</v>
      </c>
      <c r="C158" s="4" t="s">
        <v>348</v>
      </c>
      <c r="D158" s="68">
        <v>711202</v>
      </c>
      <c r="E158" s="4" t="s">
        <v>609</v>
      </c>
      <c r="F158" s="68">
        <v>148</v>
      </c>
      <c r="G158" s="68">
        <v>2</v>
      </c>
      <c r="H158" s="338">
        <v>15</v>
      </c>
      <c r="I158" s="4">
        <v>257159</v>
      </c>
      <c r="J158" s="262">
        <v>46009</v>
      </c>
      <c r="K158" s="262">
        <v>46010</v>
      </c>
      <c r="L158" s="4">
        <v>98</v>
      </c>
      <c r="N158" s="4">
        <f t="shared" si="3"/>
        <v>711202</v>
      </c>
      <c r="O158" s="4">
        <v>8</v>
      </c>
    </row>
    <row r="159" spans="2:19" x14ac:dyDescent="0.25">
      <c r="B159" s="171">
        <v>46011</v>
      </c>
      <c r="C159" s="4" t="s">
        <v>108</v>
      </c>
      <c r="D159" s="68">
        <v>701202</v>
      </c>
      <c r="E159" s="4" t="s">
        <v>609</v>
      </c>
      <c r="F159" s="68">
        <v>150</v>
      </c>
      <c r="G159" s="68">
        <v>2</v>
      </c>
      <c r="H159" s="338">
        <v>5.2</v>
      </c>
      <c r="I159" s="4">
        <v>257304</v>
      </c>
      <c r="J159" s="262">
        <v>46013</v>
      </c>
      <c r="K159" s="262">
        <v>46013</v>
      </c>
      <c r="L159" s="4">
        <v>8</v>
      </c>
      <c r="N159" s="4">
        <f t="shared" si="3"/>
        <v>701202</v>
      </c>
    </row>
    <row r="160" spans="2:19" x14ac:dyDescent="0.25">
      <c r="B160" s="171">
        <v>46012</v>
      </c>
      <c r="C160" s="4" t="s">
        <v>80</v>
      </c>
      <c r="D160" s="68">
        <v>411201</v>
      </c>
      <c r="E160" s="4" t="s">
        <v>609</v>
      </c>
      <c r="F160" s="68">
        <v>151</v>
      </c>
      <c r="G160" s="68">
        <v>2</v>
      </c>
      <c r="H160" s="338">
        <v>11</v>
      </c>
      <c r="I160" s="4">
        <v>257298</v>
      </c>
      <c r="J160" s="262">
        <v>46013</v>
      </c>
      <c r="K160" s="262">
        <v>46013</v>
      </c>
      <c r="L160" s="4">
        <v>92</v>
      </c>
      <c r="N160" s="4">
        <f t="shared" ref="N160:N171" si="4">D160</f>
        <v>411201</v>
      </c>
    </row>
    <row r="161" spans="2:14" x14ac:dyDescent="0.25">
      <c r="B161" s="171">
        <v>46013</v>
      </c>
      <c r="C161" s="4" t="s">
        <v>108</v>
      </c>
      <c r="D161" s="68" t="s">
        <v>632</v>
      </c>
      <c r="E161" s="4" t="s">
        <v>609</v>
      </c>
      <c r="F161" s="68">
        <v>153</v>
      </c>
      <c r="G161" s="68">
        <v>2</v>
      </c>
      <c r="H161" s="338">
        <v>5.2</v>
      </c>
      <c r="I161" s="4">
        <v>257304</v>
      </c>
      <c r="J161" s="262">
        <v>46013</v>
      </c>
      <c r="K161" s="262">
        <v>46013</v>
      </c>
      <c r="L161" s="4">
        <v>12</v>
      </c>
      <c r="N161" s="4" t="str">
        <f t="shared" si="4"/>
        <v>701202S</v>
      </c>
    </row>
    <row r="162" spans="2:14" x14ac:dyDescent="0.25">
      <c r="B162" s="171">
        <v>46013</v>
      </c>
      <c r="C162" s="4" t="s">
        <v>348</v>
      </c>
      <c r="D162" s="68">
        <v>711210</v>
      </c>
      <c r="E162" s="4" t="s">
        <v>609</v>
      </c>
      <c r="F162" s="68">
        <v>154</v>
      </c>
      <c r="G162" s="68">
        <v>1</v>
      </c>
      <c r="H162" s="338">
        <v>15</v>
      </c>
      <c r="I162" s="4">
        <v>257339</v>
      </c>
      <c r="J162" s="262">
        <v>46014</v>
      </c>
      <c r="K162" s="262">
        <v>46016</v>
      </c>
      <c r="L162" s="4">
        <v>131</v>
      </c>
      <c r="N162" s="4">
        <f t="shared" si="4"/>
        <v>711210</v>
      </c>
    </row>
    <row r="163" spans="2:14" x14ac:dyDescent="0.25">
      <c r="B163" s="171">
        <v>46025</v>
      </c>
      <c r="C163" s="4" t="s">
        <v>74</v>
      </c>
      <c r="D163" s="4">
        <v>401216</v>
      </c>
      <c r="E163" s="4" t="s">
        <v>608</v>
      </c>
      <c r="F163" s="322">
        <v>208</v>
      </c>
      <c r="G163" s="4">
        <v>12</v>
      </c>
      <c r="H163" s="337">
        <v>22.3</v>
      </c>
      <c r="I163" s="4">
        <v>260083</v>
      </c>
      <c r="J163" s="262">
        <v>46026</v>
      </c>
      <c r="K163" s="262">
        <v>46027</v>
      </c>
      <c r="L163" s="4">
        <v>91</v>
      </c>
      <c r="N163" s="4">
        <f t="shared" si="4"/>
        <v>401216</v>
      </c>
    </row>
    <row r="164" spans="2:14" x14ac:dyDescent="0.25">
      <c r="B164" s="171">
        <v>46013</v>
      </c>
      <c r="C164" s="4" t="s">
        <v>74</v>
      </c>
      <c r="D164" s="22">
        <v>401206</v>
      </c>
      <c r="E164" s="22" t="s">
        <v>562</v>
      </c>
      <c r="F164" s="322"/>
      <c r="H164" s="337">
        <v>22</v>
      </c>
      <c r="I164" s="4">
        <v>257324</v>
      </c>
      <c r="J164" s="262">
        <v>46014</v>
      </c>
      <c r="K164" s="262">
        <v>46014</v>
      </c>
      <c r="L164" s="4">
        <v>102</v>
      </c>
      <c r="N164" s="4">
        <f t="shared" si="4"/>
        <v>401206</v>
      </c>
    </row>
    <row r="165" spans="2:14" x14ac:dyDescent="0.25">
      <c r="B165" s="171">
        <v>46014</v>
      </c>
      <c r="C165" s="4" t="s">
        <v>74</v>
      </c>
      <c r="D165" s="4">
        <v>401214</v>
      </c>
      <c r="E165" s="4" t="s">
        <v>608</v>
      </c>
      <c r="F165" s="322">
        <v>209</v>
      </c>
      <c r="G165" s="4">
        <v>12</v>
      </c>
      <c r="H165" s="337">
        <v>22.3</v>
      </c>
      <c r="I165" s="4">
        <v>257338</v>
      </c>
      <c r="J165" s="262">
        <v>46014</v>
      </c>
      <c r="K165" s="262">
        <v>46016</v>
      </c>
      <c r="L165" s="4">
        <v>115</v>
      </c>
      <c r="N165" s="4">
        <f t="shared" si="4"/>
        <v>401214</v>
      </c>
    </row>
    <row r="166" spans="2:14" x14ac:dyDescent="0.25">
      <c r="B166" s="171">
        <v>46014</v>
      </c>
      <c r="C166" s="4" t="s">
        <v>348</v>
      </c>
      <c r="D166" s="68">
        <v>711209</v>
      </c>
      <c r="E166" s="4" t="s">
        <v>609</v>
      </c>
      <c r="F166" s="68">
        <v>155</v>
      </c>
      <c r="G166" s="68">
        <v>2</v>
      </c>
      <c r="H166" s="338">
        <v>15</v>
      </c>
      <c r="I166" s="4">
        <v>257340</v>
      </c>
      <c r="J166" s="262">
        <v>46014</v>
      </c>
      <c r="K166" s="262">
        <v>46016</v>
      </c>
      <c r="L166" s="4">
        <v>130</v>
      </c>
      <c r="N166" s="4">
        <f t="shared" si="4"/>
        <v>711209</v>
      </c>
    </row>
    <row r="167" spans="2:14" x14ac:dyDescent="0.25">
      <c r="B167" s="171">
        <v>46016</v>
      </c>
      <c r="C167" s="4" t="s">
        <v>57</v>
      </c>
      <c r="D167" s="68">
        <v>651204</v>
      </c>
      <c r="E167" s="4" t="s">
        <v>609</v>
      </c>
      <c r="F167" s="68">
        <v>156</v>
      </c>
      <c r="G167" s="68">
        <v>1</v>
      </c>
      <c r="H167" s="338">
        <v>17.5</v>
      </c>
      <c r="I167" s="4">
        <v>257358</v>
      </c>
      <c r="J167" s="262">
        <v>46016</v>
      </c>
      <c r="K167" s="262">
        <v>46017</v>
      </c>
      <c r="L167" s="4">
        <v>208</v>
      </c>
      <c r="N167" s="4">
        <f t="shared" si="4"/>
        <v>651204</v>
      </c>
    </row>
    <row r="168" spans="2:14" x14ac:dyDescent="0.25">
      <c r="B168" s="171">
        <v>46016</v>
      </c>
      <c r="C168" s="4" t="s">
        <v>348</v>
      </c>
      <c r="D168" s="68">
        <v>711207</v>
      </c>
      <c r="E168" s="4" t="s">
        <v>609</v>
      </c>
      <c r="F168" s="68">
        <v>157</v>
      </c>
      <c r="G168" s="68">
        <v>2</v>
      </c>
      <c r="H168" s="338">
        <v>15</v>
      </c>
      <c r="I168" s="4">
        <v>257359</v>
      </c>
      <c r="J168" s="262">
        <v>46016</v>
      </c>
      <c r="K168" s="262">
        <v>46018</v>
      </c>
      <c r="L168" s="4">
        <v>80</v>
      </c>
      <c r="N168" s="4">
        <f t="shared" si="4"/>
        <v>711207</v>
      </c>
    </row>
    <row r="169" spans="2:14" x14ac:dyDescent="0.25">
      <c r="B169" s="171">
        <v>46016</v>
      </c>
      <c r="C169" s="4" t="s">
        <v>348</v>
      </c>
      <c r="D169" s="68">
        <v>711208</v>
      </c>
      <c r="E169" s="4" t="s">
        <v>609</v>
      </c>
      <c r="F169" s="68">
        <v>159</v>
      </c>
      <c r="G169" s="68">
        <v>2</v>
      </c>
      <c r="H169" s="338">
        <v>15</v>
      </c>
      <c r="I169" s="4">
        <v>257360</v>
      </c>
      <c r="J169" s="262">
        <v>46016</v>
      </c>
      <c r="K169" s="262">
        <v>46018</v>
      </c>
      <c r="L169" s="4">
        <v>119</v>
      </c>
      <c r="N169" s="4">
        <f t="shared" si="4"/>
        <v>711208</v>
      </c>
    </row>
    <row r="170" spans="2:14" x14ac:dyDescent="0.25">
      <c r="B170" s="171">
        <v>46017</v>
      </c>
      <c r="C170" s="4" t="s">
        <v>74</v>
      </c>
      <c r="D170" s="4">
        <v>401215</v>
      </c>
      <c r="E170" s="4" t="s">
        <v>608</v>
      </c>
      <c r="F170" s="322">
        <v>210</v>
      </c>
      <c r="G170" s="4">
        <v>12</v>
      </c>
      <c r="H170" s="338">
        <v>22.3</v>
      </c>
      <c r="I170" s="4">
        <v>257393</v>
      </c>
      <c r="J170" s="262">
        <v>46017</v>
      </c>
      <c r="K170" s="262">
        <v>46018</v>
      </c>
      <c r="L170" s="4">
        <v>95</v>
      </c>
      <c r="N170" s="4">
        <f t="shared" si="4"/>
        <v>401215</v>
      </c>
    </row>
    <row r="171" spans="2:14" x14ac:dyDescent="0.25">
      <c r="B171" s="171">
        <v>46017</v>
      </c>
      <c r="C171" s="4" t="s">
        <v>74</v>
      </c>
      <c r="D171" s="4" t="s">
        <v>633</v>
      </c>
      <c r="E171" s="4" t="s">
        <v>608</v>
      </c>
      <c r="F171" s="4">
        <v>211</v>
      </c>
      <c r="G171" s="68">
        <v>12</v>
      </c>
      <c r="H171" s="338">
        <v>22.3</v>
      </c>
      <c r="I171" s="4">
        <v>257392</v>
      </c>
      <c r="J171" s="262">
        <v>46017</v>
      </c>
      <c r="K171" s="262">
        <v>46018</v>
      </c>
      <c r="L171" s="4">
        <v>108</v>
      </c>
      <c r="N171" s="4" t="str">
        <f t="shared" si="4"/>
        <v>401217A</v>
      </c>
    </row>
    <row r="172" spans="2:14" x14ac:dyDescent="0.25">
      <c r="B172" s="171">
        <v>46017</v>
      </c>
      <c r="C172" s="4" t="s">
        <v>57</v>
      </c>
      <c r="D172" s="4">
        <v>651203</v>
      </c>
      <c r="E172" s="4" t="s">
        <v>609</v>
      </c>
      <c r="F172" s="4">
        <v>160</v>
      </c>
      <c r="G172" s="68">
        <v>1</v>
      </c>
      <c r="H172" s="338">
        <v>17.5</v>
      </c>
      <c r="I172" s="4">
        <v>257391</v>
      </c>
      <c r="J172" s="262">
        <v>46017</v>
      </c>
      <c r="K172" s="262">
        <v>46018</v>
      </c>
      <c r="L172" s="4">
        <v>133</v>
      </c>
    </row>
    <row r="173" spans="2:14" x14ac:dyDescent="0.25">
      <c r="B173" s="171">
        <v>46018</v>
      </c>
      <c r="C173" s="4" t="s">
        <v>348</v>
      </c>
      <c r="D173" s="68">
        <v>711206</v>
      </c>
      <c r="E173" s="4" t="s">
        <v>609</v>
      </c>
      <c r="F173" s="4">
        <v>161</v>
      </c>
      <c r="G173" s="68">
        <v>2</v>
      </c>
      <c r="H173" s="338">
        <v>15</v>
      </c>
      <c r="I173" s="4">
        <v>257413</v>
      </c>
      <c r="J173" s="262">
        <v>46018</v>
      </c>
      <c r="K173" s="262">
        <v>46019</v>
      </c>
      <c r="L173" s="4">
        <v>120</v>
      </c>
    </row>
    <row r="174" spans="2:14" x14ac:dyDescent="0.25">
      <c r="B174" s="171">
        <v>46018</v>
      </c>
      <c r="C174" s="4" t="s">
        <v>74</v>
      </c>
      <c r="D174" s="4">
        <v>401208</v>
      </c>
      <c r="E174" s="4" t="s">
        <v>608</v>
      </c>
      <c r="F174" s="4">
        <v>212</v>
      </c>
      <c r="G174" s="68">
        <v>12</v>
      </c>
      <c r="H174" s="338">
        <v>14</v>
      </c>
      <c r="I174" s="4">
        <v>257440</v>
      </c>
      <c r="J174" s="262">
        <v>46385</v>
      </c>
      <c r="K174" s="262">
        <v>46386</v>
      </c>
      <c r="L174" s="4">
        <v>112</v>
      </c>
    </row>
    <row r="175" spans="2:14" x14ac:dyDescent="0.25">
      <c r="B175" s="171">
        <v>46019</v>
      </c>
      <c r="C175" s="4" t="s">
        <v>74</v>
      </c>
      <c r="D175" s="4">
        <v>401211</v>
      </c>
      <c r="E175" s="4" t="s">
        <v>608</v>
      </c>
      <c r="F175" s="4">
        <v>213</v>
      </c>
      <c r="G175" s="68">
        <v>12</v>
      </c>
      <c r="H175" s="338">
        <v>14</v>
      </c>
      <c r="I175" s="4">
        <v>257439</v>
      </c>
      <c r="J175" s="262">
        <v>46385</v>
      </c>
      <c r="K175" s="262">
        <v>46386</v>
      </c>
      <c r="L175" s="4">
        <v>90</v>
      </c>
    </row>
    <row r="176" spans="2:14" x14ac:dyDescent="0.25">
      <c r="B176" s="171">
        <v>46020</v>
      </c>
      <c r="C176" s="4" t="s">
        <v>74</v>
      </c>
      <c r="D176" s="4">
        <v>401213</v>
      </c>
      <c r="E176" s="4" t="s">
        <v>608</v>
      </c>
      <c r="F176" s="4">
        <v>214</v>
      </c>
      <c r="G176" s="68">
        <v>12</v>
      </c>
      <c r="H176" s="338">
        <v>14</v>
      </c>
      <c r="I176" s="4">
        <v>257465</v>
      </c>
      <c r="J176" s="262">
        <v>46385</v>
      </c>
      <c r="K176" s="262">
        <v>46386</v>
      </c>
      <c r="L176" s="4">
        <v>70</v>
      </c>
    </row>
    <row r="177" spans="2:12" x14ac:dyDescent="0.25">
      <c r="B177" s="171">
        <v>46021</v>
      </c>
      <c r="C177" s="4" t="s">
        <v>57</v>
      </c>
      <c r="D177" s="68">
        <v>651201</v>
      </c>
      <c r="E177" s="4" t="s">
        <v>609</v>
      </c>
      <c r="F177" s="68">
        <v>165</v>
      </c>
      <c r="G177" s="68">
        <v>2</v>
      </c>
      <c r="H177" s="338">
        <v>17.5</v>
      </c>
      <c r="I177" s="4">
        <v>257490</v>
      </c>
      <c r="J177" s="262">
        <v>46023</v>
      </c>
      <c r="K177" s="262">
        <v>46023</v>
      </c>
      <c r="L177" s="4">
        <v>117</v>
      </c>
    </row>
    <row r="178" spans="2:12" x14ac:dyDescent="0.25">
      <c r="B178" s="171">
        <v>46023</v>
      </c>
      <c r="C178" s="4" t="s">
        <v>348</v>
      </c>
      <c r="D178" s="68">
        <v>711216</v>
      </c>
      <c r="E178" s="4" t="s">
        <v>609</v>
      </c>
      <c r="F178" s="68">
        <v>166</v>
      </c>
      <c r="G178" s="68">
        <v>2</v>
      </c>
      <c r="H178" s="338">
        <v>11</v>
      </c>
      <c r="I178" s="4">
        <v>260025</v>
      </c>
      <c r="J178" s="262">
        <v>46024</v>
      </c>
      <c r="K178" s="262">
        <v>46024</v>
      </c>
      <c r="L178" s="4">
        <v>60</v>
      </c>
    </row>
    <row r="179" spans="2:12" x14ac:dyDescent="0.25">
      <c r="B179" s="171">
        <v>46023</v>
      </c>
      <c r="C179" s="4" t="s">
        <v>348</v>
      </c>
      <c r="D179" s="68">
        <v>711217</v>
      </c>
      <c r="E179" s="4" t="s">
        <v>609</v>
      </c>
      <c r="F179" s="68">
        <v>167</v>
      </c>
      <c r="G179" s="68">
        <v>2</v>
      </c>
      <c r="H179" s="338">
        <v>13</v>
      </c>
      <c r="I179" s="4">
        <v>260024</v>
      </c>
      <c r="J179" s="262">
        <v>46024</v>
      </c>
      <c r="K179" s="262">
        <v>46024</v>
      </c>
      <c r="L179" s="4">
        <v>96</v>
      </c>
    </row>
    <row r="180" spans="2:12" x14ac:dyDescent="0.25">
      <c r="B180" s="171">
        <v>46023</v>
      </c>
      <c r="C180" s="4" t="s">
        <v>74</v>
      </c>
      <c r="D180" s="4">
        <v>401210</v>
      </c>
      <c r="E180" s="4" t="s">
        <v>608</v>
      </c>
      <c r="F180" s="4">
        <v>215</v>
      </c>
      <c r="G180" s="68">
        <v>12</v>
      </c>
      <c r="H180" s="338">
        <v>14</v>
      </c>
      <c r="I180" s="4">
        <v>260023</v>
      </c>
      <c r="J180" s="262">
        <v>46024</v>
      </c>
      <c r="K180" s="262">
        <v>46024</v>
      </c>
      <c r="L180" s="4">
        <v>68</v>
      </c>
    </row>
    <row r="181" spans="2:12" x14ac:dyDescent="0.25">
      <c r="B181" s="171">
        <v>46023</v>
      </c>
      <c r="C181" s="4" t="s">
        <v>74</v>
      </c>
      <c r="D181" s="4">
        <v>401233</v>
      </c>
      <c r="E181" s="4" t="s">
        <v>608</v>
      </c>
      <c r="F181" s="4">
        <v>216</v>
      </c>
      <c r="G181" s="68">
        <v>12</v>
      </c>
      <c r="H181" s="338">
        <v>11</v>
      </c>
      <c r="I181" s="4">
        <v>260022</v>
      </c>
      <c r="J181" s="262">
        <v>46024</v>
      </c>
      <c r="K181" s="262">
        <v>46024</v>
      </c>
      <c r="L181" s="4">
        <v>50</v>
      </c>
    </row>
    <row r="182" spans="2:12" x14ac:dyDescent="0.25">
      <c r="B182" s="171">
        <v>46024</v>
      </c>
      <c r="C182" s="4" t="s">
        <v>74</v>
      </c>
      <c r="D182" s="4">
        <v>401232</v>
      </c>
      <c r="E182" s="4" t="s">
        <v>608</v>
      </c>
      <c r="F182" s="4">
        <v>218</v>
      </c>
      <c r="G182" s="68">
        <v>12</v>
      </c>
      <c r="H182" s="338">
        <v>11</v>
      </c>
      <c r="I182" s="4">
        <v>260047</v>
      </c>
      <c r="J182" s="262">
        <v>46024</v>
      </c>
      <c r="K182" s="262">
        <v>46024</v>
      </c>
      <c r="L182" s="4">
        <v>51</v>
      </c>
    </row>
    <row r="183" spans="2:12" x14ac:dyDescent="0.25">
      <c r="B183" s="171">
        <v>46024</v>
      </c>
      <c r="C183" s="4" t="s">
        <v>348</v>
      </c>
      <c r="D183" s="68">
        <v>711215</v>
      </c>
      <c r="E183" s="4" t="s">
        <v>609</v>
      </c>
      <c r="F183" s="68">
        <v>168</v>
      </c>
      <c r="G183" s="68">
        <v>2</v>
      </c>
      <c r="H183" s="338">
        <v>14</v>
      </c>
      <c r="I183" s="4">
        <v>260048</v>
      </c>
      <c r="J183" s="262">
        <v>46024</v>
      </c>
      <c r="K183" s="262">
        <v>46025</v>
      </c>
      <c r="L183" s="4">
        <v>90</v>
      </c>
    </row>
    <row r="184" spans="2:12" x14ac:dyDescent="0.25">
      <c r="B184" s="171">
        <v>46025</v>
      </c>
      <c r="C184" s="4" t="s">
        <v>74</v>
      </c>
      <c r="D184" s="4">
        <v>401230</v>
      </c>
      <c r="E184" s="4" t="s">
        <v>608</v>
      </c>
      <c r="F184" s="4">
        <v>219</v>
      </c>
      <c r="G184" s="68">
        <v>12</v>
      </c>
      <c r="H184" s="338">
        <v>11</v>
      </c>
      <c r="I184" s="4">
        <v>260084</v>
      </c>
      <c r="J184" s="262">
        <v>46026</v>
      </c>
      <c r="K184" s="262">
        <v>46027</v>
      </c>
      <c r="L184" s="4">
        <v>35</v>
      </c>
    </row>
    <row r="185" spans="2:12" x14ac:dyDescent="0.25">
      <c r="B185" s="171">
        <v>46025</v>
      </c>
      <c r="C185" s="4" t="s">
        <v>348</v>
      </c>
      <c r="D185" s="68">
        <v>711214</v>
      </c>
      <c r="E185" s="4" t="s">
        <v>609</v>
      </c>
      <c r="F185" s="68">
        <v>169</v>
      </c>
      <c r="G185" s="68">
        <v>2</v>
      </c>
      <c r="H185" s="338">
        <v>24</v>
      </c>
      <c r="I185" s="4">
        <v>260085</v>
      </c>
      <c r="J185" s="262">
        <v>46026</v>
      </c>
      <c r="K185" s="262">
        <v>46027</v>
      </c>
      <c r="L185" s="4">
        <v>220</v>
      </c>
    </row>
    <row r="186" spans="2:12" x14ac:dyDescent="0.25">
      <c r="B186" s="171">
        <v>46026</v>
      </c>
      <c r="C186" s="4" t="s">
        <v>74</v>
      </c>
      <c r="D186" s="4">
        <v>401231</v>
      </c>
      <c r="E186" s="4" t="s">
        <v>608</v>
      </c>
      <c r="F186" s="4">
        <v>220</v>
      </c>
      <c r="G186" s="68">
        <v>12</v>
      </c>
      <c r="H186" s="338">
        <v>11</v>
      </c>
      <c r="I186" s="4">
        <v>260102</v>
      </c>
      <c r="J186" s="262">
        <v>46027</v>
      </c>
      <c r="K186" s="262">
        <v>46027</v>
      </c>
      <c r="L186" s="4">
        <v>45</v>
      </c>
    </row>
    <row r="187" spans="2:12" x14ac:dyDescent="0.25">
      <c r="B187" s="171">
        <v>46026</v>
      </c>
      <c r="C187" s="4" t="s">
        <v>348</v>
      </c>
      <c r="D187" s="68">
        <v>711212</v>
      </c>
      <c r="E187" s="4" t="s">
        <v>609</v>
      </c>
      <c r="F187" s="68">
        <v>170</v>
      </c>
      <c r="G187" s="68">
        <v>2</v>
      </c>
      <c r="H187" s="338">
        <v>24</v>
      </c>
      <c r="I187" s="4">
        <v>260097</v>
      </c>
      <c r="J187" s="262">
        <v>46027</v>
      </c>
      <c r="K187" s="262">
        <v>46027</v>
      </c>
      <c r="L187" s="4">
        <v>135</v>
      </c>
    </row>
    <row r="188" spans="2:12" x14ac:dyDescent="0.25">
      <c r="B188" s="171">
        <v>46026</v>
      </c>
      <c r="C188" s="4" t="s">
        <v>315</v>
      </c>
      <c r="D188" s="68">
        <v>491201</v>
      </c>
      <c r="E188" s="4" t="s">
        <v>609</v>
      </c>
      <c r="F188" s="4">
        <v>171</v>
      </c>
      <c r="G188" s="68">
        <v>2</v>
      </c>
      <c r="H188" s="338">
        <v>5.2</v>
      </c>
      <c r="I188" s="4">
        <v>260134</v>
      </c>
      <c r="J188" s="262">
        <v>46027</v>
      </c>
      <c r="K188" s="262">
        <v>46028</v>
      </c>
      <c r="L188" s="4">
        <v>21</v>
      </c>
    </row>
    <row r="189" spans="2:12" x14ac:dyDescent="0.25">
      <c r="B189" s="171">
        <v>46027</v>
      </c>
      <c r="C189" s="4" t="s">
        <v>634</v>
      </c>
      <c r="D189" s="4">
        <v>361201</v>
      </c>
      <c r="E189" s="4" t="s">
        <v>608</v>
      </c>
      <c r="F189" s="4">
        <v>221</v>
      </c>
      <c r="G189" s="68">
        <v>12</v>
      </c>
      <c r="H189" s="338">
        <v>14</v>
      </c>
      <c r="I189" s="4">
        <v>260133</v>
      </c>
      <c r="J189" s="262">
        <v>46027</v>
      </c>
      <c r="K189" s="262">
        <v>46028</v>
      </c>
      <c r="L189" s="4">
        <v>120</v>
      </c>
    </row>
    <row r="190" spans="2:12" x14ac:dyDescent="0.25">
      <c r="B190" s="171">
        <v>46028</v>
      </c>
      <c r="C190" s="4" t="s">
        <v>315</v>
      </c>
      <c r="D190" s="68">
        <v>491202</v>
      </c>
      <c r="E190" s="4" t="s">
        <v>609</v>
      </c>
      <c r="F190" s="4">
        <v>172</v>
      </c>
      <c r="G190" s="68">
        <v>2</v>
      </c>
      <c r="H190" s="338">
        <v>5.2</v>
      </c>
      <c r="I190" s="4">
        <v>260160</v>
      </c>
      <c r="J190" s="262">
        <v>46028</v>
      </c>
      <c r="K190" s="262">
        <v>46030</v>
      </c>
      <c r="L190" s="4">
        <v>65</v>
      </c>
    </row>
    <row r="191" spans="2:12" x14ac:dyDescent="0.25">
      <c r="B191" s="171">
        <v>46030</v>
      </c>
      <c r="C191" s="4" t="s">
        <v>315</v>
      </c>
      <c r="D191" s="68">
        <v>491203</v>
      </c>
      <c r="E191" s="4" t="s">
        <v>609</v>
      </c>
      <c r="F191" s="4">
        <v>173</v>
      </c>
      <c r="G191" s="68">
        <v>2</v>
      </c>
      <c r="H191" s="338">
        <v>5.2</v>
      </c>
      <c r="I191" s="4">
        <v>260200</v>
      </c>
      <c r="J191" s="262">
        <v>46030</v>
      </c>
      <c r="K191" s="262">
        <v>46031</v>
      </c>
      <c r="L191" s="4">
        <v>20</v>
      </c>
    </row>
    <row r="192" spans="2:12" x14ac:dyDescent="0.25">
      <c r="B192" s="171">
        <v>46030</v>
      </c>
      <c r="C192" s="4" t="s">
        <v>634</v>
      </c>
      <c r="D192" s="4">
        <v>361201</v>
      </c>
      <c r="E192" s="4" t="s">
        <v>608</v>
      </c>
      <c r="F192" s="4">
        <v>222</v>
      </c>
      <c r="G192" s="68">
        <v>12</v>
      </c>
      <c r="H192" s="338">
        <v>14</v>
      </c>
      <c r="I192" s="4">
        <v>260201</v>
      </c>
      <c r="J192" s="262">
        <v>46030</v>
      </c>
      <c r="K192" s="262">
        <v>46031</v>
      </c>
      <c r="L192" s="4">
        <v>105</v>
      </c>
    </row>
    <row r="193" spans="2:12" x14ac:dyDescent="0.25">
      <c r="B193" s="171">
        <v>46031</v>
      </c>
      <c r="C193" s="4" t="s">
        <v>74</v>
      </c>
      <c r="D193" s="4">
        <v>401219</v>
      </c>
      <c r="E193" s="4" t="s">
        <v>608</v>
      </c>
      <c r="F193" s="4">
        <v>223</v>
      </c>
      <c r="G193" s="68">
        <v>12</v>
      </c>
      <c r="H193" s="338">
        <v>18.5</v>
      </c>
      <c r="I193" s="4">
        <v>260213</v>
      </c>
      <c r="J193" s="262">
        <v>46031</v>
      </c>
      <c r="K193" s="262">
        <v>46032</v>
      </c>
      <c r="L193" s="4">
        <v>95</v>
      </c>
    </row>
    <row r="194" spans="2:12" x14ac:dyDescent="0.25">
      <c r="B194" s="171">
        <v>46031</v>
      </c>
      <c r="C194" s="4" t="s">
        <v>74</v>
      </c>
      <c r="D194" s="4">
        <v>401218</v>
      </c>
      <c r="E194" s="4" t="s">
        <v>608</v>
      </c>
      <c r="F194" s="4">
        <v>224</v>
      </c>
      <c r="G194" s="68">
        <v>12</v>
      </c>
      <c r="H194" s="338">
        <v>18.5</v>
      </c>
      <c r="I194" s="4">
        <v>260213</v>
      </c>
      <c r="J194" s="262">
        <v>46031</v>
      </c>
      <c r="K194" s="262">
        <v>46032</v>
      </c>
      <c r="L194" s="4">
        <v>87</v>
      </c>
    </row>
    <row r="195" spans="2:12" x14ac:dyDescent="0.25">
      <c r="B195" s="171">
        <v>46031</v>
      </c>
      <c r="C195" s="4" t="s">
        <v>315</v>
      </c>
      <c r="D195" s="68">
        <v>491204</v>
      </c>
      <c r="E195" s="4" t="s">
        <v>609</v>
      </c>
      <c r="F195" s="4">
        <v>174</v>
      </c>
      <c r="G195" s="68">
        <v>2</v>
      </c>
      <c r="H195" s="338">
        <v>5.2</v>
      </c>
      <c r="I195" s="4">
        <v>260211</v>
      </c>
      <c r="J195" s="262">
        <v>46031</v>
      </c>
      <c r="K195" s="262">
        <v>46032</v>
      </c>
      <c r="L195" s="4">
        <v>21</v>
      </c>
    </row>
    <row r="196" spans="2:12" x14ac:dyDescent="0.25">
      <c r="B196" s="171">
        <v>46032</v>
      </c>
      <c r="C196" s="4" t="s">
        <v>74</v>
      </c>
      <c r="D196" s="4">
        <v>401227</v>
      </c>
      <c r="E196" s="4" t="s">
        <v>608</v>
      </c>
      <c r="F196" s="322">
        <v>225</v>
      </c>
      <c r="G196" s="4">
        <v>12</v>
      </c>
      <c r="H196" s="338">
        <v>13</v>
      </c>
      <c r="I196" s="4">
        <v>260249</v>
      </c>
      <c r="J196" s="262">
        <v>46032</v>
      </c>
      <c r="K196" s="262">
        <v>46033</v>
      </c>
      <c r="L196" s="4">
        <v>57</v>
      </c>
    </row>
    <row r="197" spans="2:12" x14ac:dyDescent="0.25">
      <c r="B197" s="171">
        <v>46033</v>
      </c>
      <c r="C197" s="4" t="s">
        <v>74</v>
      </c>
      <c r="D197" s="4">
        <v>401226</v>
      </c>
      <c r="E197" s="4" t="s">
        <v>608</v>
      </c>
      <c r="F197" s="322">
        <v>226</v>
      </c>
      <c r="G197" s="4">
        <v>12</v>
      </c>
      <c r="H197" s="338">
        <v>13</v>
      </c>
      <c r="I197" s="4">
        <v>260270</v>
      </c>
      <c r="J197" s="262">
        <v>46033</v>
      </c>
      <c r="K197" s="262">
        <v>46034</v>
      </c>
      <c r="L197" s="4">
        <v>70</v>
      </c>
    </row>
    <row r="198" spans="2:12" x14ac:dyDescent="0.25">
      <c r="B198" s="171">
        <v>46033</v>
      </c>
      <c r="C198" s="4" t="s">
        <v>21</v>
      </c>
      <c r="D198" s="4">
        <v>610101</v>
      </c>
      <c r="E198" s="4" t="s">
        <v>608</v>
      </c>
      <c r="F198" s="322">
        <v>227</v>
      </c>
      <c r="G198" s="4">
        <v>11</v>
      </c>
      <c r="H198" s="338">
        <v>22</v>
      </c>
      <c r="I198" s="4">
        <v>260269</v>
      </c>
      <c r="J198" s="262">
        <v>46033</v>
      </c>
      <c r="K198" s="262">
        <v>46034</v>
      </c>
      <c r="L198" s="4">
        <v>110</v>
      </c>
    </row>
    <row r="199" spans="2:12" x14ac:dyDescent="0.25">
      <c r="B199" s="171">
        <v>46034</v>
      </c>
      <c r="C199" s="4" t="s">
        <v>315</v>
      </c>
      <c r="D199" s="68">
        <v>490103</v>
      </c>
      <c r="E199" s="68" t="s">
        <v>609</v>
      </c>
      <c r="F199" s="68">
        <v>177</v>
      </c>
      <c r="G199" s="4">
        <v>2</v>
      </c>
      <c r="H199" s="338">
        <v>14</v>
      </c>
      <c r="I199" s="4">
        <v>260290</v>
      </c>
      <c r="J199" s="262">
        <v>46034</v>
      </c>
      <c r="K199" s="262">
        <v>46037</v>
      </c>
      <c r="L199" s="4">
        <v>68</v>
      </c>
    </row>
    <row r="200" spans="2:12" x14ac:dyDescent="0.25">
      <c r="B200" s="171">
        <v>46034</v>
      </c>
      <c r="C200" s="4" t="s">
        <v>74</v>
      </c>
      <c r="D200" s="4">
        <v>401234</v>
      </c>
      <c r="E200" s="4" t="s">
        <v>608</v>
      </c>
      <c r="F200" s="4">
        <v>228</v>
      </c>
      <c r="G200" s="4">
        <v>12</v>
      </c>
      <c r="H200" s="338">
        <v>16.3</v>
      </c>
      <c r="I200" s="4">
        <v>260283</v>
      </c>
      <c r="J200" s="262">
        <v>46034</v>
      </c>
      <c r="K200" s="262">
        <v>46037</v>
      </c>
      <c r="L200" s="4">
        <v>66</v>
      </c>
    </row>
    <row r="201" spans="2:12" x14ac:dyDescent="0.25">
      <c r="B201" s="171">
        <v>46035</v>
      </c>
      <c r="C201" s="4" t="s">
        <v>634</v>
      </c>
      <c r="D201" s="4">
        <v>361204</v>
      </c>
      <c r="E201" s="4" t="s">
        <v>608</v>
      </c>
      <c r="F201" s="4">
        <v>229</v>
      </c>
      <c r="G201" s="4">
        <v>11</v>
      </c>
      <c r="H201" s="338">
        <v>14</v>
      </c>
      <c r="I201" s="4">
        <v>260320</v>
      </c>
      <c r="J201" s="262">
        <v>46037</v>
      </c>
      <c r="K201" s="262">
        <v>46038</v>
      </c>
      <c r="L201" s="4">
        <v>96</v>
      </c>
    </row>
    <row r="202" spans="2:12" x14ac:dyDescent="0.25">
      <c r="B202" s="171">
        <v>46035</v>
      </c>
      <c r="C202" s="4" t="s">
        <v>315</v>
      </c>
      <c r="D202" s="68">
        <v>490101</v>
      </c>
      <c r="E202" s="68" t="s">
        <v>609</v>
      </c>
      <c r="F202" s="68">
        <v>178</v>
      </c>
      <c r="G202" s="4">
        <v>2</v>
      </c>
      <c r="H202" s="338">
        <v>10</v>
      </c>
      <c r="I202" s="4">
        <v>260310</v>
      </c>
      <c r="J202" s="262">
        <v>46037</v>
      </c>
      <c r="K202" s="262">
        <v>46037</v>
      </c>
      <c r="L202" s="4">
        <v>35</v>
      </c>
    </row>
    <row r="203" spans="2:12" x14ac:dyDescent="0.25">
      <c r="B203" s="171">
        <v>46038</v>
      </c>
      <c r="C203" s="4" t="s">
        <v>315</v>
      </c>
      <c r="D203" s="68">
        <v>490102</v>
      </c>
      <c r="E203" s="68" t="s">
        <v>609</v>
      </c>
      <c r="F203" s="68">
        <v>181</v>
      </c>
      <c r="G203" s="68">
        <v>2</v>
      </c>
      <c r="H203" s="338">
        <v>5.2</v>
      </c>
      <c r="I203" s="4">
        <v>260359</v>
      </c>
      <c r="J203" s="262">
        <v>46039</v>
      </c>
      <c r="K203" s="262">
        <v>46039</v>
      </c>
      <c r="L203" s="4">
        <v>14</v>
      </c>
    </row>
    <row r="204" spans="2:12" x14ac:dyDescent="0.25">
      <c r="B204" s="171">
        <v>46039</v>
      </c>
      <c r="C204" s="4" t="s">
        <v>634</v>
      </c>
      <c r="D204" s="4">
        <v>361203</v>
      </c>
      <c r="E204" s="4" t="s">
        <v>608</v>
      </c>
      <c r="F204" s="319">
        <v>231</v>
      </c>
      <c r="G204" s="68">
        <v>11</v>
      </c>
      <c r="H204" s="338">
        <v>14</v>
      </c>
      <c r="I204" s="4">
        <v>260367</v>
      </c>
      <c r="J204" s="262">
        <v>46039</v>
      </c>
      <c r="K204" s="262">
        <v>46040</v>
      </c>
      <c r="L204" s="4">
        <v>114</v>
      </c>
    </row>
    <row r="205" spans="2:12" x14ac:dyDescent="0.25">
      <c r="B205" s="171">
        <v>46039</v>
      </c>
      <c r="C205" s="4" t="s">
        <v>74</v>
      </c>
      <c r="D205" s="4">
        <v>401224</v>
      </c>
      <c r="E205" s="4" t="s">
        <v>608</v>
      </c>
      <c r="F205" s="319">
        <v>232</v>
      </c>
      <c r="G205" s="68">
        <v>12</v>
      </c>
      <c r="H205" s="338">
        <v>16.3</v>
      </c>
      <c r="I205" s="4">
        <v>260365</v>
      </c>
      <c r="J205" s="262">
        <v>46039</v>
      </c>
      <c r="K205" s="262">
        <v>46040</v>
      </c>
      <c r="L205" s="4">
        <v>68</v>
      </c>
    </row>
    <row r="206" spans="2:12" x14ac:dyDescent="0.25">
      <c r="B206" s="171">
        <v>46039</v>
      </c>
      <c r="C206" s="4" t="s">
        <v>74</v>
      </c>
      <c r="D206" s="4">
        <v>401225</v>
      </c>
      <c r="E206" s="4" t="s">
        <v>608</v>
      </c>
      <c r="F206" s="319">
        <v>233</v>
      </c>
      <c r="G206" s="68">
        <v>11</v>
      </c>
      <c r="H206" s="338">
        <v>14</v>
      </c>
      <c r="I206" s="4">
        <v>260363</v>
      </c>
      <c r="J206" s="262">
        <v>46039</v>
      </c>
      <c r="K206" s="262">
        <v>46040</v>
      </c>
      <c r="L206" s="4">
        <v>80</v>
      </c>
    </row>
    <row r="207" spans="2:12" x14ac:dyDescent="0.25">
      <c r="B207" s="171">
        <v>46039</v>
      </c>
      <c r="C207" s="4" t="s">
        <v>102</v>
      </c>
      <c r="D207" s="4">
        <v>500101</v>
      </c>
      <c r="E207" s="4" t="s">
        <v>608</v>
      </c>
      <c r="F207" s="319">
        <v>234</v>
      </c>
      <c r="G207" s="68">
        <v>12</v>
      </c>
      <c r="H207" s="338">
        <v>14</v>
      </c>
      <c r="I207" s="4">
        <v>260368</v>
      </c>
      <c r="J207" s="262">
        <v>46039</v>
      </c>
      <c r="K207" s="262">
        <v>46040</v>
      </c>
      <c r="L207" s="4">
        <v>131</v>
      </c>
    </row>
    <row r="208" spans="2:12" x14ac:dyDescent="0.25">
      <c r="B208" s="171">
        <v>46039</v>
      </c>
      <c r="C208" s="4" t="s">
        <v>74</v>
      </c>
      <c r="D208" s="4" t="s">
        <v>635</v>
      </c>
      <c r="E208" s="4" t="s">
        <v>608</v>
      </c>
      <c r="F208" s="319">
        <v>235</v>
      </c>
      <c r="G208" s="68">
        <v>11</v>
      </c>
      <c r="H208" s="338">
        <v>14</v>
      </c>
      <c r="I208" s="4">
        <v>260364</v>
      </c>
      <c r="J208" s="262">
        <v>46039</v>
      </c>
      <c r="K208" s="262">
        <v>46040</v>
      </c>
      <c r="L208" s="4">
        <v>105</v>
      </c>
    </row>
    <row r="209" spans="2:12" x14ac:dyDescent="0.25">
      <c r="B209" s="171">
        <v>46039</v>
      </c>
      <c r="C209" s="4" t="s">
        <v>102</v>
      </c>
      <c r="D209" s="4">
        <v>500102</v>
      </c>
      <c r="E209" s="4" t="s">
        <v>608</v>
      </c>
      <c r="F209" s="319">
        <v>236</v>
      </c>
      <c r="G209" s="68">
        <v>12</v>
      </c>
      <c r="H209" s="338">
        <v>14</v>
      </c>
      <c r="I209" s="4">
        <v>260366</v>
      </c>
      <c r="J209" s="262">
        <v>46039</v>
      </c>
      <c r="K209" s="262">
        <v>46040</v>
      </c>
      <c r="L209" s="4">
        <v>106</v>
      </c>
    </row>
    <row r="210" spans="2:12" x14ac:dyDescent="0.25">
      <c r="B210" s="171">
        <v>46039</v>
      </c>
      <c r="C210" s="4" t="s">
        <v>74</v>
      </c>
      <c r="D210" s="4">
        <v>401209</v>
      </c>
      <c r="E210" s="4" t="s">
        <v>608</v>
      </c>
      <c r="F210" s="319">
        <v>237</v>
      </c>
      <c r="G210" s="68">
        <v>11</v>
      </c>
      <c r="H210" s="338">
        <v>14</v>
      </c>
      <c r="I210" s="4">
        <v>260390</v>
      </c>
      <c r="J210" s="262">
        <v>46039</v>
      </c>
      <c r="K210" s="262">
        <v>46040</v>
      </c>
      <c r="L210" s="4">
        <v>85</v>
      </c>
    </row>
    <row r="211" spans="2:12" x14ac:dyDescent="0.25">
      <c r="B211" s="171">
        <v>46039</v>
      </c>
      <c r="C211" s="4" t="s">
        <v>315</v>
      </c>
      <c r="D211" s="68">
        <v>490104</v>
      </c>
      <c r="E211" s="68" t="s">
        <v>609</v>
      </c>
      <c r="F211" s="68">
        <v>182</v>
      </c>
      <c r="G211" s="68">
        <v>2</v>
      </c>
      <c r="H211" s="338">
        <v>14</v>
      </c>
      <c r="I211" s="4">
        <v>260391</v>
      </c>
      <c r="J211" s="262">
        <v>46039</v>
      </c>
      <c r="K211" s="262">
        <v>46040</v>
      </c>
      <c r="L211" s="4">
        <v>89</v>
      </c>
    </row>
    <row r="212" spans="2:12" x14ac:dyDescent="0.25">
      <c r="B212" s="171">
        <v>46040</v>
      </c>
      <c r="C212" s="4" t="s">
        <v>102</v>
      </c>
      <c r="D212" s="4">
        <v>500103</v>
      </c>
      <c r="E212" s="4" t="s">
        <v>608</v>
      </c>
      <c r="F212" s="319">
        <v>238</v>
      </c>
      <c r="G212" s="68">
        <v>12</v>
      </c>
      <c r="H212" s="338">
        <v>14</v>
      </c>
      <c r="I212" s="4">
        <v>260403</v>
      </c>
      <c r="J212" s="262">
        <v>46041</v>
      </c>
      <c r="K212" s="262">
        <v>46041</v>
      </c>
      <c r="L212" s="4">
        <v>91</v>
      </c>
    </row>
    <row r="213" spans="2:12" x14ac:dyDescent="0.25">
      <c r="B213" s="171">
        <v>46042</v>
      </c>
      <c r="C213" s="4" t="s">
        <v>57</v>
      </c>
      <c r="D213" s="4">
        <v>651205</v>
      </c>
      <c r="E213" s="4" t="s">
        <v>609</v>
      </c>
      <c r="F213" s="4">
        <v>183</v>
      </c>
      <c r="G213" s="68">
        <v>2</v>
      </c>
      <c r="H213" s="338">
        <v>17.5</v>
      </c>
      <c r="I213" s="4">
        <v>260426</v>
      </c>
      <c r="J213" s="262">
        <v>46042</v>
      </c>
      <c r="K213" s="262">
        <v>46042</v>
      </c>
      <c r="L213" s="4">
        <v>140</v>
      </c>
    </row>
    <row r="214" spans="2:12" x14ac:dyDescent="0.25">
      <c r="B214" s="171">
        <v>46042</v>
      </c>
      <c r="C214" s="4" t="s">
        <v>57</v>
      </c>
      <c r="D214" s="4">
        <v>651202</v>
      </c>
      <c r="E214" s="4" t="s">
        <v>609</v>
      </c>
      <c r="F214" s="4">
        <v>184</v>
      </c>
      <c r="G214" s="68">
        <v>2</v>
      </c>
      <c r="H214" s="338">
        <v>17.5</v>
      </c>
      <c r="I214" s="4">
        <v>260474</v>
      </c>
      <c r="J214" s="262">
        <v>46044</v>
      </c>
      <c r="K214" s="262">
        <v>46044</v>
      </c>
      <c r="L214" s="4">
        <v>103</v>
      </c>
    </row>
    <row r="215" spans="2:12" x14ac:dyDescent="0.25">
      <c r="B215" s="171">
        <v>46042</v>
      </c>
      <c r="C215" s="4" t="s">
        <v>315</v>
      </c>
      <c r="D215" s="4">
        <v>490113</v>
      </c>
      <c r="E215" s="4" t="s">
        <v>609</v>
      </c>
      <c r="F215" s="4">
        <v>185</v>
      </c>
      <c r="G215" s="68">
        <v>2</v>
      </c>
      <c r="H215" s="338">
        <v>7</v>
      </c>
      <c r="I215" s="4">
        <v>260511</v>
      </c>
      <c r="J215" s="262">
        <v>46044</v>
      </c>
      <c r="K215" s="262">
        <v>46046</v>
      </c>
      <c r="L215" s="4">
        <v>104</v>
      </c>
    </row>
    <row r="216" spans="2:12" x14ac:dyDescent="0.25">
      <c r="B216" s="171">
        <v>46042</v>
      </c>
      <c r="C216" s="4" t="s">
        <v>74</v>
      </c>
      <c r="D216" s="4">
        <v>401222</v>
      </c>
      <c r="E216" s="4" t="s">
        <v>608</v>
      </c>
      <c r="F216" s="4">
        <v>240</v>
      </c>
      <c r="G216" s="68">
        <v>12</v>
      </c>
      <c r="H216" s="338">
        <v>16.3</v>
      </c>
      <c r="I216" s="4">
        <v>260476</v>
      </c>
      <c r="J216" s="262">
        <v>46044</v>
      </c>
      <c r="K216" s="262">
        <v>46044</v>
      </c>
      <c r="L216" s="4">
        <v>110</v>
      </c>
    </row>
    <row r="217" spans="2:12" x14ac:dyDescent="0.25">
      <c r="B217" s="171">
        <v>46042</v>
      </c>
      <c r="C217" s="4" t="s">
        <v>74</v>
      </c>
      <c r="D217" s="4">
        <v>401229</v>
      </c>
      <c r="E217" s="4" t="s">
        <v>608</v>
      </c>
      <c r="F217" s="4">
        <v>241</v>
      </c>
      <c r="G217" s="68">
        <v>11</v>
      </c>
      <c r="H217" s="338">
        <v>13</v>
      </c>
      <c r="I217" s="4">
        <v>260475</v>
      </c>
      <c r="J217" s="262">
        <v>46044</v>
      </c>
      <c r="K217" s="262">
        <v>46044</v>
      </c>
      <c r="L217" s="4">
        <v>74</v>
      </c>
    </row>
    <row r="218" spans="2:12" x14ac:dyDescent="0.25">
      <c r="B218" s="171">
        <v>46044</v>
      </c>
      <c r="C218" s="4" t="s">
        <v>74</v>
      </c>
      <c r="D218" s="4">
        <v>401223</v>
      </c>
      <c r="E218" s="4" t="s">
        <v>608</v>
      </c>
      <c r="F218" s="4">
        <v>242</v>
      </c>
      <c r="G218" s="68">
        <v>12</v>
      </c>
      <c r="H218" s="338">
        <v>16.3</v>
      </c>
      <c r="I218" s="4">
        <v>260515</v>
      </c>
      <c r="J218" s="262">
        <v>46044</v>
      </c>
      <c r="K218" s="262">
        <v>46046</v>
      </c>
      <c r="L218" s="4">
        <v>70</v>
      </c>
    </row>
    <row r="219" spans="2:12" x14ac:dyDescent="0.25">
      <c r="B219" s="171">
        <v>46044</v>
      </c>
      <c r="C219" s="4" t="s">
        <v>48</v>
      </c>
      <c r="D219" s="4">
        <v>850101</v>
      </c>
      <c r="E219" s="4" t="s">
        <v>608</v>
      </c>
      <c r="F219" s="4">
        <v>243</v>
      </c>
      <c r="G219" s="68">
        <v>11</v>
      </c>
      <c r="H219" s="338">
        <v>13</v>
      </c>
      <c r="I219" s="4">
        <v>260513</v>
      </c>
      <c r="J219" s="262">
        <v>46044</v>
      </c>
      <c r="K219" s="262">
        <v>46046</v>
      </c>
      <c r="L219" s="4">
        <v>98</v>
      </c>
    </row>
    <row r="220" spans="2:12" x14ac:dyDescent="0.25">
      <c r="B220" s="171">
        <v>46044</v>
      </c>
      <c r="C220" s="4" t="s">
        <v>74</v>
      </c>
      <c r="D220" s="4">
        <v>401228</v>
      </c>
      <c r="E220" s="4" t="s">
        <v>608</v>
      </c>
      <c r="F220" s="4">
        <v>244</v>
      </c>
      <c r="G220" s="68">
        <v>12</v>
      </c>
      <c r="H220" s="338">
        <v>13</v>
      </c>
      <c r="I220" s="4">
        <v>260514</v>
      </c>
      <c r="J220" s="262">
        <v>46044</v>
      </c>
      <c r="K220" s="262">
        <v>46046</v>
      </c>
      <c r="L220" s="4">
        <v>71</v>
      </c>
    </row>
    <row r="221" spans="2:12" x14ac:dyDescent="0.25">
      <c r="B221" s="171">
        <v>46044</v>
      </c>
      <c r="C221" s="4" t="s">
        <v>48</v>
      </c>
      <c r="D221" s="4">
        <v>850103</v>
      </c>
      <c r="E221" s="4" t="s">
        <v>608</v>
      </c>
      <c r="F221" s="4">
        <v>245</v>
      </c>
      <c r="G221" s="68">
        <v>11</v>
      </c>
      <c r="H221" s="338">
        <v>13</v>
      </c>
      <c r="I221" s="4">
        <v>260512</v>
      </c>
      <c r="J221" s="262">
        <v>46044</v>
      </c>
      <c r="K221" s="262">
        <v>46046</v>
      </c>
      <c r="L221" s="4">
        <v>118</v>
      </c>
    </row>
    <row r="222" spans="2:12" x14ac:dyDescent="0.25">
      <c r="B222" s="171">
        <v>46044</v>
      </c>
      <c r="C222" s="4" t="s">
        <v>315</v>
      </c>
      <c r="D222" s="4">
        <v>490111</v>
      </c>
      <c r="E222" s="4" t="s">
        <v>609</v>
      </c>
      <c r="F222" s="4">
        <v>186</v>
      </c>
      <c r="G222" s="68">
        <v>2</v>
      </c>
      <c r="H222" s="338">
        <v>9</v>
      </c>
      <c r="I222" s="4">
        <v>260503</v>
      </c>
      <c r="J222" s="262">
        <v>46044</v>
      </c>
      <c r="K222" s="262">
        <v>46046</v>
      </c>
      <c r="L222" s="4">
        <v>76</v>
      </c>
    </row>
    <row r="223" spans="2:12" x14ac:dyDescent="0.25">
      <c r="B223" s="171">
        <v>46045</v>
      </c>
      <c r="C223" s="4" t="s">
        <v>315</v>
      </c>
      <c r="D223" s="4">
        <v>490105</v>
      </c>
      <c r="E223" s="4" t="s">
        <v>609</v>
      </c>
      <c r="F223" s="4">
        <v>187</v>
      </c>
      <c r="G223" s="68">
        <v>2</v>
      </c>
      <c r="H223" s="338">
        <v>8</v>
      </c>
      <c r="I223" s="4">
        <v>260591</v>
      </c>
      <c r="J223" s="262">
        <v>46044</v>
      </c>
      <c r="K223" s="262">
        <v>46046</v>
      </c>
      <c r="L223" s="4">
        <v>15</v>
      </c>
    </row>
    <row r="224" spans="2:12" x14ac:dyDescent="0.25">
      <c r="B224" s="171">
        <v>46045</v>
      </c>
      <c r="C224" s="4" t="s">
        <v>74</v>
      </c>
      <c r="D224" s="4">
        <v>401221</v>
      </c>
      <c r="E224" s="4" t="s">
        <v>608</v>
      </c>
      <c r="F224" s="4">
        <v>246</v>
      </c>
      <c r="G224" s="68">
        <v>12</v>
      </c>
      <c r="H224" s="338">
        <v>18.5</v>
      </c>
      <c r="I224" s="4">
        <v>260592</v>
      </c>
      <c r="J224" s="262">
        <v>46045</v>
      </c>
      <c r="K224" s="262">
        <v>46046</v>
      </c>
      <c r="L224" s="4">
        <v>79</v>
      </c>
    </row>
    <row r="225" spans="2:12" x14ac:dyDescent="0.25">
      <c r="B225" s="171">
        <v>46045</v>
      </c>
      <c r="C225" s="4" t="s">
        <v>48</v>
      </c>
      <c r="D225" s="4">
        <v>850102</v>
      </c>
      <c r="E225" s="4" t="s">
        <v>608</v>
      </c>
      <c r="F225" s="4">
        <v>247</v>
      </c>
      <c r="G225" s="68">
        <v>11</v>
      </c>
      <c r="H225" s="338">
        <v>13</v>
      </c>
      <c r="I225" s="4">
        <v>260593</v>
      </c>
      <c r="J225" s="262">
        <v>46045</v>
      </c>
      <c r="K225" s="262">
        <v>46046</v>
      </c>
      <c r="L225" s="4">
        <v>94</v>
      </c>
    </row>
    <row r="226" spans="2:12" x14ac:dyDescent="0.25">
      <c r="B226" s="171">
        <v>46046</v>
      </c>
      <c r="C226" s="4" t="s">
        <v>74</v>
      </c>
      <c r="D226" s="4">
        <v>401220</v>
      </c>
      <c r="E226" s="4" t="s">
        <v>608</v>
      </c>
      <c r="F226" s="4">
        <v>248</v>
      </c>
      <c r="G226" s="68">
        <v>12</v>
      </c>
      <c r="H226" s="338">
        <v>18.5</v>
      </c>
      <c r="I226" s="4">
        <v>260650</v>
      </c>
      <c r="J226" s="262">
        <v>46048</v>
      </c>
      <c r="K226" s="262">
        <v>46048</v>
      </c>
      <c r="L226" s="4">
        <v>70</v>
      </c>
    </row>
    <row r="227" spans="2:12" x14ac:dyDescent="0.25">
      <c r="B227" s="171">
        <v>46046</v>
      </c>
      <c r="C227" s="4" t="s">
        <v>315</v>
      </c>
      <c r="D227" s="68">
        <v>490110</v>
      </c>
      <c r="E227" s="4" t="s">
        <v>609</v>
      </c>
      <c r="F227" s="4">
        <v>188</v>
      </c>
      <c r="G227" s="68">
        <v>2</v>
      </c>
      <c r="H227" s="338">
        <v>5.2</v>
      </c>
      <c r="I227" s="4">
        <v>260616</v>
      </c>
      <c r="J227" s="262">
        <v>46046</v>
      </c>
      <c r="K227" s="262">
        <v>46052</v>
      </c>
      <c r="L227" s="4">
        <v>18</v>
      </c>
    </row>
    <row r="228" spans="2:12" x14ac:dyDescent="0.25">
      <c r="B228" s="171">
        <v>46047</v>
      </c>
      <c r="C228" s="4" t="s">
        <v>315</v>
      </c>
      <c r="D228" s="68">
        <v>490109</v>
      </c>
      <c r="E228" s="4" t="s">
        <v>609</v>
      </c>
      <c r="F228" s="4">
        <v>189</v>
      </c>
      <c r="G228" s="68">
        <v>2</v>
      </c>
      <c r="H228" s="338">
        <v>5.2</v>
      </c>
      <c r="I228" s="4">
        <v>260649</v>
      </c>
      <c r="J228" s="262">
        <v>46048</v>
      </c>
      <c r="K228" s="262">
        <v>46048</v>
      </c>
      <c r="L228" s="4">
        <v>55</v>
      </c>
    </row>
    <row r="229" spans="2:12" x14ac:dyDescent="0.25">
      <c r="B229" s="171">
        <v>46051</v>
      </c>
      <c r="C229" s="4" t="s">
        <v>21</v>
      </c>
      <c r="D229" s="68">
        <v>911201</v>
      </c>
      <c r="E229" s="4" t="s">
        <v>609</v>
      </c>
      <c r="F229" s="4">
        <v>190</v>
      </c>
      <c r="G229" s="68">
        <v>2</v>
      </c>
      <c r="H229" s="338">
        <v>27</v>
      </c>
      <c r="I229" s="4">
        <v>260711</v>
      </c>
      <c r="J229" s="262">
        <v>46051</v>
      </c>
      <c r="K229" s="262">
        <v>46052</v>
      </c>
      <c r="L229" s="4">
        <v>112</v>
      </c>
    </row>
    <row r="230" spans="2:12" x14ac:dyDescent="0.25">
      <c r="B230" s="171">
        <v>46052</v>
      </c>
      <c r="C230" s="4" t="s">
        <v>636</v>
      </c>
      <c r="D230" s="4">
        <v>920104</v>
      </c>
      <c r="E230" s="4" t="s">
        <v>609</v>
      </c>
      <c r="F230" s="4">
        <v>194</v>
      </c>
      <c r="G230" s="68">
        <v>2</v>
      </c>
      <c r="H230" s="338">
        <v>11</v>
      </c>
      <c r="I230" s="4">
        <v>260742</v>
      </c>
      <c r="J230" s="262">
        <v>46052</v>
      </c>
      <c r="K230" s="262">
        <v>46053</v>
      </c>
      <c r="L230" s="4">
        <v>59</v>
      </c>
    </row>
    <row r="231" spans="2:12" x14ac:dyDescent="0.25">
      <c r="B231" s="171">
        <v>46053</v>
      </c>
      <c r="C231" s="4" t="s">
        <v>315</v>
      </c>
      <c r="D231" s="68">
        <v>490107</v>
      </c>
      <c r="E231" s="4" t="s">
        <v>609</v>
      </c>
      <c r="F231" s="4">
        <v>191</v>
      </c>
      <c r="G231" s="68">
        <v>2</v>
      </c>
      <c r="H231" s="338">
        <v>11</v>
      </c>
      <c r="I231" s="4">
        <v>260767</v>
      </c>
      <c r="J231" s="262">
        <v>46053</v>
      </c>
      <c r="K231" s="262">
        <v>46054</v>
      </c>
      <c r="L231" s="4">
        <v>81</v>
      </c>
    </row>
    <row r="232" spans="2:12" x14ac:dyDescent="0.25">
      <c r="B232" s="171">
        <v>46053</v>
      </c>
      <c r="C232" s="4" t="s">
        <v>315</v>
      </c>
      <c r="D232" s="68">
        <v>490108</v>
      </c>
      <c r="E232" s="4" t="s">
        <v>609</v>
      </c>
      <c r="F232" s="4">
        <v>193</v>
      </c>
      <c r="G232" s="68">
        <v>2</v>
      </c>
      <c r="H232" s="338">
        <v>11</v>
      </c>
      <c r="I232" s="4">
        <v>260766</v>
      </c>
      <c r="J232" s="262">
        <v>46053</v>
      </c>
      <c r="K232" s="262">
        <v>46054</v>
      </c>
      <c r="L232" s="4">
        <v>86</v>
      </c>
    </row>
    <row r="233" spans="2:12" x14ac:dyDescent="0.25">
      <c r="B233" s="171">
        <v>46053</v>
      </c>
      <c r="C233" s="4" t="s">
        <v>636</v>
      </c>
      <c r="D233" s="4">
        <v>920103</v>
      </c>
      <c r="E233" s="4" t="s">
        <v>609</v>
      </c>
      <c r="F233" s="4">
        <v>195</v>
      </c>
      <c r="G233" s="68">
        <v>2</v>
      </c>
      <c r="H233" s="338">
        <v>11</v>
      </c>
      <c r="I233" s="4">
        <v>260765</v>
      </c>
      <c r="J233" s="262">
        <v>46053</v>
      </c>
      <c r="K233" s="262">
        <v>46054</v>
      </c>
      <c r="L233" s="4">
        <v>90</v>
      </c>
    </row>
    <row r="234" spans="2:12" x14ac:dyDescent="0.25">
      <c r="B234" s="171">
        <v>46054</v>
      </c>
      <c r="C234" s="4" t="s">
        <v>74</v>
      </c>
      <c r="D234" s="4">
        <v>401207</v>
      </c>
      <c r="E234" s="4" t="s">
        <v>608</v>
      </c>
      <c r="F234" s="4">
        <v>249</v>
      </c>
      <c r="G234" s="68">
        <v>12</v>
      </c>
      <c r="H234" s="338">
        <v>14</v>
      </c>
      <c r="I234" s="4">
        <v>260792</v>
      </c>
      <c r="J234" s="262">
        <v>46055</v>
      </c>
      <c r="K234" s="262">
        <v>46056</v>
      </c>
      <c r="L234" s="4">
        <v>85</v>
      </c>
    </row>
    <row r="235" spans="2:12" x14ac:dyDescent="0.25">
      <c r="B235" s="171">
        <v>46054</v>
      </c>
      <c r="C235" s="4" t="s">
        <v>21</v>
      </c>
      <c r="D235" s="4">
        <v>610104</v>
      </c>
      <c r="E235" s="4" t="s">
        <v>608</v>
      </c>
      <c r="F235" s="4">
        <v>250</v>
      </c>
      <c r="G235" s="68">
        <v>12</v>
      </c>
      <c r="H235" s="338">
        <v>28</v>
      </c>
      <c r="I235" s="4">
        <v>260791</v>
      </c>
      <c r="J235" s="262">
        <v>46055</v>
      </c>
      <c r="K235" s="262">
        <v>46056</v>
      </c>
      <c r="L235" s="4">
        <v>125</v>
      </c>
    </row>
    <row r="236" spans="2:12" x14ac:dyDescent="0.25">
      <c r="B236" s="171">
        <v>46055</v>
      </c>
      <c r="C236" s="4" t="s">
        <v>636</v>
      </c>
      <c r="D236" s="68">
        <v>920101</v>
      </c>
      <c r="E236" s="4" t="s">
        <v>609</v>
      </c>
      <c r="F236" s="4">
        <v>197</v>
      </c>
      <c r="G236" s="68">
        <v>2</v>
      </c>
      <c r="H236" s="338">
        <v>5.2</v>
      </c>
      <c r="I236" s="4">
        <v>260795</v>
      </c>
      <c r="J236" s="262">
        <v>46055</v>
      </c>
      <c r="K236" s="262">
        <v>46056</v>
      </c>
      <c r="L236" s="4">
        <v>15</v>
      </c>
    </row>
    <row r="237" spans="2:12" x14ac:dyDescent="0.25">
      <c r="B237" s="171">
        <v>46056</v>
      </c>
      <c r="C237" s="4" t="s">
        <v>636</v>
      </c>
      <c r="D237" s="68">
        <v>920204</v>
      </c>
      <c r="E237" s="4" t="s">
        <v>609</v>
      </c>
      <c r="F237" s="4">
        <v>198</v>
      </c>
      <c r="G237" s="68">
        <v>2</v>
      </c>
      <c r="H237" s="338">
        <v>11</v>
      </c>
      <c r="I237" s="4">
        <v>260826</v>
      </c>
      <c r="J237" s="262">
        <v>46058</v>
      </c>
      <c r="K237" s="262">
        <v>46058</v>
      </c>
      <c r="L237" s="4">
        <v>50</v>
      </c>
    </row>
    <row r="238" spans="2:12" x14ac:dyDescent="0.25">
      <c r="B238" s="171">
        <v>46056</v>
      </c>
      <c r="C238" s="4" t="s">
        <v>636</v>
      </c>
      <c r="D238" s="68">
        <v>920206</v>
      </c>
      <c r="E238" s="4" t="s">
        <v>609</v>
      </c>
      <c r="F238" s="4">
        <v>199</v>
      </c>
      <c r="G238" s="68">
        <v>2</v>
      </c>
      <c r="H238" s="338">
        <v>10</v>
      </c>
      <c r="I238" s="4">
        <v>260845</v>
      </c>
      <c r="J238" s="262">
        <v>46058</v>
      </c>
      <c r="K238" s="262">
        <v>46059</v>
      </c>
      <c r="L238" s="4">
        <v>60</v>
      </c>
    </row>
    <row r="239" spans="2:12" x14ac:dyDescent="0.25">
      <c r="B239" s="171">
        <v>46059</v>
      </c>
      <c r="C239" s="4" t="s">
        <v>636</v>
      </c>
      <c r="D239" s="68">
        <v>920209</v>
      </c>
      <c r="E239" s="4" t="s">
        <v>609</v>
      </c>
      <c r="F239" s="4">
        <v>200</v>
      </c>
      <c r="G239" s="68">
        <v>2</v>
      </c>
      <c r="H239" s="338">
        <v>10</v>
      </c>
      <c r="I239" s="4">
        <v>260905</v>
      </c>
      <c r="J239" s="262">
        <v>46241</v>
      </c>
      <c r="K239" s="262">
        <v>46061</v>
      </c>
      <c r="L239" s="4">
        <v>90</v>
      </c>
    </row>
    <row r="240" spans="2:12" x14ac:dyDescent="0.25">
      <c r="B240" s="171">
        <v>46059</v>
      </c>
      <c r="C240" s="4" t="s">
        <v>636</v>
      </c>
      <c r="D240" s="4">
        <v>920205</v>
      </c>
      <c r="E240" s="4" t="s">
        <v>609</v>
      </c>
      <c r="F240" s="4">
        <v>201</v>
      </c>
      <c r="G240" s="68">
        <v>2</v>
      </c>
      <c r="H240" s="338">
        <v>11</v>
      </c>
      <c r="I240" s="4">
        <v>260904</v>
      </c>
      <c r="J240" s="262">
        <v>46060</v>
      </c>
      <c r="K240" s="262">
        <v>46061</v>
      </c>
      <c r="L240" s="4">
        <v>70</v>
      </c>
    </row>
    <row r="241" spans="2:13" x14ac:dyDescent="0.25">
      <c r="B241" s="171">
        <v>46061</v>
      </c>
      <c r="C241" s="4" t="s">
        <v>636</v>
      </c>
      <c r="D241" s="4">
        <v>920202</v>
      </c>
      <c r="E241" s="4" t="s">
        <v>609</v>
      </c>
      <c r="F241" s="4">
        <v>202</v>
      </c>
      <c r="G241" s="68">
        <v>2</v>
      </c>
      <c r="H241" s="338">
        <v>14</v>
      </c>
      <c r="I241" s="4">
        <v>260953</v>
      </c>
      <c r="J241" s="262">
        <v>46062</v>
      </c>
      <c r="K241" s="262">
        <v>46063</v>
      </c>
      <c r="L241" s="4">
        <v>65</v>
      </c>
    </row>
    <row r="242" spans="2:13" x14ac:dyDescent="0.25">
      <c r="B242" s="171">
        <v>46061</v>
      </c>
      <c r="C242" s="4" t="s">
        <v>636</v>
      </c>
      <c r="D242" s="4">
        <v>920203</v>
      </c>
      <c r="E242" s="4" t="s">
        <v>609</v>
      </c>
      <c r="F242" s="4">
        <v>203</v>
      </c>
      <c r="G242" s="68">
        <v>2</v>
      </c>
      <c r="H242" s="338">
        <v>14</v>
      </c>
      <c r="I242" s="4">
        <v>260954</v>
      </c>
      <c r="J242" s="262">
        <v>46062</v>
      </c>
      <c r="K242" s="262">
        <v>46063</v>
      </c>
      <c r="L242" s="4">
        <v>100</v>
      </c>
      <c r="M242" s="4">
        <v>117</v>
      </c>
    </row>
    <row r="243" spans="2:13" x14ac:dyDescent="0.25">
      <c r="B243" s="171">
        <v>46063</v>
      </c>
      <c r="C243" s="4" t="s">
        <v>315</v>
      </c>
      <c r="D243" s="4">
        <v>490112</v>
      </c>
      <c r="E243" s="4" t="s">
        <v>609</v>
      </c>
      <c r="F243" s="4">
        <v>204</v>
      </c>
      <c r="G243" s="68">
        <v>2</v>
      </c>
      <c r="H243" s="338">
        <v>9</v>
      </c>
      <c r="I243" s="4">
        <v>260990</v>
      </c>
      <c r="J243" s="262">
        <v>46065</v>
      </c>
      <c r="K243" s="262">
        <v>46065</v>
      </c>
      <c r="L243" s="4">
        <v>26</v>
      </c>
    </row>
    <row r="244" spans="2:13" x14ac:dyDescent="0.25">
      <c r="B244" s="171">
        <v>46063</v>
      </c>
      <c r="C244" s="4" t="s">
        <v>636</v>
      </c>
      <c r="D244" s="68">
        <v>920219</v>
      </c>
      <c r="E244" s="4" t="s">
        <v>609</v>
      </c>
      <c r="F244" s="68">
        <v>205</v>
      </c>
      <c r="G244" s="68">
        <v>2</v>
      </c>
      <c r="H244" s="338">
        <v>9</v>
      </c>
      <c r="I244" s="4">
        <v>260992</v>
      </c>
      <c r="J244" s="262">
        <v>46065</v>
      </c>
      <c r="K244" s="262">
        <v>46065</v>
      </c>
      <c r="L244" s="4">
        <v>100</v>
      </c>
    </row>
    <row r="245" spans="2:13" x14ac:dyDescent="0.25">
      <c r="B245" s="171">
        <v>46065</v>
      </c>
      <c r="C245" s="4" t="s">
        <v>636</v>
      </c>
      <c r="D245" s="68">
        <v>920222</v>
      </c>
      <c r="E245" s="4" t="s">
        <v>609</v>
      </c>
      <c r="F245" s="68">
        <v>206</v>
      </c>
      <c r="G245" s="68">
        <v>2</v>
      </c>
      <c r="H245" s="338">
        <v>14</v>
      </c>
      <c r="I245" s="4">
        <v>2601027</v>
      </c>
      <c r="J245" s="262">
        <v>46066</v>
      </c>
      <c r="K245" s="262">
        <v>46066</v>
      </c>
      <c r="L245" s="4">
        <v>100</v>
      </c>
    </row>
    <row r="246" spans="2:13" x14ac:dyDescent="0.25">
      <c r="B246" s="171">
        <v>46065</v>
      </c>
      <c r="C246" s="4" t="s">
        <v>636</v>
      </c>
      <c r="D246" s="68">
        <v>920223</v>
      </c>
      <c r="E246" s="4" t="s">
        <v>609</v>
      </c>
      <c r="F246" s="68">
        <v>207</v>
      </c>
      <c r="G246" s="68">
        <v>2</v>
      </c>
      <c r="H246" s="338">
        <v>14</v>
      </c>
      <c r="I246" s="4">
        <v>2601028</v>
      </c>
      <c r="J246" s="262">
        <v>46065</v>
      </c>
      <c r="K246" s="262">
        <v>46066</v>
      </c>
      <c r="L246" s="4">
        <v>80</v>
      </c>
    </row>
    <row r="247" spans="2:13" x14ac:dyDescent="0.25">
      <c r="B247" s="171">
        <v>46067</v>
      </c>
      <c r="C247" s="4" t="s">
        <v>636</v>
      </c>
      <c r="D247" s="68">
        <v>920224</v>
      </c>
      <c r="E247" s="4" t="s">
        <v>609</v>
      </c>
      <c r="F247" s="68">
        <v>208</v>
      </c>
      <c r="G247" s="68">
        <v>2</v>
      </c>
      <c r="H247" s="338">
        <v>18.5</v>
      </c>
      <c r="I247" s="4">
        <v>261067</v>
      </c>
      <c r="J247" s="262">
        <v>46067</v>
      </c>
      <c r="K247" s="262">
        <v>46067</v>
      </c>
      <c r="L247" s="4">
        <v>120</v>
      </c>
    </row>
    <row r="248" spans="2:13" x14ac:dyDescent="0.25">
      <c r="B248" s="171">
        <v>46067</v>
      </c>
      <c r="C248" s="4" t="s">
        <v>21</v>
      </c>
      <c r="D248" s="4">
        <v>610105</v>
      </c>
      <c r="E248" s="4" t="s">
        <v>608</v>
      </c>
      <c r="F248" s="4">
        <v>253</v>
      </c>
      <c r="G248" s="68">
        <v>12</v>
      </c>
      <c r="H248" s="338">
        <v>21</v>
      </c>
      <c r="I248" s="4">
        <v>2601068</v>
      </c>
      <c r="J248" s="262">
        <v>46067</v>
      </c>
      <c r="K248" s="262">
        <v>46068</v>
      </c>
      <c r="L248" s="4">
        <v>150</v>
      </c>
    </row>
    <row r="249" spans="2:13" x14ac:dyDescent="0.25">
      <c r="B249" s="171">
        <v>46068</v>
      </c>
      <c r="C249" s="4" t="s">
        <v>636</v>
      </c>
      <c r="D249" s="68">
        <v>920221</v>
      </c>
      <c r="E249" s="4" t="s">
        <v>609</v>
      </c>
      <c r="F249" s="68">
        <v>209</v>
      </c>
      <c r="G249" s="68">
        <v>2</v>
      </c>
      <c r="H249" s="338">
        <v>5.2</v>
      </c>
      <c r="I249" s="4">
        <v>261081</v>
      </c>
      <c r="J249" s="262">
        <v>46070</v>
      </c>
      <c r="K249" s="262">
        <v>46072</v>
      </c>
      <c r="L249" s="4">
        <v>0</v>
      </c>
    </row>
    <row r="250" spans="2:13" x14ac:dyDescent="0.25">
      <c r="B250" s="171">
        <v>46069</v>
      </c>
      <c r="C250" s="4" t="s">
        <v>21</v>
      </c>
      <c r="D250" s="4">
        <v>610201</v>
      </c>
      <c r="E250" s="4" t="s">
        <v>608</v>
      </c>
      <c r="F250" s="4">
        <v>254</v>
      </c>
      <c r="G250" s="68">
        <v>12</v>
      </c>
      <c r="H250" s="338">
        <v>17.5</v>
      </c>
      <c r="I250" s="4">
        <v>261091</v>
      </c>
      <c r="J250" s="262">
        <v>46070</v>
      </c>
      <c r="K250" s="262">
        <v>46072</v>
      </c>
      <c r="L250" s="4">
        <v>120</v>
      </c>
    </row>
    <row r="251" spans="2:13" x14ac:dyDescent="0.25">
      <c r="B251" s="171">
        <v>46070</v>
      </c>
      <c r="C251" s="4" t="s">
        <v>21</v>
      </c>
      <c r="D251" s="4">
        <v>610203</v>
      </c>
      <c r="E251" s="4" t="s">
        <v>608</v>
      </c>
      <c r="F251" s="4">
        <v>255</v>
      </c>
      <c r="G251" s="68">
        <v>12</v>
      </c>
      <c r="H251" s="338">
        <v>17.5</v>
      </c>
      <c r="I251" s="4">
        <v>261122</v>
      </c>
      <c r="J251" s="262">
        <v>46072</v>
      </c>
      <c r="K251" s="262">
        <v>46072</v>
      </c>
      <c r="L251" s="4">
        <v>88</v>
      </c>
    </row>
    <row r="252" spans="2:13" x14ac:dyDescent="0.25">
      <c r="B252" s="171">
        <v>46070</v>
      </c>
      <c r="C252" s="4" t="s">
        <v>636</v>
      </c>
      <c r="D252" s="68">
        <v>920218</v>
      </c>
      <c r="E252" s="4" t="s">
        <v>609</v>
      </c>
      <c r="F252" s="4">
        <v>210</v>
      </c>
      <c r="G252" s="68">
        <v>2</v>
      </c>
      <c r="H252" s="338">
        <v>9</v>
      </c>
      <c r="I252" s="4">
        <v>261117</v>
      </c>
      <c r="J252" s="262">
        <v>46072</v>
      </c>
      <c r="K252" s="262">
        <v>46072</v>
      </c>
      <c r="L252" s="4">
        <v>80</v>
      </c>
    </row>
    <row r="253" spans="2:13" x14ac:dyDescent="0.25">
      <c r="B253" s="171">
        <v>46071</v>
      </c>
      <c r="C253" s="4" t="s">
        <v>636</v>
      </c>
      <c r="D253" s="68">
        <v>920217</v>
      </c>
      <c r="E253" s="4" t="s">
        <v>609</v>
      </c>
      <c r="F253" s="4">
        <v>211</v>
      </c>
      <c r="G253" s="68">
        <v>2</v>
      </c>
      <c r="H253" s="338">
        <v>10</v>
      </c>
      <c r="I253" s="4">
        <v>261126</v>
      </c>
      <c r="J253" s="262">
        <v>46072</v>
      </c>
      <c r="K253" s="262">
        <v>46073</v>
      </c>
      <c r="L253" s="4">
        <v>64</v>
      </c>
    </row>
    <row r="254" spans="2:13" x14ac:dyDescent="0.25">
      <c r="B254" s="171">
        <v>46071</v>
      </c>
      <c r="C254" s="4" t="s">
        <v>636</v>
      </c>
      <c r="D254" s="68">
        <v>920228</v>
      </c>
      <c r="E254" s="4" t="s">
        <v>609</v>
      </c>
      <c r="F254" s="4">
        <v>213</v>
      </c>
      <c r="G254" s="68">
        <v>2</v>
      </c>
      <c r="H254" s="338">
        <v>5.5</v>
      </c>
      <c r="I254" s="4">
        <v>261127</v>
      </c>
      <c r="J254" s="262">
        <v>46072</v>
      </c>
      <c r="K254" s="262">
        <v>46073</v>
      </c>
      <c r="L254" s="4">
        <v>61</v>
      </c>
    </row>
    <row r="255" spans="2:13" x14ac:dyDescent="0.25">
      <c r="B255" s="171">
        <v>46072</v>
      </c>
      <c r="C255" s="4" t="s">
        <v>636</v>
      </c>
      <c r="D255" s="68">
        <v>920220</v>
      </c>
      <c r="E255" s="4" t="s">
        <v>609</v>
      </c>
      <c r="F255" s="4">
        <v>214</v>
      </c>
      <c r="G255" s="68">
        <v>1</v>
      </c>
      <c r="H255" s="338">
        <v>5.2</v>
      </c>
      <c r="I255" s="4">
        <v>261141</v>
      </c>
      <c r="J255" s="262">
        <v>46072</v>
      </c>
      <c r="K255" s="262">
        <v>46073</v>
      </c>
      <c r="L255" s="4">
        <v>78</v>
      </c>
    </row>
    <row r="256" spans="2:13" x14ac:dyDescent="0.25">
      <c r="B256" s="171">
        <v>46073</v>
      </c>
      <c r="C256" s="4" t="s">
        <v>21</v>
      </c>
      <c r="D256" s="4">
        <v>610202</v>
      </c>
      <c r="E256" s="4" t="s">
        <v>608</v>
      </c>
      <c r="F256" s="322">
        <v>256</v>
      </c>
      <c r="G256" s="4">
        <v>12</v>
      </c>
      <c r="H256" s="338">
        <v>17.5</v>
      </c>
      <c r="I256" s="4">
        <v>261155</v>
      </c>
      <c r="J256" s="262">
        <v>46074</v>
      </c>
      <c r="K256" s="262">
        <v>46074</v>
      </c>
      <c r="L256" s="4">
        <v>130</v>
      </c>
    </row>
    <row r="257" spans="2:12" x14ac:dyDescent="0.25">
      <c r="B257" s="171">
        <v>46073</v>
      </c>
      <c r="C257" s="4" t="s">
        <v>636</v>
      </c>
      <c r="D257" s="68">
        <v>920230</v>
      </c>
      <c r="E257" s="4" t="s">
        <v>609</v>
      </c>
      <c r="F257" s="68">
        <v>215</v>
      </c>
      <c r="G257" s="68">
        <v>2</v>
      </c>
      <c r="H257" s="338">
        <v>16.3</v>
      </c>
      <c r="I257" s="4">
        <v>261154</v>
      </c>
      <c r="J257" s="262">
        <v>46074</v>
      </c>
      <c r="K257" s="262">
        <v>46074</v>
      </c>
      <c r="L257" s="4">
        <v>70</v>
      </c>
    </row>
    <row r="258" spans="2:12" x14ac:dyDescent="0.25">
      <c r="B258" s="171">
        <v>46074</v>
      </c>
      <c r="C258" s="4" t="s">
        <v>21</v>
      </c>
      <c r="D258" s="4">
        <v>610204</v>
      </c>
      <c r="E258" s="4" t="s">
        <v>608</v>
      </c>
      <c r="F258" s="322">
        <v>257</v>
      </c>
      <c r="G258" s="4">
        <v>12</v>
      </c>
      <c r="H258" s="338">
        <v>22</v>
      </c>
      <c r="I258" s="4">
        <v>261180</v>
      </c>
      <c r="J258" s="262">
        <v>46075</v>
      </c>
      <c r="K258" s="262">
        <v>46075</v>
      </c>
      <c r="L258" s="4">
        <v>167</v>
      </c>
    </row>
    <row r="259" spans="2:12" x14ac:dyDescent="0.25">
      <c r="B259" s="171">
        <v>46074</v>
      </c>
      <c r="C259" s="4" t="s">
        <v>636</v>
      </c>
      <c r="D259" s="4">
        <v>920227</v>
      </c>
      <c r="E259" s="4" t="s">
        <v>609</v>
      </c>
      <c r="F259" s="4">
        <v>217</v>
      </c>
      <c r="G259" s="68">
        <v>2</v>
      </c>
      <c r="H259" s="338">
        <v>5.5</v>
      </c>
      <c r="I259" s="4">
        <v>261181</v>
      </c>
      <c r="J259" s="262">
        <v>46074</v>
      </c>
      <c r="K259" s="262">
        <v>46075</v>
      </c>
      <c r="L259" s="4">
        <v>46</v>
      </c>
    </row>
    <row r="260" spans="2:12" x14ac:dyDescent="0.25">
      <c r="B260" s="171">
        <v>46075</v>
      </c>
      <c r="C260" s="4" t="s">
        <v>636</v>
      </c>
      <c r="D260" s="4">
        <v>920229</v>
      </c>
      <c r="E260" s="4" t="s">
        <v>609</v>
      </c>
      <c r="F260" s="4">
        <v>217</v>
      </c>
      <c r="G260" s="68">
        <v>2</v>
      </c>
      <c r="H260" s="338">
        <v>5.5</v>
      </c>
      <c r="I260" s="4">
        <v>261209</v>
      </c>
      <c r="J260" s="262">
        <v>46076</v>
      </c>
      <c r="K260" s="262">
        <v>46076</v>
      </c>
      <c r="L260" s="4">
        <v>95</v>
      </c>
    </row>
    <row r="261" spans="2:12" x14ac:dyDescent="0.25">
      <c r="B261" s="171">
        <v>46075</v>
      </c>
      <c r="C261" s="4" t="s">
        <v>21</v>
      </c>
      <c r="D261" s="4">
        <v>610205</v>
      </c>
      <c r="E261" s="4" t="s">
        <v>608</v>
      </c>
      <c r="F261" s="322">
        <v>258</v>
      </c>
      <c r="G261" s="4">
        <v>12</v>
      </c>
      <c r="H261" s="338">
        <v>22</v>
      </c>
      <c r="I261" s="4">
        <v>261210</v>
      </c>
      <c r="J261" s="262">
        <v>46076</v>
      </c>
      <c r="K261" s="262">
        <v>46076</v>
      </c>
      <c r="L261" s="4">
        <v>142</v>
      </c>
    </row>
    <row r="262" spans="2:12" x14ac:dyDescent="0.25">
      <c r="B262" s="171">
        <v>46076</v>
      </c>
      <c r="C262" s="4" t="s">
        <v>21</v>
      </c>
      <c r="D262" s="4">
        <v>610102</v>
      </c>
      <c r="E262" s="4" t="s">
        <v>608</v>
      </c>
      <c r="F262" s="322">
        <v>259</v>
      </c>
      <c r="G262" s="4">
        <v>12</v>
      </c>
      <c r="H262" s="338">
        <v>28</v>
      </c>
      <c r="I262" s="4">
        <v>261219</v>
      </c>
      <c r="J262" s="262">
        <v>46076</v>
      </c>
      <c r="K262" s="262">
        <v>46077</v>
      </c>
      <c r="L262" s="4">
        <v>142</v>
      </c>
    </row>
    <row r="263" spans="2:12" x14ac:dyDescent="0.25">
      <c r="B263" s="171">
        <v>46077</v>
      </c>
      <c r="C263" s="4" t="s">
        <v>636</v>
      </c>
      <c r="D263" s="4">
        <v>920226</v>
      </c>
      <c r="E263" s="4" t="s">
        <v>609</v>
      </c>
      <c r="F263" s="4">
        <v>219</v>
      </c>
      <c r="G263" s="68">
        <v>2</v>
      </c>
      <c r="H263" s="338">
        <v>5.2</v>
      </c>
      <c r="I263" s="4">
        <v>261273</v>
      </c>
      <c r="J263" s="262">
        <v>46079</v>
      </c>
      <c r="K263" s="262">
        <v>46080</v>
      </c>
      <c r="L263" s="4">
        <v>12</v>
      </c>
    </row>
    <row r="264" spans="2:12" x14ac:dyDescent="0.25">
      <c r="B264" s="171">
        <v>46079</v>
      </c>
      <c r="C264" s="4" t="s">
        <v>348</v>
      </c>
      <c r="D264" s="4">
        <v>710202</v>
      </c>
      <c r="E264" s="4" t="s">
        <v>609</v>
      </c>
      <c r="F264" s="4">
        <v>221</v>
      </c>
      <c r="G264" s="68">
        <v>1</v>
      </c>
      <c r="H264" s="338">
        <v>13</v>
      </c>
      <c r="I264" s="4">
        <v>261284</v>
      </c>
      <c r="J264" s="262">
        <v>46079</v>
      </c>
      <c r="K264" s="262">
        <v>46080</v>
      </c>
      <c r="L264" s="4">
        <v>147</v>
      </c>
    </row>
    <row r="265" spans="2:12" x14ac:dyDescent="0.25">
      <c r="B265" s="171">
        <v>46080</v>
      </c>
      <c r="C265" s="4" t="s">
        <v>348</v>
      </c>
      <c r="D265" s="4">
        <v>710203</v>
      </c>
      <c r="E265" s="4" t="s">
        <v>609</v>
      </c>
      <c r="F265" s="4">
        <v>223</v>
      </c>
      <c r="G265" s="68">
        <v>1</v>
      </c>
      <c r="H265" s="338">
        <v>13</v>
      </c>
      <c r="I265" s="4">
        <v>261327</v>
      </c>
      <c r="J265" s="262">
        <v>46080</v>
      </c>
      <c r="K265" s="262">
        <v>46081</v>
      </c>
      <c r="L265" s="4">
        <v>149</v>
      </c>
    </row>
    <row r="266" spans="2:12" x14ac:dyDescent="0.25">
      <c r="B266" s="171">
        <v>46081</v>
      </c>
      <c r="C266" s="4" t="s">
        <v>636</v>
      </c>
      <c r="D266" s="68">
        <v>920207</v>
      </c>
      <c r="E266" s="4" t="s">
        <v>609</v>
      </c>
      <c r="F266" s="4">
        <v>225</v>
      </c>
      <c r="G266" s="68">
        <v>1</v>
      </c>
      <c r="H266" s="338">
        <v>5.2</v>
      </c>
      <c r="I266" s="4">
        <v>261345</v>
      </c>
      <c r="J266" s="262">
        <v>46081</v>
      </c>
      <c r="K266" s="262">
        <v>46082</v>
      </c>
      <c r="L266" s="4">
        <v>7</v>
      </c>
    </row>
    <row r="267" spans="2:12" x14ac:dyDescent="0.25">
      <c r="B267" s="171">
        <v>46082</v>
      </c>
      <c r="C267" s="4" t="s">
        <v>348</v>
      </c>
      <c r="D267" s="68">
        <v>710211</v>
      </c>
      <c r="E267" s="4" t="s">
        <v>609</v>
      </c>
      <c r="F267" s="4">
        <v>227</v>
      </c>
      <c r="G267" s="68">
        <v>1</v>
      </c>
      <c r="H267" s="338">
        <v>15</v>
      </c>
      <c r="I267" s="4">
        <v>261368</v>
      </c>
      <c r="J267" s="262">
        <v>46082</v>
      </c>
      <c r="K267" s="262">
        <v>46083</v>
      </c>
      <c r="L267" s="4">
        <v>128</v>
      </c>
    </row>
    <row r="268" spans="2:12" x14ac:dyDescent="0.25">
      <c r="B268" s="171">
        <v>46082</v>
      </c>
      <c r="C268" s="4" t="s">
        <v>636</v>
      </c>
      <c r="D268" s="4">
        <v>920201</v>
      </c>
      <c r="E268" s="4" t="s">
        <v>609</v>
      </c>
      <c r="F268" s="4">
        <v>228</v>
      </c>
      <c r="G268" s="68">
        <v>2</v>
      </c>
      <c r="H268" s="338">
        <v>5.2</v>
      </c>
      <c r="I268" s="4">
        <v>261376</v>
      </c>
      <c r="J268" s="262">
        <v>46082</v>
      </c>
      <c r="K268" s="262">
        <v>46083</v>
      </c>
      <c r="L268" s="4">
        <v>50</v>
      </c>
    </row>
    <row r="269" spans="2:12" x14ac:dyDescent="0.25">
      <c r="B269" s="171">
        <v>46083</v>
      </c>
      <c r="C269" s="4" t="s">
        <v>348</v>
      </c>
      <c r="D269" s="4">
        <v>710205</v>
      </c>
      <c r="E269" s="4" t="s">
        <v>609</v>
      </c>
      <c r="F269" s="4">
        <v>229</v>
      </c>
      <c r="G269" s="68">
        <v>1</v>
      </c>
      <c r="H269" s="338">
        <v>13</v>
      </c>
      <c r="I269" s="4">
        <v>261382</v>
      </c>
      <c r="J269" s="262">
        <v>46083</v>
      </c>
      <c r="K269" s="262">
        <v>46084</v>
      </c>
      <c r="L269" s="4">
        <v>47</v>
      </c>
    </row>
    <row r="270" spans="2:12" x14ac:dyDescent="0.25">
      <c r="B270" s="171">
        <v>46083</v>
      </c>
      <c r="C270" s="4" t="s">
        <v>48</v>
      </c>
      <c r="D270" s="4">
        <v>850203</v>
      </c>
      <c r="E270" s="4" t="s">
        <v>608</v>
      </c>
      <c r="F270" s="322">
        <v>262</v>
      </c>
      <c r="G270" s="4">
        <v>12</v>
      </c>
      <c r="H270" s="338">
        <v>13</v>
      </c>
      <c r="I270" s="4">
        <v>261400</v>
      </c>
      <c r="J270" s="262">
        <v>46086</v>
      </c>
      <c r="K270" s="262">
        <v>46087</v>
      </c>
      <c r="L270" s="4">
        <v>98</v>
      </c>
    </row>
    <row r="271" spans="2:12" x14ac:dyDescent="0.25">
      <c r="B271" s="171">
        <v>46083</v>
      </c>
      <c r="C271" s="4" t="s">
        <v>48</v>
      </c>
      <c r="D271" s="4">
        <v>850202</v>
      </c>
      <c r="E271" s="4" t="s">
        <v>608</v>
      </c>
      <c r="F271" s="322">
        <v>263</v>
      </c>
      <c r="G271" s="4">
        <v>12</v>
      </c>
      <c r="H271" s="338">
        <v>13</v>
      </c>
      <c r="I271" s="4">
        <v>261401</v>
      </c>
      <c r="J271" s="262">
        <v>46086</v>
      </c>
      <c r="K271" s="262">
        <v>46087</v>
      </c>
      <c r="L271" s="4">
        <v>112</v>
      </c>
    </row>
    <row r="272" spans="2:12" x14ac:dyDescent="0.25">
      <c r="B272" s="171">
        <v>46083</v>
      </c>
      <c r="C272" s="4" t="s">
        <v>48</v>
      </c>
      <c r="D272" s="4" t="s">
        <v>637</v>
      </c>
      <c r="E272" s="4" t="s">
        <v>608</v>
      </c>
      <c r="F272" s="322" t="s">
        <v>638</v>
      </c>
      <c r="G272" s="4">
        <v>8</v>
      </c>
      <c r="H272" s="338">
        <v>13</v>
      </c>
      <c r="I272" s="4">
        <v>261403</v>
      </c>
      <c r="J272" s="262">
        <v>46086</v>
      </c>
      <c r="K272" s="262">
        <v>46087</v>
      </c>
      <c r="L272" s="4" t="s">
        <v>629</v>
      </c>
    </row>
    <row r="273" spans="1:13" x14ac:dyDescent="0.25">
      <c r="B273" s="171">
        <v>46083</v>
      </c>
      <c r="C273" s="4" t="s">
        <v>48</v>
      </c>
      <c r="D273" s="4" t="s">
        <v>639</v>
      </c>
      <c r="E273" s="4" t="s">
        <v>608</v>
      </c>
      <c r="F273" s="322" t="s">
        <v>523</v>
      </c>
      <c r="G273" s="4">
        <v>8</v>
      </c>
      <c r="H273" s="338">
        <v>13</v>
      </c>
      <c r="I273" s="4">
        <v>261402</v>
      </c>
      <c r="J273" s="262">
        <v>46086</v>
      </c>
      <c r="K273" s="262">
        <v>46087</v>
      </c>
      <c r="L273" s="4">
        <v>0</v>
      </c>
    </row>
    <row r="274" spans="1:13" x14ac:dyDescent="0.25">
      <c r="B274" s="171">
        <v>46086</v>
      </c>
      <c r="C274" s="4" t="s">
        <v>48</v>
      </c>
      <c r="D274" s="4">
        <v>850201</v>
      </c>
      <c r="E274" s="4" t="s">
        <v>608</v>
      </c>
      <c r="F274" s="4">
        <v>264</v>
      </c>
      <c r="G274" s="4">
        <v>12</v>
      </c>
      <c r="H274" s="338">
        <v>13</v>
      </c>
      <c r="I274" s="4">
        <v>261424</v>
      </c>
      <c r="J274" s="262">
        <v>46087</v>
      </c>
      <c r="K274" s="262">
        <v>46087</v>
      </c>
      <c r="L274" s="4">
        <v>110</v>
      </c>
    </row>
    <row r="275" spans="1:13" x14ac:dyDescent="0.25">
      <c r="B275" s="171">
        <v>46086</v>
      </c>
      <c r="C275" s="4" t="s">
        <v>57</v>
      </c>
      <c r="D275" s="4">
        <v>650305</v>
      </c>
      <c r="E275" s="4" t="s">
        <v>608</v>
      </c>
      <c r="F275" s="4">
        <v>265</v>
      </c>
      <c r="G275" s="4">
        <v>12</v>
      </c>
      <c r="H275" s="338">
        <v>17.3</v>
      </c>
      <c r="I275" s="4">
        <v>261423</v>
      </c>
      <c r="J275" s="262">
        <v>46087</v>
      </c>
      <c r="K275" s="262">
        <v>46087</v>
      </c>
      <c r="L275" s="4">
        <v>154</v>
      </c>
    </row>
    <row r="276" spans="1:13" x14ac:dyDescent="0.25">
      <c r="B276" s="171">
        <v>46086</v>
      </c>
      <c r="C276" s="4" t="s">
        <v>348</v>
      </c>
      <c r="D276" s="4">
        <v>710207</v>
      </c>
      <c r="E276" s="4" t="s">
        <v>609</v>
      </c>
      <c r="F276" s="4">
        <v>231</v>
      </c>
      <c r="G276" s="4">
        <v>1</v>
      </c>
      <c r="H276" s="338">
        <v>13</v>
      </c>
      <c r="I276" s="4">
        <v>261413</v>
      </c>
      <c r="J276" s="262">
        <v>46087</v>
      </c>
      <c r="K276" s="262">
        <v>46087</v>
      </c>
      <c r="L276" s="4">
        <v>116</v>
      </c>
      <c r="M276" s="4">
        <v>2</v>
      </c>
    </row>
    <row r="277" spans="1:13" x14ac:dyDescent="0.25">
      <c r="B277" s="171">
        <v>46086</v>
      </c>
      <c r="C277" s="4" t="s">
        <v>636</v>
      </c>
      <c r="D277" s="4">
        <v>920102</v>
      </c>
      <c r="E277" s="4" t="s">
        <v>609</v>
      </c>
      <c r="F277" s="4">
        <v>232</v>
      </c>
      <c r="G277" s="4">
        <v>2</v>
      </c>
      <c r="H277" s="338">
        <v>5.2</v>
      </c>
      <c r="I277" s="4">
        <v>261414</v>
      </c>
      <c r="J277" s="262">
        <v>46086</v>
      </c>
      <c r="K277" s="262">
        <v>46087</v>
      </c>
      <c r="L277" s="4">
        <v>12</v>
      </c>
    </row>
    <row r="278" spans="1:13" x14ac:dyDescent="0.25">
      <c r="B278" s="171">
        <v>46087</v>
      </c>
      <c r="C278" s="4" t="s">
        <v>57</v>
      </c>
      <c r="D278" s="4">
        <v>650304</v>
      </c>
      <c r="E278" s="4" t="s">
        <v>608</v>
      </c>
      <c r="F278" s="4">
        <v>266</v>
      </c>
      <c r="G278" s="4">
        <v>12</v>
      </c>
      <c r="H278" s="338">
        <v>17.3</v>
      </c>
      <c r="I278" s="4">
        <v>261445</v>
      </c>
      <c r="J278" s="262">
        <v>46087</v>
      </c>
      <c r="K278" s="262">
        <v>46088</v>
      </c>
      <c r="L278" s="4">
        <v>172</v>
      </c>
    </row>
    <row r="279" spans="1:13" x14ac:dyDescent="0.25">
      <c r="B279" s="171">
        <v>46087</v>
      </c>
      <c r="C279" s="4" t="s">
        <v>348</v>
      </c>
      <c r="D279" s="4">
        <v>710206</v>
      </c>
      <c r="E279" s="4" t="s">
        <v>609</v>
      </c>
      <c r="F279" s="4">
        <v>233</v>
      </c>
      <c r="G279" s="4">
        <v>2</v>
      </c>
      <c r="H279" s="338">
        <v>13</v>
      </c>
      <c r="I279" s="4">
        <v>261443</v>
      </c>
      <c r="J279" s="262">
        <v>46087</v>
      </c>
      <c r="K279" s="262">
        <v>46088</v>
      </c>
      <c r="L279" s="4">
        <v>126</v>
      </c>
    </row>
    <row r="280" spans="1:13" x14ac:dyDescent="0.25">
      <c r="B280" s="171">
        <v>46088</v>
      </c>
      <c r="C280" s="4" t="s">
        <v>57</v>
      </c>
      <c r="D280" s="4">
        <v>650301</v>
      </c>
      <c r="E280" s="4" t="s">
        <v>608</v>
      </c>
      <c r="F280" s="4">
        <v>267</v>
      </c>
      <c r="G280" s="4">
        <v>12</v>
      </c>
      <c r="H280" s="338">
        <v>17.3</v>
      </c>
      <c r="I280" s="4">
        <v>261466</v>
      </c>
      <c r="J280" s="262">
        <v>46089</v>
      </c>
      <c r="K280" s="262">
        <v>46090</v>
      </c>
      <c r="L280" s="4">
        <v>230</v>
      </c>
    </row>
    <row r="281" spans="1:13" x14ac:dyDescent="0.25">
      <c r="B281" s="171">
        <v>46089</v>
      </c>
      <c r="C281" s="4" t="s">
        <v>348</v>
      </c>
      <c r="D281" s="4">
        <v>710210</v>
      </c>
      <c r="E281" s="4" t="s">
        <v>609</v>
      </c>
      <c r="F281" s="4">
        <v>234</v>
      </c>
      <c r="G281" s="4">
        <v>2</v>
      </c>
      <c r="H281" s="338">
        <v>22</v>
      </c>
      <c r="I281" s="4">
        <v>261469</v>
      </c>
      <c r="J281" s="262">
        <v>46089</v>
      </c>
      <c r="K281" s="262">
        <v>46090</v>
      </c>
      <c r="L281" s="4">
        <v>224</v>
      </c>
    </row>
    <row r="282" spans="1:13" x14ac:dyDescent="0.25">
      <c r="B282" s="171">
        <v>46090</v>
      </c>
      <c r="C282" s="4" t="s">
        <v>348</v>
      </c>
      <c r="D282" s="4">
        <v>710209</v>
      </c>
      <c r="E282" s="4" t="s">
        <v>609</v>
      </c>
      <c r="F282" s="4">
        <v>235</v>
      </c>
      <c r="G282" s="4">
        <v>2</v>
      </c>
      <c r="H282" s="338">
        <v>22</v>
      </c>
      <c r="I282" s="4">
        <v>261531</v>
      </c>
      <c r="J282" s="262">
        <v>46090</v>
      </c>
      <c r="K282" s="262">
        <v>46091</v>
      </c>
      <c r="L282" s="4">
        <v>235</v>
      </c>
    </row>
    <row r="283" spans="1:13" x14ac:dyDescent="0.25">
      <c r="B283" s="171">
        <v>46090</v>
      </c>
      <c r="C283" s="4" t="s">
        <v>315</v>
      </c>
      <c r="D283" s="4">
        <v>490106</v>
      </c>
      <c r="E283" s="4" t="s">
        <v>609</v>
      </c>
      <c r="F283" s="4">
        <v>236</v>
      </c>
      <c r="G283" s="4">
        <v>2</v>
      </c>
      <c r="H283" s="338">
        <v>8</v>
      </c>
      <c r="I283" s="4">
        <v>261532</v>
      </c>
      <c r="J283" s="262">
        <v>46090</v>
      </c>
      <c r="K283" s="262">
        <v>46091</v>
      </c>
      <c r="L283" s="4">
        <v>13</v>
      </c>
    </row>
    <row r="284" spans="1:13" x14ac:dyDescent="0.25">
      <c r="B284" s="171">
        <v>46095</v>
      </c>
      <c r="C284" s="4" t="s">
        <v>348</v>
      </c>
      <c r="D284" s="4">
        <v>710301</v>
      </c>
      <c r="E284" s="4" t="s">
        <v>609</v>
      </c>
      <c r="F284" s="4">
        <v>237</v>
      </c>
      <c r="G284" s="4">
        <v>2</v>
      </c>
      <c r="H284" s="338">
        <v>11</v>
      </c>
      <c r="I284" s="4">
        <v>261602</v>
      </c>
      <c r="J284" s="262">
        <v>46095</v>
      </c>
      <c r="K284" s="262">
        <v>46095</v>
      </c>
      <c r="L284" s="4">
        <v>90</v>
      </c>
    </row>
    <row r="285" spans="1:13" x14ac:dyDescent="0.25">
      <c r="B285" s="171">
        <v>46096</v>
      </c>
      <c r="C285" s="4" t="s">
        <v>348</v>
      </c>
      <c r="D285" s="4">
        <v>710304</v>
      </c>
      <c r="E285" s="4" t="s">
        <v>609</v>
      </c>
      <c r="F285" s="4">
        <v>238</v>
      </c>
      <c r="G285" s="4">
        <v>2</v>
      </c>
      <c r="H285" s="338">
        <v>24</v>
      </c>
      <c r="I285" s="4">
        <v>261621</v>
      </c>
      <c r="J285" s="262">
        <v>46096</v>
      </c>
      <c r="K285" s="262">
        <v>46096</v>
      </c>
      <c r="L285" s="4">
        <v>115</v>
      </c>
    </row>
    <row r="286" spans="1:13" x14ac:dyDescent="0.25">
      <c r="B286" s="171">
        <v>46096</v>
      </c>
      <c r="C286" s="4" t="s">
        <v>625</v>
      </c>
      <c r="D286" s="4">
        <v>260202</v>
      </c>
      <c r="E286" s="4" t="s">
        <v>608</v>
      </c>
      <c r="F286" s="4">
        <v>268</v>
      </c>
      <c r="G286" s="4">
        <v>12</v>
      </c>
      <c r="H286" s="338">
        <v>13</v>
      </c>
      <c r="I286" s="4">
        <v>261620</v>
      </c>
      <c r="J286" s="262">
        <v>46096</v>
      </c>
      <c r="K286" s="262">
        <v>46096</v>
      </c>
      <c r="L286" s="4">
        <v>110</v>
      </c>
    </row>
    <row r="287" spans="1:13" x14ac:dyDescent="0.25">
      <c r="A287" t="s">
        <v>640</v>
      </c>
      <c r="B287" s="171">
        <v>46096</v>
      </c>
      <c r="C287" s="4" t="s">
        <v>625</v>
      </c>
      <c r="D287" s="4">
        <v>260201</v>
      </c>
      <c r="E287" s="4" t="s">
        <v>608</v>
      </c>
      <c r="F287" s="4">
        <v>269</v>
      </c>
      <c r="G287" s="4">
        <v>12</v>
      </c>
      <c r="H287" s="338">
        <v>13</v>
      </c>
      <c r="I287" s="4">
        <v>261628</v>
      </c>
      <c r="J287" s="262">
        <v>46096</v>
      </c>
      <c r="K287" s="262">
        <v>46096</v>
      </c>
      <c r="L287" s="4">
        <v>91</v>
      </c>
    </row>
    <row r="288" spans="1:13" x14ac:dyDescent="0.25">
      <c r="A288" t="s">
        <v>640</v>
      </c>
      <c r="B288" s="171">
        <v>46098</v>
      </c>
      <c r="C288" s="4" t="s">
        <v>74</v>
      </c>
      <c r="D288" s="4">
        <v>400310</v>
      </c>
      <c r="E288" s="4" t="s">
        <v>608</v>
      </c>
      <c r="F288" s="4">
        <v>270</v>
      </c>
      <c r="G288" s="4">
        <v>12</v>
      </c>
      <c r="H288" s="338">
        <v>16.5</v>
      </c>
      <c r="I288" s="4">
        <v>261656</v>
      </c>
      <c r="J288" s="262">
        <v>46098</v>
      </c>
      <c r="K288" s="262">
        <v>46098</v>
      </c>
      <c r="L288" s="4">
        <v>122</v>
      </c>
    </row>
    <row r="289" spans="1:13" x14ac:dyDescent="0.25">
      <c r="A289" t="s">
        <v>640</v>
      </c>
      <c r="B289" s="171">
        <v>46100</v>
      </c>
      <c r="C289" s="4" t="s">
        <v>74</v>
      </c>
      <c r="D289" s="4">
        <v>400311</v>
      </c>
      <c r="E289" s="4" t="s">
        <v>608</v>
      </c>
      <c r="F289" s="4">
        <v>271</v>
      </c>
      <c r="G289" s="4">
        <v>12</v>
      </c>
      <c r="H289" s="338">
        <v>16.5</v>
      </c>
      <c r="I289" s="4">
        <v>261692</v>
      </c>
      <c r="J289" s="262">
        <v>46100</v>
      </c>
      <c r="K289" s="262">
        <v>46101</v>
      </c>
      <c r="L289" s="4">
        <v>100</v>
      </c>
    </row>
    <row r="290" spans="1:13" x14ac:dyDescent="0.25">
      <c r="A290" t="s">
        <v>640</v>
      </c>
      <c r="B290" s="171">
        <v>46100</v>
      </c>
      <c r="C290" s="4" t="s">
        <v>57</v>
      </c>
      <c r="D290" s="4">
        <v>650303</v>
      </c>
      <c r="E290" s="4" t="s">
        <v>608</v>
      </c>
      <c r="F290" s="4">
        <v>272</v>
      </c>
      <c r="G290" s="4">
        <v>12</v>
      </c>
      <c r="H290" s="338">
        <v>17.3</v>
      </c>
      <c r="I290" s="4">
        <v>261693</v>
      </c>
      <c r="J290" s="262">
        <v>46100</v>
      </c>
      <c r="K290" s="262">
        <v>46101</v>
      </c>
      <c r="L290" s="4">
        <v>210</v>
      </c>
    </row>
    <row r="291" spans="1:13" x14ac:dyDescent="0.25">
      <c r="A291" t="s">
        <v>640</v>
      </c>
      <c r="B291" s="171">
        <v>46101</v>
      </c>
      <c r="C291" s="4" t="s">
        <v>57</v>
      </c>
      <c r="D291" s="4">
        <v>650302</v>
      </c>
      <c r="E291" s="4" t="s">
        <v>608</v>
      </c>
      <c r="F291" s="4">
        <v>273</v>
      </c>
      <c r="G291" s="4">
        <v>12</v>
      </c>
      <c r="H291" s="338">
        <v>17.3</v>
      </c>
      <c r="I291" s="4">
        <v>261703</v>
      </c>
      <c r="J291" s="262">
        <v>46101</v>
      </c>
      <c r="K291" s="262">
        <v>46102</v>
      </c>
      <c r="L291" s="4">
        <v>138</v>
      </c>
    </row>
    <row r="292" spans="1:13" x14ac:dyDescent="0.25">
      <c r="A292" t="s">
        <v>640</v>
      </c>
      <c r="B292" s="171">
        <v>46102</v>
      </c>
      <c r="C292" s="4" t="s">
        <v>74</v>
      </c>
      <c r="D292" s="4">
        <v>400305</v>
      </c>
      <c r="E292" s="4" t="s">
        <v>608</v>
      </c>
      <c r="F292" s="4">
        <v>274</v>
      </c>
      <c r="G292" s="4">
        <v>12</v>
      </c>
      <c r="H292" s="338">
        <v>22</v>
      </c>
      <c r="I292" s="4">
        <v>261731</v>
      </c>
      <c r="J292" s="262">
        <v>46102</v>
      </c>
      <c r="K292" s="262">
        <v>46103</v>
      </c>
      <c r="L292" s="4">
        <v>139</v>
      </c>
    </row>
    <row r="293" spans="1:13" x14ac:dyDescent="0.25">
      <c r="B293" s="171">
        <v>46102</v>
      </c>
      <c r="C293" s="4" t="s">
        <v>609</v>
      </c>
      <c r="D293" s="4">
        <v>280302</v>
      </c>
      <c r="E293" s="4" t="s">
        <v>609</v>
      </c>
      <c r="F293" s="4">
        <v>240</v>
      </c>
      <c r="G293" s="4">
        <v>2</v>
      </c>
      <c r="H293" s="338">
        <v>11</v>
      </c>
      <c r="I293" s="4">
        <v>261721</v>
      </c>
      <c r="J293" s="262">
        <v>46102</v>
      </c>
      <c r="K293" s="262">
        <v>46103</v>
      </c>
      <c r="L293" s="4">
        <v>82</v>
      </c>
    </row>
    <row r="294" spans="1:13" x14ac:dyDescent="0.25">
      <c r="B294" s="171">
        <v>46103</v>
      </c>
      <c r="C294" s="4" t="s">
        <v>609</v>
      </c>
      <c r="D294" s="4">
        <v>280301</v>
      </c>
      <c r="E294" s="4" t="s">
        <v>609</v>
      </c>
      <c r="F294" s="4">
        <v>241</v>
      </c>
      <c r="G294" s="4">
        <v>2</v>
      </c>
      <c r="H294" s="338">
        <v>11</v>
      </c>
      <c r="I294" s="4">
        <v>261741</v>
      </c>
      <c r="J294" s="262">
        <v>46103</v>
      </c>
      <c r="K294" s="262">
        <v>46103</v>
      </c>
      <c r="L294" s="4">
        <v>65</v>
      </c>
    </row>
    <row r="295" spans="1:13" x14ac:dyDescent="0.25">
      <c r="A295" t="s">
        <v>641</v>
      </c>
      <c r="B295" s="171">
        <v>46103</v>
      </c>
      <c r="C295" s="4" t="s">
        <v>74</v>
      </c>
      <c r="D295" s="4">
        <v>400306</v>
      </c>
      <c r="E295" s="4" t="s">
        <v>608</v>
      </c>
      <c r="F295" s="4">
        <v>275</v>
      </c>
      <c r="G295" s="4">
        <v>12</v>
      </c>
      <c r="H295" s="338">
        <v>22</v>
      </c>
      <c r="I295" s="4">
        <v>261745</v>
      </c>
      <c r="J295" s="262">
        <v>46103</v>
      </c>
      <c r="K295" s="262">
        <v>46103</v>
      </c>
      <c r="L295" s="4">
        <v>214</v>
      </c>
    </row>
    <row r="296" spans="1:13" x14ac:dyDescent="0.25">
      <c r="A296" t="s">
        <v>641</v>
      </c>
      <c r="B296" s="171">
        <v>46107</v>
      </c>
      <c r="C296" s="4" t="s">
        <v>74</v>
      </c>
      <c r="D296" s="4">
        <v>400308</v>
      </c>
      <c r="E296" s="4" t="s">
        <v>608</v>
      </c>
      <c r="F296" s="4">
        <v>277</v>
      </c>
      <c r="G296" s="4">
        <v>12</v>
      </c>
      <c r="H296" s="338">
        <v>16.5</v>
      </c>
      <c r="I296" s="4">
        <v>261796</v>
      </c>
      <c r="J296" s="262">
        <v>46107</v>
      </c>
      <c r="K296" s="262">
        <v>46108</v>
      </c>
      <c r="L296" s="4">
        <v>141</v>
      </c>
    </row>
    <row r="297" spans="1:13" x14ac:dyDescent="0.25">
      <c r="A297" t="s">
        <v>642</v>
      </c>
      <c r="B297" s="171">
        <v>46107</v>
      </c>
      <c r="C297" s="4" t="s">
        <v>74</v>
      </c>
      <c r="D297" s="4">
        <v>400303</v>
      </c>
      <c r="E297" s="4" t="s">
        <v>608</v>
      </c>
      <c r="F297" s="4">
        <v>278</v>
      </c>
      <c r="G297" s="4">
        <v>12</v>
      </c>
      <c r="H297" s="338">
        <v>22</v>
      </c>
      <c r="I297" s="4">
        <v>261795</v>
      </c>
      <c r="J297" s="262">
        <v>46107</v>
      </c>
      <c r="K297" s="262">
        <v>46108</v>
      </c>
      <c r="L297" s="4">
        <v>138</v>
      </c>
    </row>
    <row r="298" spans="1:13" x14ac:dyDescent="0.25">
      <c r="A298" t="s">
        <v>642</v>
      </c>
      <c r="B298" s="171">
        <v>46107</v>
      </c>
      <c r="C298" s="4" t="s">
        <v>74</v>
      </c>
      <c r="D298" s="4">
        <v>400301</v>
      </c>
      <c r="E298" s="4" t="s">
        <v>608</v>
      </c>
      <c r="F298" s="4">
        <v>279</v>
      </c>
      <c r="G298" s="4">
        <v>12</v>
      </c>
      <c r="H298" s="338">
        <v>22</v>
      </c>
      <c r="I298" s="4">
        <v>261794</v>
      </c>
      <c r="J298" s="262">
        <v>46107</v>
      </c>
      <c r="K298" s="262">
        <v>46108</v>
      </c>
      <c r="L298" s="4">
        <v>145</v>
      </c>
    </row>
    <row r="299" spans="1:13" x14ac:dyDescent="0.25">
      <c r="A299" t="s">
        <v>641</v>
      </c>
      <c r="B299" s="171">
        <v>46109</v>
      </c>
      <c r="C299" s="4" t="s">
        <v>74</v>
      </c>
      <c r="D299" s="4">
        <v>4003007</v>
      </c>
      <c r="E299" s="4" t="s">
        <v>608</v>
      </c>
      <c r="F299" s="4">
        <v>280</v>
      </c>
      <c r="G299" s="4">
        <v>12</v>
      </c>
      <c r="H299" s="338">
        <v>16.5</v>
      </c>
      <c r="I299" s="4">
        <v>261834</v>
      </c>
      <c r="J299" s="262">
        <v>46109</v>
      </c>
      <c r="K299" s="262">
        <v>46110</v>
      </c>
      <c r="L299" s="4">
        <v>115</v>
      </c>
      <c r="M299" s="4">
        <v>505</v>
      </c>
    </row>
    <row r="300" spans="1:13" x14ac:dyDescent="0.25">
      <c r="A300" t="s">
        <v>641</v>
      </c>
      <c r="B300" s="171">
        <v>46110</v>
      </c>
      <c r="C300" s="4" t="s">
        <v>57</v>
      </c>
      <c r="D300" s="4">
        <v>650307</v>
      </c>
      <c r="E300" s="4" t="s">
        <v>608</v>
      </c>
      <c r="F300" s="4">
        <v>281</v>
      </c>
      <c r="G300" s="4">
        <v>12</v>
      </c>
      <c r="H300" s="338">
        <v>17.3</v>
      </c>
      <c r="I300" s="4">
        <v>261870</v>
      </c>
      <c r="J300" s="262">
        <v>46110</v>
      </c>
      <c r="K300" s="262">
        <v>46111</v>
      </c>
      <c r="L300" s="4" t="s">
        <v>643</v>
      </c>
      <c r="M300" s="4">
        <v>530</v>
      </c>
    </row>
    <row r="301" spans="1:13" x14ac:dyDescent="0.25">
      <c r="B301" s="171">
        <v>46110</v>
      </c>
      <c r="C301" s="4" t="s">
        <v>636</v>
      </c>
      <c r="D301" s="4">
        <v>920303</v>
      </c>
      <c r="E301" s="4" t="s">
        <v>609</v>
      </c>
      <c r="F301" s="4">
        <v>245</v>
      </c>
      <c r="G301" s="4">
        <v>2</v>
      </c>
      <c r="H301" s="338">
        <v>5.5</v>
      </c>
      <c r="I301" s="4">
        <v>261867</v>
      </c>
      <c r="J301" s="262">
        <v>46110</v>
      </c>
      <c r="K301" s="262">
        <v>46111</v>
      </c>
      <c r="L301" s="4">
        <v>85</v>
      </c>
    </row>
    <row r="302" spans="1:13" x14ac:dyDescent="0.25">
      <c r="B302" s="171">
        <v>46111</v>
      </c>
      <c r="C302" s="4" t="s">
        <v>636</v>
      </c>
      <c r="D302" s="4">
        <v>920301</v>
      </c>
      <c r="E302" s="4" t="s">
        <v>609</v>
      </c>
      <c r="F302" s="4">
        <v>246</v>
      </c>
      <c r="G302" s="4">
        <v>2</v>
      </c>
      <c r="H302" s="338">
        <v>8</v>
      </c>
      <c r="I302" s="4">
        <v>261883</v>
      </c>
      <c r="J302" s="262">
        <v>46112</v>
      </c>
      <c r="K302" s="262">
        <v>46112</v>
      </c>
      <c r="L302" s="4">
        <v>74</v>
      </c>
    </row>
    <row r="303" spans="1:13" x14ac:dyDescent="0.25">
      <c r="B303" s="171">
        <v>46111</v>
      </c>
      <c r="C303" s="4" t="s">
        <v>57</v>
      </c>
      <c r="D303" s="4">
        <v>650306</v>
      </c>
      <c r="E303" s="4" t="s">
        <v>608</v>
      </c>
      <c r="F303" s="4">
        <v>282</v>
      </c>
      <c r="G303" s="4">
        <v>12</v>
      </c>
      <c r="H303" s="338">
        <v>17.3</v>
      </c>
      <c r="I303" s="4">
        <v>261879</v>
      </c>
      <c r="J303" s="262">
        <v>46111</v>
      </c>
      <c r="K303" s="262">
        <v>46111</v>
      </c>
      <c r="L303" s="4">
        <v>126</v>
      </c>
    </row>
    <row r="304" spans="1:13" x14ac:dyDescent="0.25">
      <c r="B304" s="171">
        <v>46112</v>
      </c>
      <c r="C304" s="4" t="s">
        <v>636</v>
      </c>
      <c r="D304" s="4">
        <v>920304</v>
      </c>
      <c r="E304" s="4" t="s">
        <v>609</v>
      </c>
      <c r="F304" s="4">
        <v>247</v>
      </c>
      <c r="G304" s="4">
        <v>1</v>
      </c>
      <c r="H304" s="338">
        <v>5.5</v>
      </c>
      <c r="I304" s="4">
        <v>261898</v>
      </c>
      <c r="J304" s="262">
        <v>46112</v>
      </c>
      <c r="K304" s="262">
        <v>46112</v>
      </c>
      <c r="L304" s="4">
        <v>86</v>
      </c>
    </row>
    <row r="305" spans="2:13" x14ac:dyDescent="0.25">
      <c r="B305" s="171">
        <v>46112</v>
      </c>
      <c r="C305" s="4" t="s">
        <v>74</v>
      </c>
      <c r="D305" s="4">
        <v>400304</v>
      </c>
      <c r="E305" s="4" t="s">
        <v>608</v>
      </c>
      <c r="F305" s="4">
        <v>283</v>
      </c>
      <c r="G305" s="4">
        <v>11</v>
      </c>
      <c r="H305" s="338">
        <v>22</v>
      </c>
      <c r="I305" s="4">
        <v>261904</v>
      </c>
      <c r="J305" s="262">
        <v>46112</v>
      </c>
      <c r="K305" s="262">
        <v>46114</v>
      </c>
      <c r="L305" s="4" t="s">
        <v>644</v>
      </c>
      <c r="M305" s="109" t="s">
        <v>645</v>
      </c>
    </row>
    <row r="306" spans="2:13" x14ac:dyDescent="0.25">
      <c r="B306" s="171">
        <v>46114</v>
      </c>
      <c r="C306" s="4" t="s">
        <v>74</v>
      </c>
      <c r="D306" s="4">
        <v>400309</v>
      </c>
      <c r="E306" s="4" t="s">
        <v>608</v>
      </c>
      <c r="F306" s="4">
        <v>284</v>
      </c>
      <c r="G306" s="4">
        <v>12</v>
      </c>
      <c r="H306" s="338">
        <v>16.5</v>
      </c>
      <c r="I306" s="4">
        <v>261936</v>
      </c>
      <c r="J306" s="262">
        <v>46115</v>
      </c>
      <c r="K306" s="262">
        <v>46116</v>
      </c>
      <c r="L306" s="4">
        <v>131</v>
      </c>
    </row>
    <row r="307" spans="2:13" x14ac:dyDescent="0.25">
      <c r="B307" s="171">
        <v>46114</v>
      </c>
      <c r="C307" s="4" t="s">
        <v>74</v>
      </c>
      <c r="D307" s="4">
        <v>400302</v>
      </c>
      <c r="E307" s="4" t="s">
        <v>608</v>
      </c>
      <c r="F307" s="4">
        <v>285</v>
      </c>
      <c r="G307" s="4">
        <v>12</v>
      </c>
      <c r="H307" s="338">
        <v>22</v>
      </c>
      <c r="I307" s="4">
        <v>261935</v>
      </c>
      <c r="J307" s="262">
        <v>46115</v>
      </c>
      <c r="K307" s="262">
        <v>46116</v>
      </c>
      <c r="L307" s="4">
        <v>146</v>
      </c>
    </row>
    <row r="308" spans="2:13" x14ac:dyDescent="0.25">
      <c r="B308" s="171">
        <v>46114</v>
      </c>
      <c r="C308" s="4" t="s">
        <v>636</v>
      </c>
      <c r="D308" s="4">
        <v>920306</v>
      </c>
      <c r="E308" s="4" t="s">
        <v>609</v>
      </c>
      <c r="F308" s="4">
        <v>248</v>
      </c>
      <c r="G308" s="4">
        <v>2</v>
      </c>
      <c r="H308" s="338">
        <v>10</v>
      </c>
      <c r="I308" s="4">
        <v>261918</v>
      </c>
      <c r="J308" s="262">
        <v>46114</v>
      </c>
      <c r="K308" s="262">
        <v>46115</v>
      </c>
      <c r="L308" s="4">
        <v>70</v>
      </c>
    </row>
    <row r="309" spans="2:13" x14ac:dyDescent="0.25">
      <c r="B309" s="171">
        <v>46114</v>
      </c>
      <c r="C309" s="4" t="s">
        <v>636</v>
      </c>
      <c r="D309" s="4">
        <v>920305</v>
      </c>
      <c r="E309" s="4" t="s">
        <v>609</v>
      </c>
      <c r="F309" s="4">
        <v>249</v>
      </c>
      <c r="G309" s="4">
        <v>1</v>
      </c>
      <c r="H309" s="338">
        <v>10</v>
      </c>
      <c r="I309" s="4">
        <v>261917</v>
      </c>
      <c r="J309" s="262">
        <v>46114</v>
      </c>
      <c r="K309" s="262">
        <v>46115</v>
      </c>
      <c r="L309" s="4">
        <v>74</v>
      </c>
    </row>
    <row r="310" spans="2:13" x14ac:dyDescent="0.25">
      <c r="B310" s="171">
        <v>46114</v>
      </c>
      <c r="C310" s="4" t="s">
        <v>636</v>
      </c>
      <c r="D310" s="4">
        <v>920302</v>
      </c>
      <c r="E310" s="4" t="s">
        <v>609</v>
      </c>
      <c r="F310" s="4">
        <v>250</v>
      </c>
      <c r="G310" s="4">
        <v>2</v>
      </c>
      <c r="H310" s="338">
        <v>8</v>
      </c>
      <c r="I310" s="4">
        <v>261937</v>
      </c>
      <c r="J310" s="262">
        <v>46115</v>
      </c>
      <c r="K310" s="262">
        <v>46116</v>
      </c>
      <c r="L310" s="4">
        <v>120</v>
      </c>
    </row>
    <row r="311" spans="2:13" x14ac:dyDescent="0.25">
      <c r="B311" s="171">
        <v>46116</v>
      </c>
      <c r="C311" s="4" t="s">
        <v>105</v>
      </c>
      <c r="D311" s="4">
        <v>550404</v>
      </c>
      <c r="E311" s="4" t="s">
        <v>609</v>
      </c>
      <c r="F311" s="4">
        <v>2</v>
      </c>
      <c r="G311" s="4">
        <v>2</v>
      </c>
      <c r="H311" s="338">
        <v>8</v>
      </c>
      <c r="I311" s="4">
        <v>261965</v>
      </c>
      <c r="J311" s="262">
        <v>46116</v>
      </c>
      <c r="K311" s="262">
        <v>46116</v>
      </c>
      <c r="L311" s="4">
        <v>100</v>
      </c>
    </row>
    <row r="312" spans="2:13" x14ac:dyDescent="0.25">
      <c r="B312" s="171">
        <v>46117</v>
      </c>
      <c r="C312" s="4" t="s">
        <v>105</v>
      </c>
      <c r="D312" s="4">
        <v>550402</v>
      </c>
      <c r="E312" s="4" t="s">
        <v>609</v>
      </c>
      <c r="F312" s="4">
        <v>3</v>
      </c>
      <c r="G312" s="4">
        <v>2</v>
      </c>
      <c r="H312" s="338">
        <v>9</v>
      </c>
      <c r="I312" s="4">
        <v>261995</v>
      </c>
      <c r="J312" s="262">
        <v>46117</v>
      </c>
      <c r="K312" s="262">
        <v>46118</v>
      </c>
      <c r="L312" s="4">
        <v>70</v>
      </c>
    </row>
    <row r="313" spans="2:13" x14ac:dyDescent="0.25">
      <c r="B313" s="171">
        <v>46118</v>
      </c>
      <c r="C313" s="4" t="s">
        <v>105</v>
      </c>
      <c r="D313" s="4">
        <v>550405</v>
      </c>
      <c r="E313" s="4" t="s">
        <v>609</v>
      </c>
      <c r="F313" s="4">
        <v>4</v>
      </c>
      <c r="G313" s="4">
        <v>2</v>
      </c>
      <c r="H313" s="338">
        <v>8</v>
      </c>
      <c r="I313" s="4">
        <v>262016</v>
      </c>
      <c r="J313" s="262">
        <v>46118</v>
      </c>
      <c r="K313" s="262">
        <v>46119</v>
      </c>
      <c r="L313" s="4">
        <v>84</v>
      </c>
    </row>
    <row r="314" spans="2:13" x14ac:dyDescent="0.25">
      <c r="B314" s="171">
        <v>46119</v>
      </c>
      <c r="C314" s="4" t="s">
        <v>21</v>
      </c>
      <c r="D314" s="4">
        <v>610401</v>
      </c>
      <c r="E314" s="4" t="s">
        <v>608</v>
      </c>
      <c r="F314" s="4">
        <v>1</v>
      </c>
      <c r="G314" s="4">
        <v>12</v>
      </c>
      <c r="H314" s="338">
        <v>17.5</v>
      </c>
      <c r="I314" s="4">
        <v>262026</v>
      </c>
      <c r="J314" s="262">
        <v>46119</v>
      </c>
      <c r="K314" s="262">
        <v>46119</v>
      </c>
      <c r="L314" s="4">
        <v>127</v>
      </c>
    </row>
    <row r="315" spans="2:13" x14ac:dyDescent="0.25">
      <c r="B315" s="171">
        <v>46121</v>
      </c>
      <c r="C315" s="4" t="s">
        <v>105</v>
      </c>
      <c r="D315" s="4">
        <v>550403</v>
      </c>
      <c r="E315" s="4" t="s">
        <v>609</v>
      </c>
      <c r="F315" s="4">
        <v>5</v>
      </c>
      <c r="G315" s="4">
        <v>2</v>
      </c>
      <c r="H315" s="338">
        <v>9</v>
      </c>
      <c r="I315" s="4">
        <v>262033</v>
      </c>
      <c r="J315" s="262">
        <v>46121</v>
      </c>
      <c r="K315" s="262">
        <v>46121</v>
      </c>
      <c r="L315" s="4">
        <v>78</v>
      </c>
    </row>
    <row r="316" spans="2:13" x14ac:dyDescent="0.25">
      <c r="B316" s="171">
        <v>46121</v>
      </c>
      <c r="C316" s="4" t="s">
        <v>105</v>
      </c>
      <c r="D316" s="4">
        <v>550401</v>
      </c>
      <c r="E316" s="4" t="s">
        <v>609</v>
      </c>
      <c r="F316" s="4">
        <v>6</v>
      </c>
      <c r="G316" s="4">
        <v>2</v>
      </c>
      <c r="H316" s="338">
        <v>9</v>
      </c>
      <c r="I316" s="4">
        <v>262032</v>
      </c>
      <c r="J316" s="262">
        <v>46121</v>
      </c>
      <c r="K316" s="262">
        <v>46121</v>
      </c>
      <c r="L316" s="4">
        <v>57</v>
      </c>
    </row>
    <row r="317" spans="2:13" x14ac:dyDescent="0.25">
      <c r="B317" s="171">
        <v>46135</v>
      </c>
      <c r="C317" s="4" t="s">
        <v>244</v>
      </c>
      <c r="D317" s="4">
        <v>340401</v>
      </c>
      <c r="E317" s="4" t="s">
        <v>608</v>
      </c>
      <c r="F317" s="4">
        <v>4</v>
      </c>
      <c r="G317" s="4">
        <v>12</v>
      </c>
      <c r="H317" s="338">
        <v>17.3</v>
      </c>
      <c r="I317" s="4">
        <v>262302</v>
      </c>
      <c r="J317" s="262">
        <v>46135</v>
      </c>
      <c r="K317" s="262">
        <v>46136</v>
      </c>
      <c r="L317" s="4">
        <v>161</v>
      </c>
    </row>
    <row r="318" spans="2:13" x14ac:dyDescent="0.25">
      <c r="B318" s="171">
        <v>46137</v>
      </c>
      <c r="C318" s="4" t="s">
        <v>21</v>
      </c>
      <c r="D318" s="4">
        <v>610403</v>
      </c>
      <c r="E318" s="4" t="s">
        <v>608</v>
      </c>
      <c r="F318" s="4">
        <v>5</v>
      </c>
      <c r="G318" s="4">
        <v>12</v>
      </c>
      <c r="H318" s="338">
        <v>28</v>
      </c>
      <c r="I318" s="4">
        <v>262351</v>
      </c>
      <c r="J318" s="262">
        <v>46137</v>
      </c>
      <c r="K318" s="262">
        <v>46137</v>
      </c>
      <c r="L318" s="4">
        <v>149</v>
      </c>
    </row>
    <row r="319" spans="2:13" x14ac:dyDescent="0.25">
      <c r="B319" s="171">
        <v>46140</v>
      </c>
      <c r="C319" s="4" t="s">
        <v>57</v>
      </c>
      <c r="D319" s="4">
        <v>650401</v>
      </c>
      <c r="E319" s="4" t="s">
        <v>609</v>
      </c>
      <c r="F319" s="4">
        <v>7</v>
      </c>
      <c r="G319" s="4">
        <v>2</v>
      </c>
      <c r="H319" s="338">
        <v>17.5</v>
      </c>
      <c r="I319" s="4">
        <v>262403</v>
      </c>
      <c r="J319" s="262">
        <v>46140</v>
      </c>
      <c r="K319" s="262">
        <v>46140</v>
      </c>
      <c r="L319" s="4">
        <v>104</v>
      </c>
    </row>
    <row r="320" spans="2:13" x14ac:dyDescent="0.25">
      <c r="B320" s="171">
        <v>46142</v>
      </c>
      <c r="C320" s="4" t="s">
        <v>57</v>
      </c>
      <c r="D320" s="4">
        <v>650402</v>
      </c>
      <c r="E320" s="4" t="s">
        <v>609</v>
      </c>
      <c r="F320" s="4">
        <v>8</v>
      </c>
      <c r="G320" s="4">
        <v>2</v>
      </c>
      <c r="H320" s="338">
        <v>17.5</v>
      </c>
      <c r="I320" s="4">
        <v>262422</v>
      </c>
      <c r="J320" s="262">
        <v>46142</v>
      </c>
      <c r="K320" s="262">
        <v>46142</v>
      </c>
      <c r="L320" s="4">
        <v>102</v>
      </c>
    </row>
    <row r="321" spans="2:12" x14ac:dyDescent="0.25">
      <c r="B321" s="171">
        <v>46142</v>
      </c>
      <c r="C321" s="4" t="s">
        <v>57</v>
      </c>
      <c r="D321" s="4">
        <v>650403</v>
      </c>
      <c r="E321" s="4" t="s">
        <v>609</v>
      </c>
      <c r="F321" s="4">
        <v>9</v>
      </c>
      <c r="G321" s="4">
        <v>2</v>
      </c>
      <c r="H321" s="338">
        <v>17.5</v>
      </c>
      <c r="I321" s="4">
        <v>262421</v>
      </c>
      <c r="J321" s="262">
        <v>46142</v>
      </c>
      <c r="K321" s="262">
        <v>46142</v>
      </c>
      <c r="L321" s="4">
        <v>111</v>
      </c>
    </row>
    <row r="322" spans="2:12" x14ac:dyDescent="0.25">
      <c r="B322" s="171">
        <v>46144</v>
      </c>
      <c r="C322" s="4" t="s">
        <v>57</v>
      </c>
      <c r="D322" s="4">
        <v>650404</v>
      </c>
      <c r="E322" s="4" t="s">
        <v>609</v>
      </c>
      <c r="F322" s="4">
        <v>10</v>
      </c>
      <c r="G322" s="4">
        <v>2</v>
      </c>
      <c r="H322" s="338">
        <v>17.5</v>
      </c>
      <c r="I322" s="4">
        <v>262463</v>
      </c>
      <c r="J322" s="262">
        <v>46143</v>
      </c>
      <c r="K322" s="262">
        <v>46143</v>
      </c>
      <c r="L322" s="4">
        <v>111</v>
      </c>
    </row>
    <row r="323" spans="2:12" x14ac:dyDescent="0.25">
      <c r="B323" s="171">
        <v>46144</v>
      </c>
      <c r="C323" s="4" t="s">
        <v>57</v>
      </c>
      <c r="D323" s="4">
        <v>650405</v>
      </c>
      <c r="E323" s="4" t="s">
        <v>609</v>
      </c>
      <c r="F323" s="4">
        <v>11</v>
      </c>
      <c r="G323" s="4">
        <v>2</v>
      </c>
      <c r="H323" s="338">
        <v>17.5</v>
      </c>
      <c r="I323" s="4">
        <v>262476</v>
      </c>
      <c r="J323" s="262">
        <v>46144</v>
      </c>
      <c r="K323" s="262">
        <v>46145</v>
      </c>
      <c r="L323" s="4">
        <v>110</v>
      </c>
    </row>
    <row r="324" spans="2:12" x14ac:dyDescent="0.25">
      <c r="B324" s="171">
        <v>46144</v>
      </c>
      <c r="C324" s="4" t="s">
        <v>57</v>
      </c>
      <c r="D324" s="4">
        <v>650405</v>
      </c>
      <c r="E324" s="4" t="s">
        <v>609</v>
      </c>
      <c r="F324" s="4">
        <v>11</v>
      </c>
      <c r="G324" s="4">
        <v>2</v>
      </c>
      <c r="H324" s="338">
        <v>17.5</v>
      </c>
      <c r="I324" s="4">
        <v>262483</v>
      </c>
      <c r="J324" s="262">
        <v>46145</v>
      </c>
      <c r="K324" s="262">
        <v>46145</v>
      </c>
      <c r="L324" s="4">
        <v>131</v>
      </c>
    </row>
    <row r="325" spans="2:12" x14ac:dyDescent="0.25">
      <c r="B325" s="171">
        <v>46146</v>
      </c>
      <c r="C325" s="4" t="s">
        <v>724</v>
      </c>
      <c r="D325" s="4">
        <v>270401</v>
      </c>
      <c r="E325" s="4" t="s">
        <v>608</v>
      </c>
      <c r="F325" s="4">
        <v>6</v>
      </c>
      <c r="G325" s="4">
        <v>12</v>
      </c>
      <c r="H325" s="338">
        <v>10</v>
      </c>
      <c r="I325" s="4">
        <v>262517</v>
      </c>
      <c r="J325" s="262">
        <v>46146</v>
      </c>
      <c r="K325" s="262">
        <v>46147</v>
      </c>
      <c r="L325" s="4">
        <v>69</v>
      </c>
    </row>
    <row r="326" spans="2:12" x14ac:dyDescent="0.25">
      <c r="B326" s="171">
        <v>46150</v>
      </c>
      <c r="C326" s="4" t="s">
        <v>626</v>
      </c>
      <c r="D326" s="4">
        <v>550504</v>
      </c>
      <c r="E326" s="4" t="s">
        <v>609</v>
      </c>
      <c r="F326" s="4">
        <v>12</v>
      </c>
      <c r="G326" s="4">
        <v>2</v>
      </c>
      <c r="H326" s="338">
        <v>20</v>
      </c>
      <c r="I326" s="4">
        <v>262621</v>
      </c>
      <c r="J326" s="262">
        <v>46150</v>
      </c>
      <c r="K326" s="262">
        <v>46150</v>
      </c>
      <c r="L326" s="4">
        <v>190</v>
      </c>
    </row>
    <row r="327" spans="2:12" x14ac:dyDescent="0.25">
      <c r="B327" s="171">
        <v>46147</v>
      </c>
      <c r="D327" s="4" t="s">
        <v>741</v>
      </c>
      <c r="H327" s="338">
        <v>15</v>
      </c>
      <c r="I327" s="4">
        <v>262546</v>
      </c>
      <c r="J327" s="262">
        <v>46147</v>
      </c>
      <c r="K327" s="262">
        <v>46149</v>
      </c>
      <c r="L327" s="4">
        <v>12</v>
      </c>
    </row>
    <row r="328" spans="2:12" x14ac:dyDescent="0.25">
      <c r="B328" s="171">
        <v>46147</v>
      </c>
      <c r="D328" s="4" t="s">
        <v>741</v>
      </c>
      <c r="H328" s="338">
        <v>9</v>
      </c>
      <c r="I328" s="4">
        <v>262547</v>
      </c>
      <c r="J328" s="262">
        <v>46147</v>
      </c>
      <c r="K328" s="262">
        <v>46149</v>
      </c>
      <c r="L328" s="4">
        <v>6</v>
      </c>
    </row>
    <row r="329" spans="2:12" x14ac:dyDescent="0.25">
      <c r="B329" s="171">
        <v>46151</v>
      </c>
      <c r="C329" s="4" t="s">
        <v>626</v>
      </c>
      <c r="D329" s="4">
        <v>550501</v>
      </c>
      <c r="E329" s="4" t="s">
        <v>609</v>
      </c>
      <c r="F329" s="4">
        <v>13</v>
      </c>
      <c r="G329" s="4">
        <v>2</v>
      </c>
      <c r="H329" s="338">
        <v>20</v>
      </c>
      <c r="I329" s="4">
        <v>262666</v>
      </c>
      <c r="J329" s="262">
        <v>46152</v>
      </c>
      <c r="K329" s="262">
        <v>46152</v>
      </c>
      <c r="L329" s="4">
        <v>175</v>
      </c>
    </row>
    <row r="330" spans="2:12" x14ac:dyDescent="0.25">
      <c r="B330" s="171">
        <v>46153</v>
      </c>
      <c r="C330" s="4" t="s">
        <v>626</v>
      </c>
      <c r="D330" s="4">
        <v>550506</v>
      </c>
      <c r="E330" s="4" t="s">
        <v>609</v>
      </c>
      <c r="F330" s="4">
        <v>14</v>
      </c>
      <c r="G330" s="4">
        <v>2</v>
      </c>
      <c r="H330" s="338">
        <v>20</v>
      </c>
      <c r="I330" s="4">
        <v>262693</v>
      </c>
      <c r="J330" s="262">
        <v>46153</v>
      </c>
      <c r="K330" s="262">
        <v>46156</v>
      </c>
      <c r="L330" s="4">
        <v>144</v>
      </c>
    </row>
    <row r="331" spans="2:12" x14ac:dyDescent="0.25">
      <c r="B331" s="171">
        <v>46154</v>
      </c>
      <c r="C331" s="4" t="s">
        <v>102</v>
      </c>
      <c r="D331" s="4">
        <v>500502</v>
      </c>
      <c r="E331" s="4" t="s">
        <v>609</v>
      </c>
      <c r="F331" s="4">
        <v>15</v>
      </c>
      <c r="G331" s="4">
        <v>2</v>
      </c>
      <c r="H331" s="338">
        <v>10</v>
      </c>
      <c r="I331" s="4">
        <v>262710</v>
      </c>
      <c r="J331" s="262">
        <v>46154</v>
      </c>
      <c r="K331" s="262">
        <v>46156</v>
      </c>
      <c r="L331" s="4">
        <v>58</v>
      </c>
    </row>
    <row r="332" spans="2:12" x14ac:dyDescent="0.25">
      <c r="B332" s="171">
        <v>46154</v>
      </c>
      <c r="C332" s="4" t="s">
        <v>102</v>
      </c>
      <c r="D332" s="4">
        <v>500502</v>
      </c>
      <c r="E332" s="4" t="s">
        <v>609</v>
      </c>
      <c r="F332" s="4">
        <v>15</v>
      </c>
      <c r="G332" s="4">
        <v>2</v>
      </c>
      <c r="H332" s="338">
        <v>10</v>
      </c>
      <c r="I332" s="4">
        <v>262720</v>
      </c>
      <c r="J332" s="262">
        <v>46154</v>
      </c>
      <c r="K332" s="262">
        <v>46156</v>
      </c>
      <c r="L332" s="4">
        <v>0</v>
      </c>
    </row>
    <row r="333" spans="2:12" x14ac:dyDescent="0.25">
      <c r="B333" s="171">
        <v>46156</v>
      </c>
      <c r="C333" s="4" t="s">
        <v>102</v>
      </c>
      <c r="D333" s="4">
        <v>500501</v>
      </c>
      <c r="E333" s="4" t="s">
        <v>609</v>
      </c>
      <c r="F333" s="4">
        <v>16</v>
      </c>
      <c r="G333" s="4">
        <v>2</v>
      </c>
      <c r="H333" s="338">
        <v>8</v>
      </c>
      <c r="I333" s="4">
        <v>262732</v>
      </c>
      <c r="J333" s="262">
        <v>46156</v>
      </c>
      <c r="K333" s="262">
        <v>46156</v>
      </c>
      <c r="L333" s="4">
        <v>7.5</v>
      </c>
    </row>
    <row r="334" spans="2:12" x14ac:dyDescent="0.25">
      <c r="B334" s="171">
        <v>46160</v>
      </c>
      <c r="C334" s="4" t="s">
        <v>348</v>
      </c>
      <c r="D334" s="4">
        <v>710501</v>
      </c>
      <c r="E334" s="4" t="s">
        <v>609</v>
      </c>
      <c r="F334" s="4">
        <v>19</v>
      </c>
      <c r="G334" s="4">
        <v>2</v>
      </c>
      <c r="H334" s="338">
        <v>14</v>
      </c>
      <c r="I334" s="4">
        <v>262812</v>
      </c>
      <c r="J334" s="262">
        <v>46161</v>
      </c>
      <c r="K334" s="262">
        <v>46161</v>
      </c>
      <c r="L334" s="4">
        <v>196</v>
      </c>
    </row>
    <row r="335" spans="2:12" x14ac:dyDescent="0.25">
      <c r="B335" s="171">
        <v>46161</v>
      </c>
      <c r="C335" s="4" t="s">
        <v>348</v>
      </c>
      <c r="D335" s="4">
        <v>710505</v>
      </c>
      <c r="E335" s="4" t="s">
        <v>609</v>
      </c>
      <c r="F335" s="4">
        <v>20</v>
      </c>
      <c r="G335" s="4">
        <v>2</v>
      </c>
      <c r="H335" s="338">
        <v>9</v>
      </c>
      <c r="I335" s="4">
        <v>262854</v>
      </c>
      <c r="J335" s="262">
        <v>46161</v>
      </c>
      <c r="K335" s="262">
        <v>46163</v>
      </c>
      <c r="L335" s="4">
        <v>109</v>
      </c>
    </row>
    <row r="336" spans="2:12" x14ac:dyDescent="0.25">
      <c r="B336" s="171">
        <v>46161</v>
      </c>
      <c r="C336" s="4" t="s">
        <v>348</v>
      </c>
      <c r="D336" s="4">
        <v>710505</v>
      </c>
      <c r="E336" s="4" t="s">
        <v>609</v>
      </c>
      <c r="F336" s="4">
        <v>20</v>
      </c>
      <c r="G336" s="4">
        <v>2</v>
      </c>
      <c r="H336" s="338">
        <v>9</v>
      </c>
      <c r="I336" s="4">
        <v>262843</v>
      </c>
      <c r="J336" s="262">
        <v>46161</v>
      </c>
      <c r="K336" s="262">
        <v>46163</v>
      </c>
      <c r="L336" s="4">
        <v>32</v>
      </c>
    </row>
    <row r="337" spans="2:17" x14ac:dyDescent="0.25">
      <c r="B337" s="171">
        <v>46163</v>
      </c>
      <c r="C337" s="4" t="s">
        <v>348</v>
      </c>
      <c r="D337" s="4">
        <v>710504</v>
      </c>
      <c r="E337" s="4" t="s">
        <v>609</v>
      </c>
      <c r="F337" s="4">
        <v>21</v>
      </c>
      <c r="G337" s="4">
        <v>2</v>
      </c>
      <c r="H337" s="338">
        <v>14</v>
      </c>
      <c r="I337" s="4">
        <v>262860</v>
      </c>
      <c r="J337" s="262">
        <v>46163</v>
      </c>
      <c r="K337" s="262">
        <v>46165</v>
      </c>
      <c r="L337" s="4">
        <v>147</v>
      </c>
    </row>
    <row r="338" spans="2:17" x14ac:dyDescent="0.25">
      <c r="B338" s="171">
        <v>46163</v>
      </c>
      <c r="C338" s="4" t="s">
        <v>348</v>
      </c>
      <c r="D338" s="4">
        <v>710503</v>
      </c>
      <c r="E338" s="4" t="s">
        <v>609</v>
      </c>
      <c r="F338" s="4">
        <v>22</v>
      </c>
      <c r="G338" s="4">
        <v>2</v>
      </c>
      <c r="H338" s="338">
        <v>14</v>
      </c>
      <c r="I338" s="4">
        <v>262869</v>
      </c>
      <c r="J338" s="262">
        <v>46163</v>
      </c>
      <c r="K338" s="262">
        <v>46165</v>
      </c>
      <c r="L338" s="4">
        <v>131</v>
      </c>
    </row>
    <row r="339" spans="2:17" x14ac:dyDescent="0.25">
      <c r="B339" s="171">
        <v>46164</v>
      </c>
      <c r="C339" s="4" t="s">
        <v>348</v>
      </c>
      <c r="D339" s="4">
        <v>710502</v>
      </c>
      <c r="E339" s="4" t="s">
        <v>609</v>
      </c>
      <c r="F339" s="4">
        <v>23</v>
      </c>
      <c r="G339" s="4">
        <v>2</v>
      </c>
      <c r="H339" s="338">
        <v>14</v>
      </c>
      <c r="I339" s="4">
        <v>262887</v>
      </c>
      <c r="J339" s="262">
        <v>46164</v>
      </c>
      <c r="K339" s="262">
        <v>46165</v>
      </c>
      <c r="L339" s="4">
        <v>115</v>
      </c>
    </row>
    <row r="340" spans="2:17" x14ac:dyDescent="0.25">
      <c r="B340" s="171">
        <v>46179</v>
      </c>
      <c r="C340" s="4" t="s">
        <v>244</v>
      </c>
      <c r="D340" s="4">
        <v>340602</v>
      </c>
      <c r="E340" s="4" t="s">
        <v>608</v>
      </c>
      <c r="F340" s="4">
        <v>13</v>
      </c>
      <c r="G340" s="4">
        <v>12</v>
      </c>
      <c r="H340" s="338">
        <v>16.399999999999999</v>
      </c>
      <c r="I340" s="4">
        <v>263138</v>
      </c>
      <c r="J340" s="262">
        <v>46179</v>
      </c>
      <c r="K340" s="262">
        <v>46179</v>
      </c>
      <c r="L340" s="4">
        <v>174</v>
      </c>
      <c r="M340" s="4">
        <v>0</v>
      </c>
    </row>
    <row r="341" spans="2:17" x14ac:dyDescent="0.25">
      <c r="B341" s="171">
        <v>46184</v>
      </c>
      <c r="C341" s="4" t="s">
        <v>244</v>
      </c>
      <c r="D341" s="4">
        <v>340601</v>
      </c>
      <c r="E341" s="4" t="s">
        <v>608</v>
      </c>
      <c r="F341" s="4">
        <v>15</v>
      </c>
      <c r="G341" s="4">
        <v>12</v>
      </c>
      <c r="H341" s="338">
        <v>16.399999999999999</v>
      </c>
      <c r="I341" s="4">
        <v>263238</v>
      </c>
      <c r="J341" s="262">
        <v>46184</v>
      </c>
      <c r="K341" s="262">
        <v>46185</v>
      </c>
      <c r="L341" s="4">
        <v>180</v>
      </c>
      <c r="M341" s="4">
        <v>0</v>
      </c>
    </row>
    <row r="342" spans="2:17" x14ac:dyDescent="0.25">
      <c r="B342" s="171">
        <v>46184</v>
      </c>
      <c r="C342" s="4" t="s">
        <v>21</v>
      </c>
      <c r="D342" s="4">
        <v>910601</v>
      </c>
      <c r="E342" s="4" t="s">
        <v>609</v>
      </c>
      <c r="F342" s="4">
        <v>24</v>
      </c>
      <c r="G342" s="4">
        <v>2</v>
      </c>
      <c r="H342" s="338">
        <v>17.5</v>
      </c>
      <c r="I342" s="4">
        <v>263246</v>
      </c>
      <c r="J342" s="262">
        <v>46184</v>
      </c>
      <c r="K342" s="262">
        <v>46185</v>
      </c>
      <c r="L342" s="4">
        <v>124</v>
      </c>
      <c r="M342" s="4">
        <v>23</v>
      </c>
    </row>
    <row r="343" spans="2:17" x14ac:dyDescent="0.25">
      <c r="B343" s="171">
        <v>46186</v>
      </c>
      <c r="C343" s="4" t="s">
        <v>57</v>
      </c>
      <c r="D343" s="4">
        <v>650602</v>
      </c>
      <c r="E343" s="4" t="s">
        <v>608</v>
      </c>
      <c r="F343" s="4">
        <v>16</v>
      </c>
      <c r="G343" s="4">
        <v>12</v>
      </c>
      <c r="H343" s="338">
        <v>17.5</v>
      </c>
      <c r="I343" s="4">
        <v>263300</v>
      </c>
      <c r="J343" s="262">
        <v>46187</v>
      </c>
      <c r="K343" s="262">
        <v>46187</v>
      </c>
      <c r="L343" s="4">
        <v>124</v>
      </c>
      <c r="M343" s="4">
        <v>53</v>
      </c>
    </row>
    <row r="344" spans="2:17" x14ac:dyDescent="0.25">
      <c r="B344" s="171">
        <v>46186</v>
      </c>
      <c r="C344" s="4" t="s">
        <v>57</v>
      </c>
      <c r="D344" s="4">
        <v>650601</v>
      </c>
      <c r="E344" s="4" t="s">
        <v>608</v>
      </c>
      <c r="F344" s="4">
        <v>17</v>
      </c>
      <c r="G344" s="4">
        <v>12</v>
      </c>
      <c r="H344" s="338">
        <v>17.5</v>
      </c>
      <c r="I344" s="4">
        <v>263299</v>
      </c>
      <c r="J344" s="262">
        <v>46187</v>
      </c>
      <c r="K344" s="262">
        <v>46187</v>
      </c>
      <c r="L344" s="4">
        <v>113</v>
      </c>
      <c r="M344" s="4">
        <v>44</v>
      </c>
    </row>
    <row r="345" spans="2:17" x14ac:dyDescent="0.25">
      <c r="B345" s="171">
        <v>46187</v>
      </c>
      <c r="C345" s="4" t="s">
        <v>48</v>
      </c>
      <c r="D345" s="4">
        <v>850602</v>
      </c>
      <c r="E345" s="4" t="s">
        <v>609</v>
      </c>
      <c r="F345" s="4">
        <v>26</v>
      </c>
      <c r="G345" s="4">
        <v>2</v>
      </c>
      <c r="H345" s="338">
        <v>13</v>
      </c>
      <c r="I345" s="4">
        <v>263337</v>
      </c>
      <c r="J345" s="262">
        <v>46187</v>
      </c>
      <c r="K345" s="262">
        <v>46188</v>
      </c>
      <c r="L345" s="4">
        <v>91</v>
      </c>
      <c r="M345" s="4">
        <v>0</v>
      </c>
    </row>
    <row r="346" spans="2:17" x14ac:dyDescent="0.25">
      <c r="B346" s="171">
        <v>46188</v>
      </c>
      <c r="C346" s="4" t="s">
        <v>48</v>
      </c>
      <c r="D346" s="4">
        <v>850601</v>
      </c>
      <c r="E346" s="4" t="s">
        <v>609</v>
      </c>
      <c r="F346" s="4">
        <v>27</v>
      </c>
      <c r="G346" s="4">
        <v>2</v>
      </c>
      <c r="H346" s="338">
        <v>13</v>
      </c>
      <c r="I346" s="4">
        <v>263368</v>
      </c>
      <c r="J346" s="262">
        <v>46188</v>
      </c>
      <c r="K346" s="262">
        <v>46188</v>
      </c>
      <c r="L346" s="4">
        <v>73</v>
      </c>
      <c r="M346" s="4">
        <v>0</v>
      </c>
    </row>
    <row r="347" spans="2:17" x14ac:dyDescent="0.25">
      <c r="B347" s="171">
        <v>46189</v>
      </c>
      <c r="C347" s="4" t="s">
        <v>57</v>
      </c>
      <c r="D347" s="4">
        <v>650604</v>
      </c>
      <c r="E347" s="4" t="s">
        <v>608</v>
      </c>
      <c r="F347" s="4" t="s">
        <v>913</v>
      </c>
      <c r="G347" s="4">
        <v>12</v>
      </c>
      <c r="H347" s="338">
        <v>17.5</v>
      </c>
      <c r="I347" s="4">
        <v>263398</v>
      </c>
      <c r="J347" s="262">
        <v>46189</v>
      </c>
      <c r="K347" s="262">
        <v>46191</v>
      </c>
      <c r="L347" s="4">
        <v>104</v>
      </c>
      <c r="M347" s="4">
        <v>40</v>
      </c>
    </row>
    <row r="348" spans="2:17" x14ac:dyDescent="0.25">
      <c r="B348" s="171">
        <v>46191</v>
      </c>
      <c r="C348" s="4" t="s">
        <v>784</v>
      </c>
      <c r="D348" s="4">
        <v>830601</v>
      </c>
      <c r="E348" s="4" t="s">
        <v>608</v>
      </c>
      <c r="F348" s="4" t="s">
        <v>914</v>
      </c>
      <c r="G348" s="4">
        <v>12</v>
      </c>
      <c r="H348" s="338">
        <v>17.5</v>
      </c>
      <c r="I348" s="4">
        <v>263450</v>
      </c>
      <c r="J348" s="262">
        <v>46191</v>
      </c>
      <c r="K348" s="262">
        <v>46191</v>
      </c>
      <c r="L348" s="4">
        <v>0</v>
      </c>
      <c r="M348" s="4">
        <v>40</v>
      </c>
      <c r="O348" s="4">
        <v>40</v>
      </c>
      <c r="P348" s="4">
        <v>3</v>
      </c>
      <c r="Q348" s="4">
        <v>2</v>
      </c>
    </row>
    <row r="349" spans="2:17" x14ac:dyDescent="0.25">
      <c r="B349" s="171">
        <v>46192</v>
      </c>
      <c r="C349" s="4" t="s">
        <v>784</v>
      </c>
      <c r="D349" s="4">
        <v>830602</v>
      </c>
      <c r="E349" s="4" t="s">
        <v>608</v>
      </c>
      <c r="F349" s="4" t="s">
        <v>915</v>
      </c>
      <c r="G349" s="4">
        <v>12</v>
      </c>
      <c r="H349" s="338">
        <v>17.5</v>
      </c>
      <c r="I349" s="4">
        <v>263467</v>
      </c>
      <c r="J349" s="262">
        <v>46192</v>
      </c>
      <c r="K349" s="262">
        <v>46192</v>
      </c>
      <c r="L349" s="4">
        <v>73</v>
      </c>
      <c r="M349" s="4">
        <v>58</v>
      </c>
      <c r="P349" s="4">
        <v>2</v>
      </c>
    </row>
    <row r="350" spans="2:17" x14ac:dyDescent="0.25">
      <c r="B350" s="171">
        <v>46192</v>
      </c>
      <c r="C350" s="4" t="s">
        <v>21</v>
      </c>
      <c r="D350" s="4">
        <v>910602</v>
      </c>
      <c r="E350" s="4" t="s">
        <v>609</v>
      </c>
      <c r="F350" s="4">
        <v>29</v>
      </c>
      <c r="G350" s="4">
        <v>2</v>
      </c>
      <c r="H350" s="338">
        <v>17.5</v>
      </c>
      <c r="I350" s="4">
        <v>263484</v>
      </c>
      <c r="J350" s="262">
        <v>46192</v>
      </c>
      <c r="K350" s="262">
        <v>46193</v>
      </c>
      <c r="L350" s="4">
        <v>134</v>
      </c>
      <c r="M350" s="4">
        <v>0</v>
      </c>
    </row>
    <row r="351" spans="2:17" x14ac:dyDescent="0.25">
      <c r="B351" s="171">
        <v>46193</v>
      </c>
      <c r="C351" s="4" t="s">
        <v>784</v>
      </c>
      <c r="D351" s="4">
        <v>830603</v>
      </c>
      <c r="E351" s="4" t="s">
        <v>608</v>
      </c>
      <c r="F351" s="4" t="s">
        <v>917</v>
      </c>
      <c r="G351" s="4">
        <v>2</v>
      </c>
      <c r="H351" s="338">
        <v>17.5</v>
      </c>
      <c r="I351" s="4">
        <v>263492</v>
      </c>
      <c r="J351" s="262">
        <v>46193</v>
      </c>
      <c r="K351" s="262">
        <v>46193</v>
      </c>
      <c r="L351" s="4">
        <v>88</v>
      </c>
      <c r="M351" s="4">
        <v>0</v>
      </c>
    </row>
    <row r="352" spans="2:17" x14ac:dyDescent="0.25">
      <c r="B352" s="171">
        <v>46194</v>
      </c>
      <c r="C352" s="4" t="s">
        <v>57</v>
      </c>
      <c r="D352" s="4">
        <v>650605</v>
      </c>
      <c r="E352" s="4" t="s">
        <v>608</v>
      </c>
      <c r="F352" s="4" t="s">
        <v>918</v>
      </c>
      <c r="G352" s="4">
        <v>12</v>
      </c>
      <c r="H352" s="338">
        <v>17.5</v>
      </c>
      <c r="I352" s="4">
        <v>263515</v>
      </c>
      <c r="J352" s="262">
        <v>46194</v>
      </c>
      <c r="K352" s="262">
        <v>46194</v>
      </c>
      <c r="L352" s="4">
        <v>0</v>
      </c>
      <c r="M352" s="4">
        <v>37</v>
      </c>
    </row>
    <row r="353" spans="1:18" x14ac:dyDescent="0.25">
      <c r="B353" s="171">
        <v>46197</v>
      </c>
      <c r="C353" s="4" t="s">
        <v>57</v>
      </c>
      <c r="D353" s="4">
        <v>650603</v>
      </c>
      <c r="E353" s="4" t="s">
        <v>608</v>
      </c>
      <c r="F353" s="4" t="s">
        <v>919</v>
      </c>
      <c r="G353" s="4">
        <v>12</v>
      </c>
      <c r="H353" s="338">
        <v>17.5</v>
      </c>
      <c r="I353" s="4">
        <v>263547</v>
      </c>
      <c r="J353" s="262">
        <v>46196</v>
      </c>
      <c r="K353" s="262">
        <v>46196</v>
      </c>
      <c r="L353" s="4">
        <v>66</v>
      </c>
      <c r="M353" s="4">
        <v>40</v>
      </c>
      <c r="P353" s="4">
        <v>5.25</v>
      </c>
    </row>
    <row r="354" spans="1:18" x14ac:dyDescent="0.25">
      <c r="B354" s="171">
        <v>46198</v>
      </c>
      <c r="C354" s="4" t="s">
        <v>784</v>
      </c>
      <c r="D354" s="4">
        <v>830604</v>
      </c>
      <c r="E354" s="4" t="s">
        <v>608</v>
      </c>
      <c r="F354" s="4" t="s">
        <v>920</v>
      </c>
      <c r="G354" s="4">
        <v>12</v>
      </c>
      <c r="H354" s="338">
        <v>17.5</v>
      </c>
      <c r="I354" s="4">
        <v>263585</v>
      </c>
      <c r="J354" s="262">
        <v>46198</v>
      </c>
      <c r="K354" s="262">
        <v>46198</v>
      </c>
      <c r="L354" s="4">
        <v>82</v>
      </c>
      <c r="M354" s="4">
        <v>57</v>
      </c>
      <c r="N354" s="4">
        <v>2</v>
      </c>
      <c r="O354" s="4">
        <v>57</v>
      </c>
      <c r="P354" s="4">
        <v>0.7</v>
      </c>
    </row>
    <row r="355" spans="1:18" x14ac:dyDescent="0.25">
      <c r="B355" s="171">
        <v>46199</v>
      </c>
      <c r="C355" s="4" t="s">
        <v>784</v>
      </c>
      <c r="D355" s="4">
        <v>830605</v>
      </c>
      <c r="E355" s="4" t="s">
        <v>608</v>
      </c>
      <c r="F355" s="4" t="s">
        <v>921</v>
      </c>
      <c r="G355" s="4">
        <v>12</v>
      </c>
      <c r="H355" s="338">
        <v>17.5</v>
      </c>
      <c r="I355" s="4">
        <v>263603</v>
      </c>
      <c r="J355" s="262">
        <v>46199</v>
      </c>
      <c r="K355" s="262">
        <v>46199</v>
      </c>
      <c r="L355" s="4">
        <v>142</v>
      </c>
      <c r="M355" s="4">
        <v>0</v>
      </c>
      <c r="P355" s="4">
        <v>0.5</v>
      </c>
    </row>
    <row r="356" spans="1:18" x14ac:dyDescent="0.25">
      <c r="B356" s="171">
        <v>46202</v>
      </c>
      <c r="C356" s="4" t="s">
        <v>244</v>
      </c>
      <c r="D356" s="4">
        <v>340603</v>
      </c>
      <c r="E356" s="4" t="s">
        <v>608</v>
      </c>
      <c r="F356" s="4" t="s">
        <v>922</v>
      </c>
      <c r="G356" s="4">
        <v>12</v>
      </c>
      <c r="H356" s="338">
        <v>16.3</v>
      </c>
      <c r="I356" s="4">
        <v>263642</v>
      </c>
      <c r="J356" s="262">
        <v>46201</v>
      </c>
      <c r="K356" s="262">
        <v>46202</v>
      </c>
      <c r="L356" s="4">
        <v>112</v>
      </c>
      <c r="M356" s="4">
        <v>0</v>
      </c>
    </row>
    <row r="357" spans="1:18" x14ac:dyDescent="0.25">
      <c r="B357" s="171">
        <v>46201</v>
      </c>
      <c r="C357" s="4" t="s">
        <v>74</v>
      </c>
      <c r="D357" s="4">
        <v>400605</v>
      </c>
      <c r="E357" s="4" t="s">
        <v>609</v>
      </c>
      <c r="F357" s="4">
        <v>30</v>
      </c>
      <c r="G357" s="4">
        <v>2</v>
      </c>
      <c r="H357" s="338">
        <v>18.5</v>
      </c>
      <c r="I357" s="4">
        <v>263652</v>
      </c>
      <c r="J357" s="262">
        <v>46202</v>
      </c>
      <c r="K357" s="262">
        <v>46202</v>
      </c>
      <c r="L357" s="4">
        <v>101</v>
      </c>
      <c r="M357" s="4">
        <v>43</v>
      </c>
      <c r="O357" s="4">
        <v>43</v>
      </c>
      <c r="P357" s="4">
        <v>2.82</v>
      </c>
      <c r="R357" s="4">
        <v>101</v>
      </c>
    </row>
    <row r="358" spans="1:18" ht="15.75" x14ac:dyDescent="0.25">
      <c r="B358" s="171">
        <v>46202</v>
      </c>
      <c r="C358" s="4" t="s">
        <v>74</v>
      </c>
      <c r="D358" s="370">
        <v>400602</v>
      </c>
      <c r="E358" s="4" t="s">
        <v>609</v>
      </c>
      <c r="F358" s="4">
        <v>31</v>
      </c>
      <c r="G358" s="4">
        <v>1</v>
      </c>
      <c r="H358" s="338">
        <v>14</v>
      </c>
      <c r="I358" s="4">
        <v>263667</v>
      </c>
      <c r="J358" s="262">
        <v>46202</v>
      </c>
      <c r="K358" s="262">
        <v>46203</v>
      </c>
      <c r="L358" s="4">
        <v>115</v>
      </c>
      <c r="M358" s="4">
        <v>0</v>
      </c>
      <c r="P358" s="4">
        <v>2.4</v>
      </c>
      <c r="Q358" s="4">
        <v>1.5</v>
      </c>
      <c r="R358" s="4">
        <v>115</v>
      </c>
    </row>
    <row r="359" spans="1:18" ht="15.75" x14ac:dyDescent="0.25">
      <c r="A359" t="s">
        <v>809</v>
      </c>
      <c r="B359" s="171">
        <v>46202</v>
      </c>
      <c r="C359" s="4" t="s">
        <v>105</v>
      </c>
      <c r="D359" s="370">
        <v>550601</v>
      </c>
      <c r="E359" s="4" t="s">
        <v>609</v>
      </c>
      <c r="F359" s="4">
        <v>31</v>
      </c>
      <c r="G359" s="4">
        <v>1</v>
      </c>
      <c r="H359" s="338">
        <v>9</v>
      </c>
      <c r="I359" s="4">
        <v>263668</v>
      </c>
      <c r="J359" s="262">
        <v>46202</v>
      </c>
      <c r="K359" s="262">
        <v>46203</v>
      </c>
      <c r="L359" s="4">
        <v>107</v>
      </c>
      <c r="M359" s="4">
        <v>0</v>
      </c>
    </row>
    <row r="360" spans="1:18" ht="15.75" x14ac:dyDescent="0.25">
      <c r="A360" t="s">
        <v>809</v>
      </c>
      <c r="B360" s="171">
        <v>46202</v>
      </c>
      <c r="C360" s="4" t="s">
        <v>105</v>
      </c>
      <c r="D360" s="370">
        <v>550603</v>
      </c>
      <c r="E360" s="4" t="s">
        <v>609</v>
      </c>
      <c r="F360" s="4">
        <v>31</v>
      </c>
      <c r="G360" s="4">
        <v>1</v>
      </c>
      <c r="H360" s="338">
        <v>12</v>
      </c>
      <c r="I360" s="4">
        <v>263669</v>
      </c>
      <c r="J360" s="262">
        <v>46202</v>
      </c>
      <c r="K360" s="262">
        <v>46203</v>
      </c>
      <c r="L360" s="4">
        <v>114</v>
      </c>
      <c r="M360" s="4">
        <v>0</v>
      </c>
    </row>
    <row r="361" spans="1:18" ht="15.75" x14ac:dyDescent="0.25">
      <c r="B361" s="171">
        <v>46203</v>
      </c>
      <c r="C361" s="4" t="s">
        <v>74</v>
      </c>
      <c r="D361" s="370">
        <v>400604</v>
      </c>
      <c r="E361" s="4" t="s">
        <v>609</v>
      </c>
      <c r="F361" s="4">
        <v>32</v>
      </c>
      <c r="G361" s="4">
        <v>2</v>
      </c>
      <c r="H361" s="338">
        <v>18.5</v>
      </c>
      <c r="I361" s="4">
        <v>263710</v>
      </c>
      <c r="J361" s="262">
        <v>46205</v>
      </c>
      <c r="K361" s="262">
        <v>46205</v>
      </c>
      <c r="L361" s="4">
        <v>84</v>
      </c>
      <c r="M361" s="4">
        <v>0</v>
      </c>
      <c r="P361" s="4">
        <v>2.72</v>
      </c>
      <c r="Q361" s="4">
        <v>1.5</v>
      </c>
      <c r="R361" s="4">
        <v>84</v>
      </c>
    </row>
    <row r="362" spans="1:18" ht="15.75" x14ac:dyDescent="0.25">
      <c r="B362" s="171">
        <v>46205</v>
      </c>
      <c r="C362" s="4" t="s">
        <v>74</v>
      </c>
      <c r="D362" s="370">
        <v>400603</v>
      </c>
      <c r="E362" s="4" t="s">
        <v>609</v>
      </c>
      <c r="F362" s="4">
        <v>33</v>
      </c>
      <c r="G362" s="4">
        <v>1</v>
      </c>
      <c r="H362" s="338">
        <v>20</v>
      </c>
      <c r="I362" s="4">
        <v>263713</v>
      </c>
      <c r="J362" s="262">
        <v>46205</v>
      </c>
      <c r="K362" s="262">
        <v>46205</v>
      </c>
      <c r="L362" s="4">
        <v>83</v>
      </c>
      <c r="M362" s="4">
        <v>0</v>
      </c>
      <c r="P362" s="4">
        <v>1.63</v>
      </c>
      <c r="Q362" s="4">
        <v>1.5</v>
      </c>
      <c r="R362" s="4">
        <v>83</v>
      </c>
    </row>
    <row r="363" spans="1:18" ht="15.75" x14ac:dyDescent="0.25">
      <c r="B363" s="171">
        <v>46205</v>
      </c>
      <c r="C363" s="4" t="s">
        <v>253</v>
      </c>
      <c r="D363" s="370">
        <v>360603</v>
      </c>
      <c r="E363" s="4" t="s">
        <v>609</v>
      </c>
      <c r="F363" s="4">
        <v>34</v>
      </c>
      <c r="G363" s="4">
        <v>2</v>
      </c>
      <c r="H363" s="338">
        <v>18.5</v>
      </c>
      <c r="I363" s="4">
        <v>263712</v>
      </c>
      <c r="J363" s="262">
        <v>46205</v>
      </c>
      <c r="K363" s="262">
        <v>46205</v>
      </c>
      <c r="L363" s="4">
        <v>67</v>
      </c>
      <c r="M363" s="4">
        <v>0</v>
      </c>
      <c r="P363" s="4">
        <v>1.63</v>
      </c>
      <c r="Q363" s="4">
        <v>1.5</v>
      </c>
      <c r="R363">
        <v>67</v>
      </c>
    </row>
    <row r="364" spans="1:18" x14ac:dyDescent="0.25">
      <c r="B364" s="171">
        <v>46205</v>
      </c>
      <c r="C364" s="4" t="s">
        <v>74</v>
      </c>
      <c r="D364" s="4">
        <v>400612</v>
      </c>
      <c r="E364" s="4" t="s">
        <v>608</v>
      </c>
      <c r="F364" s="4" t="s">
        <v>923</v>
      </c>
      <c r="G364" s="4">
        <v>12</v>
      </c>
      <c r="H364" s="338">
        <v>22.3</v>
      </c>
      <c r="I364" s="4">
        <v>263720</v>
      </c>
      <c r="J364" s="262">
        <v>46205</v>
      </c>
      <c r="K364" s="262">
        <v>46206</v>
      </c>
      <c r="L364" s="4">
        <v>150</v>
      </c>
      <c r="M364" s="4">
        <v>0</v>
      </c>
      <c r="N364" s="4">
        <v>1</v>
      </c>
      <c r="P364" s="4">
        <v>0.78</v>
      </c>
    </row>
    <row r="365" spans="1:18" ht="15.75" x14ac:dyDescent="0.25">
      <c r="B365" s="171">
        <v>46206</v>
      </c>
      <c r="C365" s="4" t="s">
        <v>253</v>
      </c>
      <c r="D365" s="370">
        <v>360602</v>
      </c>
      <c r="E365" s="4" t="s">
        <v>609</v>
      </c>
      <c r="F365" s="4">
        <v>35</v>
      </c>
      <c r="G365" s="4">
        <v>1</v>
      </c>
      <c r="H365" s="338">
        <v>18.5</v>
      </c>
      <c r="I365" s="4">
        <v>263729</v>
      </c>
      <c r="J365" s="262">
        <v>46206</v>
      </c>
      <c r="K365" s="262">
        <v>46206</v>
      </c>
      <c r="L365" s="4">
        <v>0</v>
      </c>
      <c r="M365" s="4">
        <v>0</v>
      </c>
      <c r="P365" s="4">
        <v>2.37</v>
      </c>
      <c r="Q365" s="4">
        <v>1.5</v>
      </c>
    </row>
    <row r="366" spans="1:18" x14ac:dyDescent="0.25">
      <c r="B366" s="171">
        <v>46206</v>
      </c>
      <c r="C366" s="4" t="s">
        <v>74</v>
      </c>
      <c r="D366" s="4">
        <v>400616</v>
      </c>
      <c r="E366" s="4" t="s">
        <v>608</v>
      </c>
      <c r="F366" s="4" t="s">
        <v>924</v>
      </c>
      <c r="G366" s="4">
        <v>12</v>
      </c>
      <c r="H366" s="338">
        <v>22.3</v>
      </c>
      <c r="I366" s="4">
        <v>263757</v>
      </c>
      <c r="J366" s="262">
        <v>46206</v>
      </c>
      <c r="K366" s="262">
        <v>46207</v>
      </c>
      <c r="L366" s="4">
        <v>94</v>
      </c>
      <c r="M366" s="4">
        <v>0</v>
      </c>
      <c r="P366" s="4">
        <v>2.4500000000000002</v>
      </c>
    </row>
    <row r="367" spans="1:18" ht="15.75" x14ac:dyDescent="0.25">
      <c r="B367" s="171">
        <v>46207</v>
      </c>
      <c r="C367" s="4" t="s">
        <v>253</v>
      </c>
      <c r="D367" s="370">
        <v>360601</v>
      </c>
      <c r="E367" s="4" t="s">
        <v>609</v>
      </c>
      <c r="F367" s="4">
        <v>36</v>
      </c>
      <c r="G367" s="4">
        <v>2</v>
      </c>
      <c r="H367" s="338">
        <v>18.5</v>
      </c>
      <c r="I367" s="4">
        <v>262777</v>
      </c>
      <c r="J367" s="262">
        <v>46207</v>
      </c>
      <c r="K367" s="262">
        <v>46207</v>
      </c>
      <c r="L367" s="4">
        <v>40</v>
      </c>
      <c r="M367" s="4">
        <v>0</v>
      </c>
      <c r="P367" s="4">
        <v>1.65</v>
      </c>
      <c r="R367">
        <v>40</v>
      </c>
    </row>
    <row r="368" spans="1:18" ht="15.75" x14ac:dyDescent="0.25">
      <c r="B368" s="171">
        <v>46207</v>
      </c>
      <c r="C368" s="4" t="s">
        <v>74</v>
      </c>
      <c r="D368" s="370">
        <v>400607</v>
      </c>
      <c r="E368" s="4" t="s">
        <v>609</v>
      </c>
      <c r="F368" s="4">
        <v>37</v>
      </c>
      <c r="G368" s="4">
        <v>1</v>
      </c>
      <c r="H368" s="338">
        <v>18.5</v>
      </c>
      <c r="I368" s="4">
        <v>263785</v>
      </c>
      <c r="J368" s="262">
        <v>46207</v>
      </c>
      <c r="K368" s="262">
        <v>46208</v>
      </c>
      <c r="L368" s="4">
        <v>13</v>
      </c>
      <c r="M368" s="4">
        <v>0</v>
      </c>
      <c r="P368" s="4">
        <v>1.85</v>
      </c>
      <c r="R368" s="4">
        <v>13</v>
      </c>
    </row>
    <row r="369" spans="1:18" x14ac:dyDescent="0.25">
      <c r="B369" s="171">
        <v>46207</v>
      </c>
      <c r="C369" s="4" t="s">
        <v>74</v>
      </c>
      <c r="D369" s="4">
        <v>400608</v>
      </c>
      <c r="E369" s="4" t="s">
        <v>608</v>
      </c>
      <c r="F369" s="4" t="s">
        <v>925</v>
      </c>
      <c r="G369" s="4">
        <v>12</v>
      </c>
      <c r="H369" s="338">
        <v>16.3</v>
      </c>
      <c r="I369" s="4">
        <v>263781</v>
      </c>
      <c r="J369" s="262">
        <v>46207</v>
      </c>
      <c r="K369" s="262">
        <v>46207</v>
      </c>
      <c r="L369" s="4">
        <v>10</v>
      </c>
      <c r="M369" s="4">
        <v>0</v>
      </c>
      <c r="P369" s="4">
        <v>4.55</v>
      </c>
    </row>
    <row r="370" spans="1:18" x14ac:dyDescent="0.25">
      <c r="B370" s="511">
        <v>46208</v>
      </c>
      <c r="C370" s="22" t="s">
        <v>74</v>
      </c>
      <c r="D370" s="22">
        <v>400606</v>
      </c>
      <c r="E370" s="22" t="s">
        <v>609</v>
      </c>
      <c r="F370" s="22">
        <v>38</v>
      </c>
      <c r="G370" s="22">
        <v>2</v>
      </c>
      <c r="H370" s="229">
        <v>18.5</v>
      </c>
      <c r="I370" s="22">
        <v>263811</v>
      </c>
      <c r="J370" s="333">
        <v>46208</v>
      </c>
      <c r="K370" s="333">
        <v>46208</v>
      </c>
      <c r="L370" s="22">
        <v>10</v>
      </c>
      <c r="M370" s="4">
        <v>0</v>
      </c>
      <c r="O370" s="4">
        <v>28</v>
      </c>
      <c r="P370" s="4">
        <v>3.1</v>
      </c>
      <c r="Q370" s="109" t="s">
        <v>865</v>
      </c>
      <c r="R370" s="4">
        <v>10</v>
      </c>
    </row>
    <row r="371" spans="1:18" x14ac:dyDescent="0.25">
      <c r="B371" s="171">
        <v>46208</v>
      </c>
      <c r="C371" s="4" t="s">
        <v>74</v>
      </c>
      <c r="D371" s="4">
        <v>400617</v>
      </c>
      <c r="E371" s="4" t="s">
        <v>608</v>
      </c>
      <c r="F371" s="4" t="s">
        <v>926</v>
      </c>
      <c r="G371" s="4">
        <v>11</v>
      </c>
      <c r="H371" s="338">
        <v>22.3</v>
      </c>
      <c r="I371" s="4">
        <v>263802</v>
      </c>
      <c r="J371" s="262">
        <v>46208</v>
      </c>
      <c r="K371" s="262">
        <v>46208</v>
      </c>
      <c r="L371" s="4">
        <v>80</v>
      </c>
      <c r="M371" s="4">
        <v>0</v>
      </c>
      <c r="P371" s="4">
        <v>2</v>
      </c>
    </row>
    <row r="372" spans="1:18" x14ac:dyDescent="0.25">
      <c r="B372" s="171">
        <v>46209</v>
      </c>
      <c r="C372" s="4" t="s">
        <v>74</v>
      </c>
      <c r="D372" s="4">
        <v>400602</v>
      </c>
      <c r="E372" s="4" t="s">
        <v>608</v>
      </c>
      <c r="F372" s="4" t="s">
        <v>927</v>
      </c>
      <c r="G372" s="4">
        <v>12</v>
      </c>
      <c r="H372" s="338">
        <v>20</v>
      </c>
      <c r="I372" s="4">
        <v>263825</v>
      </c>
      <c r="J372" s="262">
        <v>46209</v>
      </c>
      <c r="K372" s="262">
        <v>46209</v>
      </c>
      <c r="L372" s="4">
        <v>0</v>
      </c>
      <c r="M372" s="4">
        <v>0</v>
      </c>
      <c r="P372" s="4">
        <v>1.2</v>
      </c>
    </row>
    <row r="373" spans="1:18" x14ac:dyDescent="0.25">
      <c r="B373" s="512">
        <v>46209</v>
      </c>
      <c r="C373" s="513" t="s">
        <v>21</v>
      </c>
      <c r="D373" s="513">
        <v>910701</v>
      </c>
      <c r="E373" s="513" t="s">
        <v>609</v>
      </c>
      <c r="F373" s="513">
        <v>39</v>
      </c>
      <c r="G373" s="513">
        <v>2</v>
      </c>
      <c r="H373" s="514">
        <v>17.3</v>
      </c>
      <c r="I373" s="513">
        <v>263832</v>
      </c>
      <c r="J373" s="515">
        <v>46210</v>
      </c>
      <c r="K373" s="515">
        <v>46210</v>
      </c>
      <c r="L373" s="13">
        <v>26</v>
      </c>
      <c r="M373" s="4">
        <v>0</v>
      </c>
    </row>
    <row r="374" spans="1:18" x14ac:dyDescent="0.25">
      <c r="B374" s="512">
        <v>46209</v>
      </c>
      <c r="C374" s="513" t="s">
        <v>21</v>
      </c>
      <c r="D374" s="513">
        <v>910702</v>
      </c>
      <c r="E374" s="513" t="s">
        <v>609</v>
      </c>
      <c r="F374" s="513">
        <v>39</v>
      </c>
      <c r="G374" s="513">
        <v>2</v>
      </c>
      <c r="H374" s="514">
        <v>17.3</v>
      </c>
      <c r="I374" s="513">
        <v>263833</v>
      </c>
      <c r="J374" s="515">
        <v>46210</v>
      </c>
      <c r="K374" s="515">
        <v>46210</v>
      </c>
      <c r="L374" s="13">
        <v>18</v>
      </c>
      <c r="M374" s="4">
        <v>0</v>
      </c>
    </row>
    <row r="375" spans="1:18" x14ac:dyDescent="0.25">
      <c r="B375" s="171">
        <v>46210</v>
      </c>
      <c r="C375" s="4" t="s">
        <v>74</v>
      </c>
      <c r="D375" s="4">
        <v>400609</v>
      </c>
      <c r="E375" s="4" t="s">
        <v>608</v>
      </c>
      <c r="F375" s="4" t="s">
        <v>928</v>
      </c>
      <c r="G375" s="4">
        <v>11</v>
      </c>
      <c r="H375" s="338">
        <v>16.3</v>
      </c>
      <c r="I375" s="4">
        <v>263854</v>
      </c>
      <c r="J375" s="262">
        <v>46212</v>
      </c>
      <c r="K375" s="262">
        <v>46212</v>
      </c>
      <c r="L375" s="4">
        <v>72</v>
      </c>
      <c r="M375" s="4">
        <v>26</v>
      </c>
      <c r="P375" s="4">
        <v>1.95</v>
      </c>
    </row>
    <row r="376" spans="1:18" x14ac:dyDescent="0.25">
      <c r="B376" s="171">
        <v>46210</v>
      </c>
      <c r="C376" s="4" t="s">
        <v>74</v>
      </c>
      <c r="D376" s="4">
        <v>400611</v>
      </c>
      <c r="E376" s="4" t="s">
        <v>608</v>
      </c>
      <c r="F376" s="4" t="s">
        <v>929</v>
      </c>
      <c r="G376" s="4">
        <v>12</v>
      </c>
      <c r="H376" s="338">
        <v>16.3</v>
      </c>
      <c r="I376" s="4">
        <v>263853</v>
      </c>
      <c r="J376" s="262">
        <v>46212</v>
      </c>
      <c r="K376" s="262">
        <v>46212</v>
      </c>
      <c r="L376" s="4">
        <v>87</v>
      </c>
      <c r="M376" s="4">
        <v>35</v>
      </c>
      <c r="P376" s="4">
        <v>1.7</v>
      </c>
    </row>
    <row r="377" spans="1:18" x14ac:dyDescent="0.25">
      <c r="A377" s="516" t="s">
        <v>834</v>
      </c>
      <c r="B377" s="517">
        <v>46210</v>
      </c>
      <c r="C377" s="518" t="s">
        <v>21</v>
      </c>
      <c r="D377" s="518">
        <v>910701</v>
      </c>
      <c r="E377" s="518" t="s">
        <v>609</v>
      </c>
      <c r="F377" s="518">
        <v>39</v>
      </c>
      <c r="G377" s="518">
        <v>2</v>
      </c>
      <c r="H377" s="519">
        <v>17.3</v>
      </c>
      <c r="I377" s="518">
        <v>263858</v>
      </c>
      <c r="J377" s="520">
        <v>46212</v>
      </c>
      <c r="K377" s="520">
        <v>46212</v>
      </c>
      <c r="L377" s="518">
        <v>24</v>
      </c>
      <c r="M377" s="4">
        <v>24</v>
      </c>
      <c r="P377" s="4">
        <v>2.5</v>
      </c>
    </row>
    <row r="378" spans="1:18" x14ac:dyDescent="0.25">
      <c r="A378" s="516" t="s">
        <v>834</v>
      </c>
      <c r="B378" s="517">
        <v>46210</v>
      </c>
      <c r="C378" s="518" t="s">
        <v>21</v>
      </c>
      <c r="D378" s="518">
        <v>910702</v>
      </c>
      <c r="E378" s="518" t="s">
        <v>609</v>
      </c>
      <c r="F378" s="518">
        <v>39</v>
      </c>
      <c r="G378" s="518">
        <v>2</v>
      </c>
      <c r="H378" s="519">
        <v>17.3</v>
      </c>
      <c r="I378" s="518">
        <v>263859</v>
      </c>
      <c r="J378" s="520">
        <v>46212</v>
      </c>
      <c r="K378" s="520">
        <v>46212</v>
      </c>
      <c r="L378" s="518">
        <v>0</v>
      </c>
      <c r="M378" s="4">
        <v>54</v>
      </c>
    </row>
    <row r="379" spans="1:18" x14ac:dyDescent="0.25">
      <c r="A379" t="s">
        <v>835</v>
      </c>
      <c r="B379" s="171">
        <v>46210</v>
      </c>
      <c r="C379" s="4" t="s">
        <v>105</v>
      </c>
      <c r="D379" s="4">
        <v>550601</v>
      </c>
      <c r="E379" s="4" t="s">
        <v>609</v>
      </c>
      <c r="F379" s="4">
        <v>40</v>
      </c>
      <c r="G379" s="4">
        <v>2</v>
      </c>
      <c r="H379" s="338">
        <v>9</v>
      </c>
      <c r="I379" s="4">
        <v>263846</v>
      </c>
      <c r="J379" s="262">
        <v>46210</v>
      </c>
      <c r="K379" s="262">
        <v>46210</v>
      </c>
      <c r="L379" s="4">
        <v>57</v>
      </c>
      <c r="M379" s="4">
        <v>0</v>
      </c>
      <c r="P379" s="4">
        <v>1.4</v>
      </c>
    </row>
    <row r="380" spans="1:18" x14ac:dyDescent="0.25">
      <c r="B380" s="171">
        <v>46210</v>
      </c>
      <c r="C380" s="4" t="s">
        <v>105</v>
      </c>
      <c r="D380" s="4">
        <v>550602</v>
      </c>
      <c r="E380" s="4" t="s">
        <v>609</v>
      </c>
      <c r="F380" s="4">
        <v>41</v>
      </c>
      <c r="G380" s="4">
        <v>1</v>
      </c>
      <c r="H380" s="338">
        <v>9</v>
      </c>
      <c r="I380" s="4">
        <v>263860</v>
      </c>
      <c r="J380" s="262">
        <v>46212</v>
      </c>
      <c r="K380" s="262">
        <v>46212</v>
      </c>
      <c r="L380" s="4">
        <v>55</v>
      </c>
      <c r="M380" s="4">
        <v>55</v>
      </c>
      <c r="P380" s="4">
        <v>1.6</v>
      </c>
    </row>
    <row r="381" spans="1:18" x14ac:dyDescent="0.25">
      <c r="A381" t="s">
        <v>835</v>
      </c>
      <c r="B381" s="171">
        <v>46212</v>
      </c>
      <c r="C381" s="4" t="s">
        <v>105</v>
      </c>
      <c r="D381" s="4">
        <v>550603</v>
      </c>
      <c r="E381" s="4" t="s">
        <v>609</v>
      </c>
      <c r="F381" s="4">
        <v>42</v>
      </c>
      <c r="G381" s="4">
        <v>2</v>
      </c>
      <c r="H381" s="338">
        <v>12</v>
      </c>
      <c r="I381" s="4">
        <v>263868</v>
      </c>
      <c r="J381" s="262">
        <v>46212</v>
      </c>
      <c r="K381" s="262">
        <v>46212</v>
      </c>
      <c r="L381" s="4">
        <v>75</v>
      </c>
      <c r="M381" s="4">
        <v>0</v>
      </c>
      <c r="P381" s="4">
        <v>1.25</v>
      </c>
    </row>
    <row r="382" spans="1:18" x14ac:dyDescent="0.25">
      <c r="B382" s="171">
        <v>46212</v>
      </c>
      <c r="C382" s="4" t="s">
        <v>105</v>
      </c>
      <c r="D382" s="4">
        <v>550604</v>
      </c>
      <c r="E382" s="4" t="s">
        <v>609</v>
      </c>
      <c r="F382" s="4">
        <v>43</v>
      </c>
      <c r="G382" s="4">
        <v>1</v>
      </c>
      <c r="H382" s="338">
        <v>12</v>
      </c>
      <c r="I382" s="4">
        <v>263867</v>
      </c>
      <c r="J382" s="262">
        <v>46212</v>
      </c>
      <c r="K382" s="262">
        <v>46212</v>
      </c>
      <c r="L382" s="4">
        <v>60</v>
      </c>
      <c r="M382" s="4">
        <v>0</v>
      </c>
      <c r="P382" s="4">
        <v>1.55</v>
      </c>
    </row>
    <row r="383" spans="1:18" x14ac:dyDescent="0.25">
      <c r="B383" s="171">
        <v>46212</v>
      </c>
      <c r="C383" s="4" t="s">
        <v>74</v>
      </c>
      <c r="D383" s="4">
        <v>400607</v>
      </c>
      <c r="E383" s="4" t="s">
        <v>608</v>
      </c>
      <c r="F383" s="4" t="s">
        <v>930</v>
      </c>
      <c r="G383" s="4">
        <v>11</v>
      </c>
      <c r="H383" s="558">
        <v>14</v>
      </c>
      <c r="I383" s="13">
        <v>263890</v>
      </c>
      <c r="J383" s="332">
        <v>46212</v>
      </c>
      <c r="K383" s="332">
        <v>46213</v>
      </c>
      <c r="L383" s="13">
        <v>0</v>
      </c>
      <c r="M383" s="13">
        <v>0</v>
      </c>
      <c r="P383" s="4">
        <v>2.75</v>
      </c>
    </row>
    <row r="384" spans="1:18" x14ac:dyDescent="0.25">
      <c r="B384" s="171">
        <v>46212</v>
      </c>
      <c r="C384" s="4" t="s">
        <v>74</v>
      </c>
      <c r="D384" s="4">
        <v>400610</v>
      </c>
      <c r="E384" s="4" t="s">
        <v>608</v>
      </c>
      <c r="F384" s="4" t="s">
        <v>931</v>
      </c>
      <c r="G384" s="4">
        <v>12</v>
      </c>
      <c r="H384" s="338">
        <v>16.3</v>
      </c>
      <c r="I384" s="4">
        <v>263889</v>
      </c>
      <c r="J384" s="262">
        <v>46212</v>
      </c>
      <c r="K384" s="262">
        <v>46213</v>
      </c>
      <c r="L384" s="4">
        <v>94</v>
      </c>
      <c r="M384" s="4">
        <v>0</v>
      </c>
      <c r="P384" s="4">
        <v>1.25</v>
      </c>
      <c r="Q384" s="4">
        <v>2</v>
      </c>
    </row>
    <row r="385" spans="1:17" x14ac:dyDescent="0.25">
      <c r="B385" s="171">
        <v>46212</v>
      </c>
      <c r="C385" s="4" t="s">
        <v>74</v>
      </c>
      <c r="D385" s="4">
        <v>400601</v>
      </c>
      <c r="E385" s="4" t="s">
        <v>609</v>
      </c>
      <c r="F385" s="4">
        <v>44</v>
      </c>
      <c r="G385" s="4">
        <v>2</v>
      </c>
      <c r="H385" s="338">
        <v>13</v>
      </c>
      <c r="I385" s="4">
        <v>263912</v>
      </c>
      <c r="J385" s="262">
        <v>46212</v>
      </c>
      <c r="K385" s="262">
        <v>46213</v>
      </c>
      <c r="L385" s="4">
        <v>57</v>
      </c>
      <c r="M385" s="4">
        <v>0</v>
      </c>
      <c r="P385" s="4">
        <v>3</v>
      </c>
    </row>
    <row r="386" spans="1:17" x14ac:dyDescent="0.25">
      <c r="B386" s="171">
        <v>46213</v>
      </c>
      <c r="C386" s="4" t="s">
        <v>74</v>
      </c>
      <c r="D386" s="4">
        <v>400605</v>
      </c>
      <c r="E386" s="4" t="s">
        <v>608</v>
      </c>
      <c r="F386" s="4" t="s">
        <v>932</v>
      </c>
      <c r="G386" s="4">
        <v>12</v>
      </c>
      <c r="H386" s="558">
        <v>14</v>
      </c>
      <c r="I386" s="13">
        <v>263941</v>
      </c>
      <c r="J386" s="332">
        <v>46213</v>
      </c>
      <c r="K386" s="332">
        <v>46214</v>
      </c>
      <c r="L386" s="13">
        <v>36</v>
      </c>
      <c r="M386" s="13">
        <v>35</v>
      </c>
      <c r="P386" s="4">
        <v>1.8</v>
      </c>
      <c r="Q386" s="4">
        <v>2.5</v>
      </c>
    </row>
    <row r="387" spans="1:17" x14ac:dyDescent="0.25">
      <c r="B387" s="171">
        <v>46213</v>
      </c>
      <c r="C387" s="4" t="s">
        <v>105</v>
      </c>
      <c r="D387" s="4">
        <v>550703</v>
      </c>
      <c r="E387" s="4" t="s">
        <v>609</v>
      </c>
      <c r="F387" s="4">
        <v>45</v>
      </c>
      <c r="G387" s="4">
        <v>1</v>
      </c>
      <c r="H387" s="338">
        <v>20</v>
      </c>
      <c r="I387" s="4">
        <v>263929</v>
      </c>
      <c r="J387" s="262">
        <v>46213</v>
      </c>
      <c r="K387" s="262">
        <v>46213</v>
      </c>
      <c r="L387" s="4">
        <v>181</v>
      </c>
      <c r="M387" s="4">
        <v>0</v>
      </c>
      <c r="P387" s="4">
        <v>2.04</v>
      </c>
    </row>
    <row r="388" spans="1:17" x14ac:dyDescent="0.25">
      <c r="B388" s="171">
        <v>46214</v>
      </c>
      <c r="C388" s="4" t="s">
        <v>253</v>
      </c>
      <c r="D388" s="4">
        <v>360604</v>
      </c>
      <c r="E388" s="4" t="s">
        <v>609</v>
      </c>
      <c r="F388" s="4">
        <v>46</v>
      </c>
      <c r="G388" s="4">
        <v>2</v>
      </c>
      <c r="H388" s="338">
        <v>18.5</v>
      </c>
      <c r="I388" s="4">
        <v>263954</v>
      </c>
      <c r="J388" s="262">
        <v>46214</v>
      </c>
      <c r="K388" s="262">
        <v>46214</v>
      </c>
      <c r="L388" s="4">
        <v>11</v>
      </c>
      <c r="M388" s="4">
        <v>0</v>
      </c>
      <c r="P388" s="4">
        <v>1.7</v>
      </c>
    </row>
    <row r="389" spans="1:17" x14ac:dyDescent="0.25">
      <c r="B389" s="171">
        <v>46214</v>
      </c>
      <c r="C389" s="4" t="s">
        <v>74</v>
      </c>
      <c r="D389" s="4">
        <v>400606</v>
      </c>
      <c r="E389" s="4" t="s">
        <v>608</v>
      </c>
      <c r="F389" s="4" t="s">
        <v>933</v>
      </c>
      <c r="G389" s="4">
        <v>12</v>
      </c>
      <c r="H389" s="558">
        <v>14</v>
      </c>
      <c r="I389" s="13">
        <v>263977</v>
      </c>
      <c r="J389" s="332">
        <v>46214</v>
      </c>
      <c r="K389" s="332">
        <v>46214</v>
      </c>
      <c r="L389" s="13">
        <v>0</v>
      </c>
      <c r="M389" s="13">
        <v>28</v>
      </c>
      <c r="P389" s="4">
        <v>4.0999999999999996</v>
      </c>
    </row>
    <row r="390" spans="1:17" x14ac:dyDescent="0.25">
      <c r="B390" s="171">
        <v>46215</v>
      </c>
      <c r="C390" s="4" t="s">
        <v>105</v>
      </c>
      <c r="D390" s="4">
        <v>550702</v>
      </c>
      <c r="E390" s="4" t="s">
        <v>609</v>
      </c>
      <c r="F390" s="4">
        <v>47</v>
      </c>
      <c r="G390" s="4">
        <v>1</v>
      </c>
      <c r="H390" s="338">
        <v>20</v>
      </c>
      <c r="I390" s="4">
        <v>264008</v>
      </c>
      <c r="J390" s="262">
        <v>46215</v>
      </c>
      <c r="K390" s="262">
        <v>46215</v>
      </c>
      <c r="L390" s="4">
        <v>140</v>
      </c>
      <c r="M390" s="4">
        <v>0</v>
      </c>
      <c r="P390" s="4">
        <v>2.2000000000000002</v>
      </c>
    </row>
    <row r="391" spans="1:17" x14ac:dyDescent="0.25">
      <c r="B391" s="171">
        <v>46215</v>
      </c>
      <c r="C391" s="4" t="s">
        <v>105</v>
      </c>
      <c r="D391" s="4">
        <v>550704</v>
      </c>
      <c r="E391" s="4" t="s">
        <v>609</v>
      </c>
      <c r="F391" s="4">
        <v>48</v>
      </c>
      <c r="G391" s="4">
        <v>2</v>
      </c>
      <c r="H391" s="338">
        <v>20</v>
      </c>
      <c r="I391" s="4">
        <v>264007</v>
      </c>
      <c r="J391" s="262">
        <v>46215</v>
      </c>
      <c r="K391" s="262">
        <v>46216</v>
      </c>
      <c r="L391" s="4">
        <v>101</v>
      </c>
      <c r="M391" s="4">
        <v>0</v>
      </c>
      <c r="P391" s="4">
        <v>2.2999999999999998</v>
      </c>
    </row>
    <row r="392" spans="1:17" x14ac:dyDescent="0.25">
      <c r="B392" s="171">
        <v>46215</v>
      </c>
      <c r="C392" s="4" t="s">
        <v>74</v>
      </c>
      <c r="D392" s="4">
        <v>400604</v>
      </c>
      <c r="E392" s="4" t="s">
        <v>608</v>
      </c>
      <c r="F392" s="4" t="s">
        <v>934</v>
      </c>
      <c r="G392" s="4">
        <v>12</v>
      </c>
      <c r="H392" s="338">
        <v>20</v>
      </c>
      <c r="I392" s="4">
        <v>264013</v>
      </c>
      <c r="J392" s="262">
        <v>46215</v>
      </c>
      <c r="K392" s="262">
        <v>46216</v>
      </c>
      <c r="L392" s="4">
        <v>217</v>
      </c>
      <c r="M392" s="4">
        <v>0</v>
      </c>
      <c r="N392" s="4">
        <v>52100</v>
      </c>
      <c r="O392" t="s">
        <v>848</v>
      </c>
      <c r="P392" s="4">
        <v>2</v>
      </c>
      <c r="Q392" s="4">
        <v>1.5</v>
      </c>
    </row>
    <row r="393" spans="1:17" x14ac:dyDescent="0.25">
      <c r="A393" s="164" t="s">
        <v>846</v>
      </c>
      <c r="B393" s="511">
        <v>46216</v>
      </c>
      <c r="C393" s="22" t="s">
        <v>74</v>
      </c>
      <c r="D393" s="22">
        <v>400604</v>
      </c>
      <c r="E393" s="22" t="s">
        <v>608</v>
      </c>
      <c r="F393" s="22" t="s">
        <v>934</v>
      </c>
      <c r="G393" s="22">
        <v>12</v>
      </c>
      <c r="H393" s="229">
        <v>20</v>
      </c>
      <c r="I393" s="22">
        <v>264040</v>
      </c>
      <c r="J393" s="333">
        <v>46216</v>
      </c>
      <c r="K393" s="333">
        <v>46217</v>
      </c>
      <c r="L393" s="22">
        <v>145</v>
      </c>
      <c r="M393" s="4">
        <v>0</v>
      </c>
      <c r="N393" s="22" t="s">
        <v>844</v>
      </c>
      <c r="O393" t="s">
        <v>849</v>
      </c>
    </row>
    <row r="394" spans="1:17" x14ac:dyDescent="0.25">
      <c r="B394" s="171">
        <v>46216</v>
      </c>
      <c r="C394" s="4" t="s">
        <v>244</v>
      </c>
      <c r="D394" s="4">
        <v>340702</v>
      </c>
      <c r="E394" s="4" t="s">
        <v>608</v>
      </c>
      <c r="F394" s="4" t="s">
        <v>935</v>
      </c>
      <c r="G394" s="4">
        <v>11</v>
      </c>
      <c r="H394" s="338">
        <v>16.5</v>
      </c>
      <c r="I394" s="4">
        <v>264041</v>
      </c>
      <c r="J394" s="262">
        <v>46216</v>
      </c>
      <c r="K394" s="262">
        <v>46217</v>
      </c>
      <c r="L394" s="4">
        <v>124</v>
      </c>
      <c r="M394" s="4">
        <v>0</v>
      </c>
      <c r="N394" s="4">
        <v>55</v>
      </c>
      <c r="O394" s="109" t="s">
        <v>845</v>
      </c>
      <c r="P394" s="4">
        <v>2.7</v>
      </c>
      <c r="Q394" s="4">
        <v>1.5</v>
      </c>
    </row>
    <row r="395" spans="1:17" x14ac:dyDescent="0.25">
      <c r="A395" s="521" t="s">
        <v>834</v>
      </c>
      <c r="B395" s="522">
        <v>46216</v>
      </c>
      <c r="C395" s="21" t="s">
        <v>21</v>
      </c>
      <c r="D395" s="21" t="s">
        <v>842</v>
      </c>
      <c r="E395" s="21" t="s">
        <v>609</v>
      </c>
      <c r="F395" s="21">
        <v>49</v>
      </c>
      <c r="G395" s="21">
        <v>1</v>
      </c>
      <c r="H395" s="523">
        <v>17.3</v>
      </c>
      <c r="I395" s="21">
        <v>264025</v>
      </c>
      <c r="J395" s="524">
        <v>46216</v>
      </c>
      <c r="K395" s="524">
        <v>46217</v>
      </c>
      <c r="L395" s="21">
        <v>0</v>
      </c>
      <c r="M395" s="4">
        <v>0</v>
      </c>
      <c r="P395" s="4">
        <v>1.6</v>
      </c>
    </row>
    <row r="396" spans="1:17" x14ac:dyDescent="0.25">
      <c r="A396" s="521" t="s">
        <v>834</v>
      </c>
      <c r="B396" s="522">
        <v>46216</v>
      </c>
      <c r="C396" s="21" t="s">
        <v>21</v>
      </c>
      <c r="D396" s="21" t="s">
        <v>843</v>
      </c>
      <c r="E396" s="21" t="s">
        <v>609</v>
      </c>
      <c r="F396" s="21">
        <v>49</v>
      </c>
      <c r="G396" s="21">
        <v>1</v>
      </c>
      <c r="H396" s="523">
        <v>17.3</v>
      </c>
      <c r="I396" s="21">
        <v>264024</v>
      </c>
      <c r="J396" s="524">
        <v>46216</v>
      </c>
      <c r="K396" s="524">
        <v>46217</v>
      </c>
      <c r="L396" s="21">
        <v>108</v>
      </c>
      <c r="M396" s="4">
        <v>0</v>
      </c>
      <c r="P396" s="4">
        <v>1.6</v>
      </c>
    </row>
    <row r="397" spans="1:17" x14ac:dyDescent="0.25">
      <c r="A397" s="164" t="s">
        <v>846</v>
      </c>
      <c r="B397" s="511">
        <v>46216</v>
      </c>
      <c r="C397" s="22" t="s">
        <v>74</v>
      </c>
      <c r="D397" s="22">
        <v>400604</v>
      </c>
      <c r="E397" s="22" t="s">
        <v>608</v>
      </c>
      <c r="F397" s="22" t="s">
        <v>934</v>
      </c>
      <c r="G397" s="22">
        <v>12</v>
      </c>
      <c r="H397" s="229">
        <v>20</v>
      </c>
      <c r="I397" s="4">
        <v>264040</v>
      </c>
      <c r="J397" s="262">
        <v>46216</v>
      </c>
      <c r="K397" s="262">
        <v>46216</v>
      </c>
      <c r="M397" s="4">
        <v>0</v>
      </c>
      <c r="N397" t="s">
        <v>847</v>
      </c>
    </row>
    <row r="398" spans="1:17" x14ac:dyDescent="0.25">
      <c r="A398" s="164" t="s">
        <v>846</v>
      </c>
      <c r="B398" s="171">
        <v>46217</v>
      </c>
      <c r="C398" s="4" t="s">
        <v>74</v>
      </c>
      <c r="D398" s="22">
        <v>400604</v>
      </c>
      <c r="E398" s="4" t="s">
        <v>608</v>
      </c>
      <c r="F398" s="4" t="s">
        <v>934</v>
      </c>
      <c r="G398" s="4">
        <v>12</v>
      </c>
      <c r="H398" s="338">
        <v>20</v>
      </c>
      <c r="I398" s="4">
        <v>264066</v>
      </c>
      <c r="J398" s="262">
        <v>46217</v>
      </c>
      <c r="K398" s="262">
        <v>46217</v>
      </c>
      <c r="L398" s="4">
        <v>216</v>
      </c>
      <c r="M398" s="4">
        <v>0</v>
      </c>
    </row>
    <row r="399" spans="1:17" x14ac:dyDescent="0.25">
      <c r="B399" s="171">
        <v>46217</v>
      </c>
      <c r="C399" s="4" t="s">
        <v>102</v>
      </c>
      <c r="D399" s="4">
        <v>500704</v>
      </c>
      <c r="E399" s="4" t="s">
        <v>609</v>
      </c>
      <c r="F399" s="4">
        <v>50</v>
      </c>
      <c r="G399" s="4">
        <v>2</v>
      </c>
      <c r="H399" s="338">
        <v>15</v>
      </c>
      <c r="I399" s="4">
        <v>264056</v>
      </c>
      <c r="J399" s="262">
        <v>46217</v>
      </c>
      <c r="K399" s="262">
        <v>46217</v>
      </c>
      <c r="L399" s="4">
        <v>90</v>
      </c>
      <c r="M399" s="4">
        <v>0</v>
      </c>
      <c r="P399" s="4">
        <v>1.2</v>
      </c>
    </row>
    <row r="400" spans="1:17" x14ac:dyDescent="0.25">
      <c r="B400" s="171">
        <v>46217</v>
      </c>
      <c r="C400" s="4" t="s">
        <v>102</v>
      </c>
      <c r="D400" s="4">
        <v>500702</v>
      </c>
      <c r="E400" s="4" t="s">
        <v>609</v>
      </c>
      <c r="F400" s="4">
        <v>51</v>
      </c>
      <c r="G400" s="4">
        <v>1</v>
      </c>
      <c r="H400" s="338">
        <v>15</v>
      </c>
      <c r="I400" s="4">
        <v>264070</v>
      </c>
      <c r="J400" s="262">
        <v>46217</v>
      </c>
      <c r="K400" s="262">
        <v>46217</v>
      </c>
      <c r="L400" s="4">
        <v>12</v>
      </c>
      <c r="M400" s="4">
        <v>0</v>
      </c>
      <c r="P400" s="4">
        <v>2.1</v>
      </c>
    </row>
    <row r="401" spans="2:22" x14ac:dyDescent="0.25">
      <c r="B401" s="171">
        <v>46217</v>
      </c>
      <c r="C401" s="4" t="s">
        <v>74</v>
      </c>
      <c r="D401" s="4">
        <v>400615</v>
      </c>
      <c r="E401" s="4" t="s">
        <v>608</v>
      </c>
      <c r="F401" s="4" t="s">
        <v>936</v>
      </c>
      <c r="G401" s="4">
        <v>12</v>
      </c>
      <c r="H401" s="338">
        <v>22.3</v>
      </c>
      <c r="I401" s="4">
        <v>264067</v>
      </c>
      <c r="J401" s="262">
        <v>46217</v>
      </c>
      <c r="K401" s="262">
        <v>46217</v>
      </c>
      <c r="L401" s="4">
        <v>57</v>
      </c>
      <c r="M401" s="4">
        <v>0</v>
      </c>
      <c r="P401" s="4">
        <v>2.25</v>
      </c>
      <c r="Q401" s="4">
        <v>1</v>
      </c>
    </row>
    <row r="402" spans="2:22" x14ac:dyDescent="0.25">
      <c r="B402" s="171">
        <v>46219</v>
      </c>
      <c r="C402" s="4" t="s">
        <v>80</v>
      </c>
      <c r="D402" s="4">
        <v>410701</v>
      </c>
      <c r="E402" s="4" t="s">
        <v>608</v>
      </c>
      <c r="F402" s="4" t="s">
        <v>937</v>
      </c>
      <c r="G402" s="4">
        <v>11</v>
      </c>
      <c r="H402" s="338">
        <v>10</v>
      </c>
      <c r="I402" s="4">
        <v>264088</v>
      </c>
      <c r="J402" s="262">
        <v>46219</v>
      </c>
      <c r="K402" s="262">
        <v>46219</v>
      </c>
      <c r="L402" s="4">
        <v>261</v>
      </c>
      <c r="M402" s="4">
        <v>0</v>
      </c>
      <c r="P402" s="4">
        <v>1.05</v>
      </c>
      <c r="Q402" s="4">
        <v>125</v>
      </c>
    </row>
    <row r="403" spans="2:22" x14ac:dyDescent="0.25">
      <c r="B403" s="171">
        <v>46219</v>
      </c>
      <c r="C403" s="4" t="s">
        <v>102</v>
      </c>
      <c r="D403" s="4">
        <v>500701</v>
      </c>
      <c r="E403" s="4" t="s">
        <v>609</v>
      </c>
      <c r="F403" s="4">
        <v>52</v>
      </c>
      <c r="G403" s="4">
        <v>2</v>
      </c>
      <c r="H403" s="338">
        <v>15</v>
      </c>
      <c r="I403" s="4">
        <v>264086</v>
      </c>
      <c r="J403" s="262">
        <v>46219</v>
      </c>
      <c r="K403" s="262">
        <v>46219</v>
      </c>
      <c r="L403" s="4">
        <v>87</v>
      </c>
      <c r="M403" s="4">
        <v>0</v>
      </c>
      <c r="P403" s="4">
        <v>1.9</v>
      </c>
    </row>
    <row r="404" spans="2:22" x14ac:dyDescent="0.25">
      <c r="B404" s="171">
        <v>46219</v>
      </c>
      <c r="C404" s="4" t="s">
        <v>102</v>
      </c>
      <c r="D404" s="4">
        <v>500606</v>
      </c>
      <c r="E404" s="4" t="s">
        <v>609</v>
      </c>
      <c r="F404" s="4">
        <v>53</v>
      </c>
      <c r="G404" s="4">
        <v>1</v>
      </c>
      <c r="H404" s="338">
        <v>16.5</v>
      </c>
      <c r="I404" s="4">
        <v>264087</v>
      </c>
      <c r="J404" s="262">
        <v>46219</v>
      </c>
      <c r="K404" s="262">
        <v>46219</v>
      </c>
      <c r="L404" s="4">
        <v>104</v>
      </c>
      <c r="M404" s="4">
        <v>0</v>
      </c>
      <c r="P404" s="4">
        <v>2.9</v>
      </c>
    </row>
    <row r="405" spans="2:22" x14ac:dyDescent="0.25">
      <c r="B405" s="171">
        <v>46219</v>
      </c>
      <c r="C405" s="4" t="s">
        <v>74</v>
      </c>
      <c r="D405" s="4">
        <v>400613</v>
      </c>
      <c r="E405" s="4" t="s">
        <v>608</v>
      </c>
      <c r="F405" s="4" t="s">
        <v>938</v>
      </c>
      <c r="G405" s="4">
        <v>12</v>
      </c>
      <c r="H405" s="338">
        <v>22.3</v>
      </c>
      <c r="I405" s="4">
        <v>264099</v>
      </c>
      <c r="J405" s="262">
        <v>46220</v>
      </c>
      <c r="K405" s="262">
        <v>46220</v>
      </c>
      <c r="L405" s="4">
        <v>87</v>
      </c>
      <c r="M405" s="4">
        <v>0</v>
      </c>
      <c r="P405" s="4">
        <v>1.1499999999999999</v>
      </c>
    </row>
    <row r="406" spans="2:22" x14ac:dyDescent="0.25">
      <c r="B406" s="171">
        <v>46219</v>
      </c>
      <c r="C406" s="4" t="s">
        <v>244</v>
      </c>
      <c r="D406" s="4">
        <v>340703</v>
      </c>
      <c r="E406" s="4" t="s">
        <v>608</v>
      </c>
      <c r="F406" s="4" t="s">
        <v>939</v>
      </c>
      <c r="G406" s="4">
        <v>11</v>
      </c>
      <c r="H406" s="338">
        <v>16.5</v>
      </c>
      <c r="I406" s="4">
        <v>264100</v>
      </c>
      <c r="J406" s="262">
        <v>46220</v>
      </c>
      <c r="K406" s="262">
        <v>46220</v>
      </c>
      <c r="L406" s="4">
        <v>64</v>
      </c>
      <c r="M406" s="4">
        <v>0</v>
      </c>
      <c r="P406" s="4">
        <v>0.9</v>
      </c>
    </row>
    <row r="407" spans="2:22" x14ac:dyDescent="0.25">
      <c r="B407" s="171">
        <v>46220</v>
      </c>
      <c r="C407" s="4" t="s">
        <v>102</v>
      </c>
      <c r="D407" s="4">
        <v>500607</v>
      </c>
      <c r="E407" s="4" t="s">
        <v>609</v>
      </c>
      <c r="F407" s="4">
        <v>54</v>
      </c>
      <c r="G407" s="4">
        <v>2</v>
      </c>
      <c r="H407" s="338">
        <v>16.5</v>
      </c>
      <c r="I407" s="4">
        <v>264105</v>
      </c>
      <c r="J407" s="262">
        <v>46220</v>
      </c>
      <c r="K407" s="262">
        <v>46220</v>
      </c>
      <c r="L407" s="4">
        <v>104</v>
      </c>
      <c r="M407" s="4">
        <v>0</v>
      </c>
      <c r="P407" s="4">
        <v>2.2999999999999998</v>
      </c>
      <c r="U407" s="4">
        <v>400614</v>
      </c>
      <c r="V407" s="4">
        <v>400601</v>
      </c>
    </row>
    <row r="408" spans="2:22" x14ac:dyDescent="0.25">
      <c r="B408" s="171">
        <v>46220</v>
      </c>
      <c r="C408" s="4" t="s">
        <v>102</v>
      </c>
      <c r="D408" s="4">
        <v>500605</v>
      </c>
      <c r="E408" s="4" t="s">
        <v>609</v>
      </c>
      <c r="F408" s="4">
        <v>55</v>
      </c>
      <c r="G408" s="4">
        <v>1</v>
      </c>
      <c r="H408" s="338">
        <v>16.5</v>
      </c>
      <c r="I408" s="4">
        <v>264127</v>
      </c>
      <c r="J408" s="262">
        <v>46220</v>
      </c>
      <c r="K408" s="262">
        <v>46221</v>
      </c>
      <c r="L408" s="4">
        <v>87</v>
      </c>
      <c r="M408" s="4">
        <v>0</v>
      </c>
      <c r="P408" s="4">
        <v>2.2000000000000002</v>
      </c>
      <c r="U408" s="4" t="s">
        <v>864</v>
      </c>
      <c r="V408" s="4" t="s">
        <v>872</v>
      </c>
    </row>
    <row r="409" spans="2:22" x14ac:dyDescent="0.25">
      <c r="B409" s="171">
        <v>46220</v>
      </c>
      <c r="C409" s="4" t="s">
        <v>74</v>
      </c>
      <c r="D409" s="4">
        <v>400614</v>
      </c>
      <c r="E409" s="4" t="s">
        <v>608</v>
      </c>
      <c r="F409" s="4" t="s">
        <v>940</v>
      </c>
      <c r="G409" s="4">
        <v>12</v>
      </c>
      <c r="H409" s="338">
        <v>22.3</v>
      </c>
      <c r="I409" s="4">
        <v>264132</v>
      </c>
      <c r="J409" s="262">
        <v>46220</v>
      </c>
      <c r="K409" s="262">
        <v>46221</v>
      </c>
      <c r="L409" s="4">
        <v>94</v>
      </c>
      <c r="M409" s="4">
        <v>0</v>
      </c>
      <c r="P409" s="4">
        <v>1.05</v>
      </c>
      <c r="S409" t="s">
        <v>875</v>
      </c>
      <c r="T409" t="s">
        <v>883</v>
      </c>
      <c r="U409" s="4">
        <v>22.3</v>
      </c>
      <c r="V409" s="4">
        <v>20</v>
      </c>
    </row>
    <row r="410" spans="2:22" x14ac:dyDescent="0.25">
      <c r="B410" s="536">
        <v>46220</v>
      </c>
      <c r="C410" s="26" t="s">
        <v>598</v>
      </c>
      <c r="D410" s="26">
        <v>1</v>
      </c>
      <c r="E410" s="26" t="s">
        <v>609</v>
      </c>
      <c r="F410" s="26" t="s">
        <v>874</v>
      </c>
      <c r="G410" s="26"/>
      <c r="H410" s="537">
        <v>15</v>
      </c>
      <c r="I410" s="26">
        <v>264128</v>
      </c>
      <c r="J410" s="538">
        <v>46220</v>
      </c>
      <c r="K410" s="538">
        <v>46221</v>
      </c>
      <c r="L410" s="26">
        <v>0</v>
      </c>
      <c r="M410" s="4">
        <v>74</v>
      </c>
      <c r="S410" t="s">
        <v>876</v>
      </c>
      <c r="T410" t="s">
        <v>884</v>
      </c>
      <c r="U410" s="539">
        <v>387.77300000000002</v>
      </c>
      <c r="V410" s="4">
        <v>313.53100000000001</v>
      </c>
    </row>
    <row r="411" spans="2:22" x14ac:dyDescent="0.25">
      <c r="B411" s="536">
        <v>46220</v>
      </c>
      <c r="C411" s="26" t="s">
        <v>598</v>
      </c>
      <c r="D411" s="26">
        <v>2</v>
      </c>
      <c r="E411" s="26" t="s">
        <v>609</v>
      </c>
      <c r="F411" s="26" t="s">
        <v>874</v>
      </c>
      <c r="G411" s="26"/>
      <c r="H411" s="537">
        <v>17</v>
      </c>
      <c r="I411" s="26">
        <v>264129</v>
      </c>
      <c r="J411" s="538">
        <v>46220</v>
      </c>
      <c r="K411" s="538">
        <v>46221</v>
      </c>
      <c r="L411" s="26">
        <v>0</v>
      </c>
      <c r="M411" s="4">
        <v>112</v>
      </c>
      <c r="S411" t="s">
        <v>877</v>
      </c>
      <c r="T411" t="s">
        <v>883</v>
      </c>
      <c r="U411" s="322">
        <v>110</v>
      </c>
      <c r="V411" s="4">
        <v>100</v>
      </c>
    </row>
    <row r="412" spans="2:22" x14ac:dyDescent="0.25">
      <c r="B412" s="536">
        <v>46220</v>
      </c>
      <c r="C412" s="26" t="s">
        <v>598</v>
      </c>
      <c r="D412" s="26">
        <v>3</v>
      </c>
      <c r="E412" s="26" t="s">
        <v>609</v>
      </c>
      <c r="F412" s="26" t="s">
        <v>874</v>
      </c>
      <c r="G412" s="26"/>
      <c r="H412" s="537">
        <v>12</v>
      </c>
      <c r="I412" s="26">
        <v>264130</v>
      </c>
      <c r="J412" s="538">
        <v>46220</v>
      </c>
      <c r="K412" s="538">
        <v>46221</v>
      </c>
      <c r="L412" s="26">
        <v>0</v>
      </c>
      <c r="M412" s="4">
        <v>0</v>
      </c>
      <c r="S412" t="s">
        <v>878</v>
      </c>
      <c r="T412" t="s">
        <v>883</v>
      </c>
      <c r="U412" s="539">
        <v>142.35</v>
      </c>
      <c r="V412" s="539">
        <v>130.65</v>
      </c>
    </row>
    <row r="413" spans="2:22" x14ac:dyDescent="0.25">
      <c r="B413" s="171">
        <v>46221</v>
      </c>
      <c r="C413" s="4" t="s">
        <v>80</v>
      </c>
      <c r="D413" s="4">
        <v>410702</v>
      </c>
      <c r="E413" s="4" t="s">
        <v>608</v>
      </c>
      <c r="H413" s="338">
        <v>10</v>
      </c>
      <c r="I413" s="4">
        <v>264151</v>
      </c>
      <c r="J413" s="262">
        <v>46221</v>
      </c>
      <c r="K413" s="262">
        <v>46221</v>
      </c>
      <c r="M413" s="4">
        <v>0</v>
      </c>
      <c r="S413" t="s">
        <v>879</v>
      </c>
      <c r="T413" t="s">
        <v>885</v>
      </c>
      <c r="U413" s="322">
        <v>236550</v>
      </c>
      <c r="V413" s="4">
        <v>201450</v>
      </c>
    </row>
    <row r="414" spans="2:22" x14ac:dyDescent="0.25">
      <c r="B414" s="171">
        <v>46221</v>
      </c>
      <c r="C414" s="4" t="s">
        <v>80</v>
      </c>
      <c r="D414" s="4">
        <v>410703</v>
      </c>
      <c r="E414" s="4" t="s">
        <v>608</v>
      </c>
      <c r="H414" s="338">
        <v>13</v>
      </c>
      <c r="I414" s="4">
        <v>264152</v>
      </c>
      <c r="J414" s="262">
        <v>46221</v>
      </c>
      <c r="K414" s="262">
        <v>46221</v>
      </c>
      <c r="M414" s="4">
        <v>0</v>
      </c>
      <c r="S414" t="s">
        <v>873</v>
      </c>
      <c r="T414" t="s">
        <v>886</v>
      </c>
      <c r="U414" s="539">
        <v>610.02099999999996</v>
      </c>
      <c r="V414" s="539">
        <v>642.52</v>
      </c>
    </row>
    <row r="415" spans="2:22" x14ac:dyDescent="0.25">
      <c r="B415" s="171">
        <v>46221</v>
      </c>
      <c r="C415" s="4" t="s">
        <v>102</v>
      </c>
      <c r="D415" s="4">
        <v>500602</v>
      </c>
      <c r="E415" s="4" t="s">
        <v>609</v>
      </c>
      <c r="F415" s="4">
        <v>56</v>
      </c>
      <c r="G415" s="4">
        <v>2</v>
      </c>
      <c r="H415" s="338">
        <v>9</v>
      </c>
      <c r="I415" s="4">
        <v>264153</v>
      </c>
      <c r="J415" s="262">
        <v>46221</v>
      </c>
      <c r="K415" s="262">
        <v>46221</v>
      </c>
      <c r="L415" s="4">
        <v>87</v>
      </c>
      <c r="M415" s="4">
        <v>0</v>
      </c>
      <c r="P415" s="4">
        <v>1.4</v>
      </c>
      <c r="S415" t="s">
        <v>880</v>
      </c>
      <c r="T415" t="s">
        <v>885</v>
      </c>
      <c r="U415" s="539">
        <v>203.2</v>
      </c>
      <c r="V415" s="4">
        <v>165.72</v>
      </c>
    </row>
    <row r="416" spans="2:22" x14ac:dyDescent="0.25">
      <c r="B416" s="171">
        <v>46221</v>
      </c>
      <c r="C416" s="4" t="s">
        <v>74</v>
      </c>
      <c r="D416" s="4">
        <v>400603</v>
      </c>
      <c r="E416" s="4" t="s">
        <v>608</v>
      </c>
      <c r="F416" s="4">
        <v>48</v>
      </c>
      <c r="G416" s="4">
        <v>11</v>
      </c>
      <c r="H416" s="338">
        <v>20</v>
      </c>
      <c r="I416" s="4">
        <v>264165</v>
      </c>
      <c r="J416" s="262">
        <v>46221</v>
      </c>
      <c r="K416" s="262">
        <v>46221</v>
      </c>
      <c r="L416" s="4">
        <v>101</v>
      </c>
      <c r="M416" s="4">
        <v>0</v>
      </c>
      <c r="P416" s="4">
        <v>2.2000000000000002</v>
      </c>
      <c r="S416" t="s">
        <v>881</v>
      </c>
      <c r="T416" t="s">
        <v>886</v>
      </c>
      <c r="U416" s="539">
        <v>524.01700000000005</v>
      </c>
      <c r="V416" s="4">
        <v>528.55999999999995</v>
      </c>
    </row>
    <row r="417" spans="1:22" x14ac:dyDescent="0.25">
      <c r="B417" s="171">
        <v>46222</v>
      </c>
      <c r="C417" s="4" t="s">
        <v>74</v>
      </c>
      <c r="D417" s="4">
        <v>400601</v>
      </c>
      <c r="E417" s="4" t="s">
        <v>608</v>
      </c>
      <c r="F417" s="4">
        <v>49</v>
      </c>
      <c r="G417" s="4">
        <v>12</v>
      </c>
      <c r="H417" s="338">
        <v>20</v>
      </c>
      <c r="I417" s="4">
        <v>264264</v>
      </c>
      <c r="J417" s="262">
        <v>46222</v>
      </c>
      <c r="K417" s="262">
        <v>46222</v>
      </c>
      <c r="L417" s="4">
        <v>67</v>
      </c>
      <c r="M417" s="4">
        <v>70</v>
      </c>
      <c r="P417" s="4">
        <v>2.85</v>
      </c>
      <c r="Q417" s="4">
        <v>3.5</v>
      </c>
      <c r="S417" t="s">
        <v>882</v>
      </c>
      <c r="T417" t="s">
        <v>887</v>
      </c>
      <c r="U417" s="539">
        <v>29.4</v>
      </c>
      <c r="V417" s="4">
        <v>30.65</v>
      </c>
    </row>
    <row r="418" spans="1:22" x14ac:dyDescent="0.25">
      <c r="B418" s="171">
        <v>46222</v>
      </c>
      <c r="C418" s="4" t="s">
        <v>102</v>
      </c>
      <c r="D418" s="4">
        <v>500601</v>
      </c>
      <c r="E418" s="4" t="s">
        <v>609</v>
      </c>
      <c r="F418" s="4">
        <v>57</v>
      </c>
      <c r="G418" s="4">
        <v>2</v>
      </c>
      <c r="H418" s="338">
        <v>9</v>
      </c>
      <c r="I418" s="4">
        <v>264202</v>
      </c>
      <c r="J418" s="262">
        <v>46222</v>
      </c>
      <c r="K418" s="262">
        <v>46222</v>
      </c>
      <c r="L418" s="4">
        <v>7</v>
      </c>
      <c r="M418" s="4">
        <v>0</v>
      </c>
      <c r="P418" s="4">
        <v>2</v>
      </c>
    </row>
    <row r="419" spans="1:22" x14ac:dyDescent="0.25">
      <c r="B419" s="171">
        <v>46223</v>
      </c>
      <c r="C419" s="4" t="s">
        <v>102</v>
      </c>
      <c r="D419" s="4">
        <v>500703</v>
      </c>
      <c r="E419" s="4" t="s">
        <v>609</v>
      </c>
      <c r="F419" s="4">
        <v>58</v>
      </c>
      <c r="G419" s="4">
        <v>2</v>
      </c>
      <c r="H419" s="338">
        <v>10</v>
      </c>
      <c r="I419" s="4">
        <v>264270</v>
      </c>
      <c r="J419" s="262">
        <v>46223</v>
      </c>
      <c r="K419" s="262">
        <v>46224</v>
      </c>
      <c r="L419" s="4">
        <v>81</v>
      </c>
      <c r="M419" s="4">
        <v>0</v>
      </c>
      <c r="P419" s="4">
        <v>1.7</v>
      </c>
      <c r="V419" t="s">
        <v>895</v>
      </c>
    </row>
    <row r="420" spans="1:22" x14ac:dyDescent="0.25">
      <c r="A420" s="533" t="s">
        <v>834</v>
      </c>
      <c r="B420" s="534">
        <v>46223</v>
      </c>
      <c r="C420" s="337" t="s">
        <v>74</v>
      </c>
      <c r="D420" s="337">
        <v>400614</v>
      </c>
      <c r="E420" s="337" t="s">
        <v>608</v>
      </c>
      <c r="F420" s="337" t="s">
        <v>940</v>
      </c>
      <c r="G420" s="337">
        <v>12</v>
      </c>
      <c r="H420" s="338">
        <v>22.3</v>
      </c>
      <c r="I420" s="337">
        <v>264280</v>
      </c>
      <c r="J420" s="535">
        <v>46224</v>
      </c>
      <c r="K420" s="535">
        <v>46226</v>
      </c>
      <c r="L420" s="337"/>
      <c r="M420" s="337" t="s">
        <v>864</v>
      </c>
      <c r="N420" s="533" t="s">
        <v>873</v>
      </c>
    </row>
    <row r="421" spans="1:22" x14ac:dyDescent="0.25">
      <c r="A421" s="533" t="s">
        <v>834</v>
      </c>
      <c r="B421" s="534">
        <v>46223</v>
      </c>
      <c r="C421" s="337" t="s">
        <v>74</v>
      </c>
      <c r="D421" s="337">
        <v>400601</v>
      </c>
      <c r="E421" s="337" t="s">
        <v>608</v>
      </c>
      <c r="F421" s="337">
        <v>49</v>
      </c>
      <c r="G421" s="337">
        <v>12</v>
      </c>
      <c r="H421" s="338">
        <v>20</v>
      </c>
      <c r="I421" s="337">
        <v>264279</v>
      </c>
      <c r="J421" s="535">
        <v>46224</v>
      </c>
      <c r="K421" s="535">
        <v>46226</v>
      </c>
      <c r="L421" s="337"/>
      <c r="M421" s="337" t="s">
        <v>872</v>
      </c>
      <c r="N421" s="533" t="s">
        <v>873</v>
      </c>
      <c r="P421" s="4">
        <v>2.85</v>
      </c>
      <c r="Q421" s="4">
        <v>3.5</v>
      </c>
    </row>
    <row r="422" spans="1:22" x14ac:dyDescent="0.25">
      <c r="B422" s="171">
        <v>46223</v>
      </c>
      <c r="C422" s="4" t="s">
        <v>244</v>
      </c>
      <c r="D422" s="4">
        <v>340701</v>
      </c>
      <c r="E422" s="4" t="s">
        <v>608</v>
      </c>
      <c r="F422" s="4">
        <v>50</v>
      </c>
      <c r="G422" s="4">
        <v>12</v>
      </c>
      <c r="H422" s="338">
        <v>16.5</v>
      </c>
      <c r="I422" s="4">
        <v>264278</v>
      </c>
      <c r="J422" s="262">
        <v>46223</v>
      </c>
      <c r="K422" s="262">
        <v>46224</v>
      </c>
      <c r="L422" s="4">
        <v>79</v>
      </c>
      <c r="M422" s="4">
        <v>29</v>
      </c>
      <c r="P422" s="4">
        <v>3.85</v>
      </c>
      <c r="R422" s="4"/>
    </row>
    <row r="423" spans="1:22" x14ac:dyDescent="0.25">
      <c r="B423" s="171">
        <v>46224</v>
      </c>
      <c r="C423" s="4" t="s">
        <v>102</v>
      </c>
      <c r="D423" s="4">
        <v>500604</v>
      </c>
      <c r="E423" s="4" t="s">
        <v>609</v>
      </c>
      <c r="F423" s="4">
        <v>59</v>
      </c>
      <c r="G423" s="4">
        <v>2</v>
      </c>
      <c r="H423" s="338">
        <v>11</v>
      </c>
      <c r="I423" s="4">
        <v>264305</v>
      </c>
      <c r="J423" s="262">
        <v>46224</v>
      </c>
      <c r="K423" s="262">
        <v>46226</v>
      </c>
      <c r="L423" s="4">
        <v>63</v>
      </c>
      <c r="M423" s="4">
        <v>0</v>
      </c>
      <c r="P423" s="4">
        <v>2.5</v>
      </c>
    </row>
    <row r="424" spans="1:22" x14ac:dyDescent="0.25">
      <c r="B424" s="171">
        <v>46229</v>
      </c>
      <c r="C424" s="4" t="s">
        <v>80</v>
      </c>
      <c r="D424" s="4">
        <v>410701</v>
      </c>
      <c r="E424" s="4" t="s">
        <v>609</v>
      </c>
      <c r="F424" s="4">
        <v>60</v>
      </c>
      <c r="G424" s="4">
        <v>2</v>
      </c>
      <c r="H424" s="338">
        <v>13</v>
      </c>
      <c r="I424" s="4">
        <v>264404</v>
      </c>
      <c r="J424" s="262">
        <v>46229</v>
      </c>
      <c r="K424" s="262">
        <v>46229</v>
      </c>
      <c r="L424" s="4">
        <v>244</v>
      </c>
      <c r="M424" s="4">
        <v>0</v>
      </c>
      <c r="P424" s="4">
        <v>2.2999999999999998</v>
      </c>
    </row>
    <row r="425" spans="1:22" x14ac:dyDescent="0.25">
      <c r="B425" s="171">
        <v>46229</v>
      </c>
      <c r="C425" s="4" t="s">
        <v>74</v>
      </c>
      <c r="D425" s="4">
        <v>400703</v>
      </c>
      <c r="E425" s="4" t="s">
        <v>608</v>
      </c>
      <c r="F425" s="4">
        <v>51</v>
      </c>
      <c r="G425" s="4">
        <v>12</v>
      </c>
      <c r="H425" s="338">
        <v>11</v>
      </c>
      <c r="I425" s="4">
        <v>264411</v>
      </c>
      <c r="J425" s="262">
        <v>46229</v>
      </c>
      <c r="K425" s="262">
        <v>46229</v>
      </c>
      <c r="L425" s="4">
        <v>69</v>
      </c>
      <c r="M425" s="4">
        <v>43</v>
      </c>
      <c r="P425" s="4">
        <v>2.2999999999999998</v>
      </c>
    </row>
    <row r="426" spans="1:22" x14ac:dyDescent="0.25">
      <c r="B426" s="171">
        <v>46230</v>
      </c>
      <c r="C426" s="4" t="s">
        <v>80</v>
      </c>
      <c r="D426" s="4">
        <v>410702</v>
      </c>
      <c r="E426" s="4" t="s">
        <v>609</v>
      </c>
      <c r="F426" s="4">
        <v>61</v>
      </c>
      <c r="G426" s="4">
        <v>2</v>
      </c>
      <c r="H426" s="338">
        <v>10</v>
      </c>
      <c r="I426" s="4">
        <v>264423</v>
      </c>
      <c r="J426" s="262">
        <v>46229</v>
      </c>
      <c r="K426" s="262">
        <v>46230</v>
      </c>
      <c r="P426" s="4">
        <v>1.71</v>
      </c>
    </row>
    <row r="427" spans="1:22" ht="15.75" x14ac:dyDescent="0.25">
      <c r="B427" s="171">
        <v>46231</v>
      </c>
      <c r="C427" s="4" t="s">
        <v>102</v>
      </c>
      <c r="D427" s="4">
        <v>550603</v>
      </c>
      <c r="E427" s="4" t="s">
        <v>609</v>
      </c>
      <c r="F427" s="4">
        <v>62</v>
      </c>
      <c r="G427" s="370">
        <v>2</v>
      </c>
      <c r="H427" s="338">
        <v>11</v>
      </c>
      <c r="I427" s="4">
        <v>264443</v>
      </c>
      <c r="J427" s="262">
        <v>46231</v>
      </c>
      <c r="K427" s="262">
        <v>46233</v>
      </c>
      <c r="L427" s="4">
        <v>75</v>
      </c>
      <c r="P427" s="4">
        <v>3.69</v>
      </c>
    </row>
    <row r="428" spans="1:22" x14ac:dyDescent="0.25">
      <c r="B428" s="171">
        <v>46231</v>
      </c>
      <c r="C428" s="4" t="s">
        <v>74</v>
      </c>
      <c r="D428" s="4">
        <v>400704</v>
      </c>
      <c r="E428" s="4" t="s">
        <v>608</v>
      </c>
      <c r="F428" s="4">
        <v>53</v>
      </c>
      <c r="G428" s="4">
        <v>12</v>
      </c>
      <c r="H428" s="338">
        <v>11</v>
      </c>
      <c r="I428" s="4">
        <v>264465</v>
      </c>
      <c r="J428" s="262">
        <v>46231</v>
      </c>
      <c r="K428" s="262">
        <v>46233</v>
      </c>
      <c r="L428" s="4">
        <v>103</v>
      </c>
      <c r="M428" s="4">
        <v>35</v>
      </c>
      <c r="P428" s="4">
        <v>1.5</v>
      </c>
    </row>
    <row r="429" spans="1:22" x14ac:dyDescent="0.25">
      <c r="B429" s="171">
        <v>46233</v>
      </c>
      <c r="C429" s="4" t="s">
        <v>105</v>
      </c>
      <c r="D429" s="4">
        <v>550701</v>
      </c>
      <c r="E429" s="4" t="s">
        <v>609</v>
      </c>
      <c r="F429" s="4">
        <v>63</v>
      </c>
      <c r="G429" s="4">
        <v>2</v>
      </c>
      <c r="H429" s="338">
        <v>15</v>
      </c>
      <c r="I429" s="4">
        <v>264478</v>
      </c>
      <c r="J429" s="262">
        <v>46233</v>
      </c>
      <c r="K429" s="262">
        <v>46234</v>
      </c>
      <c r="L429" s="4">
        <v>5</v>
      </c>
      <c r="M429" s="4">
        <v>0</v>
      </c>
      <c r="P429" s="4">
        <v>4</v>
      </c>
    </row>
    <row r="430" spans="1:22" x14ac:dyDescent="0.25">
      <c r="B430" s="171">
        <v>46233</v>
      </c>
      <c r="C430" s="4" t="s">
        <v>80</v>
      </c>
      <c r="D430" s="4">
        <v>410704</v>
      </c>
      <c r="E430" s="4" t="s">
        <v>609</v>
      </c>
      <c r="F430" s="4">
        <v>64</v>
      </c>
      <c r="G430" s="4">
        <v>2</v>
      </c>
      <c r="H430" s="338">
        <v>12</v>
      </c>
      <c r="I430" s="4">
        <v>264487</v>
      </c>
      <c r="J430" s="262">
        <v>46233</v>
      </c>
      <c r="K430" s="262">
        <v>46234</v>
      </c>
      <c r="L430" s="4">
        <v>21</v>
      </c>
      <c r="M430" s="4">
        <v>0</v>
      </c>
      <c r="P430" s="4">
        <v>3</v>
      </c>
    </row>
    <row r="431" spans="1:22" ht="15.75" x14ac:dyDescent="0.25">
      <c r="B431" s="171">
        <v>46234</v>
      </c>
      <c r="C431" s="4" t="s">
        <v>80</v>
      </c>
      <c r="D431" s="4">
        <v>410703</v>
      </c>
      <c r="E431" s="4" t="s">
        <v>609</v>
      </c>
      <c r="F431" s="370">
        <v>65</v>
      </c>
      <c r="G431" s="370">
        <v>2</v>
      </c>
      <c r="H431" s="338">
        <v>11</v>
      </c>
      <c r="I431" s="4">
        <v>264497</v>
      </c>
      <c r="J431" s="262">
        <v>46234</v>
      </c>
      <c r="K431" s="262">
        <v>46236</v>
      </c>
      <c r="P431" s="4">
        <v>3.3</v>
      </c>
    </row>
    <row r="432" spans="1:22" ht="15.75" x14ac:dyDescent="0.25">
      <c r="B432" s="171">
        <v>46236</v>
      </c>
      <c r="C432" s="4" t="s">
        <v>80</v>
      </c>
      <c r="D432" s="4">
        <v>410705</v>
      </c>
      <c r="E432" s="4" t="s">
        <v>609</v>
      </c>
      <c r="F432" s="370">
        <v>66</v>
      </c>
      <c r="G432" s="370">
        <v>2</v>
      </c>
      <c r="H432" s="338">
        <v>10</v>
      </c>
      <c r="I432" s="4">
        <v>264524</v>
      </c>
      <c r="J432" s="262">
        <v>46236</v>
      </c>
      <c r="K432" s="262">
        <v>46237</v>
      </c>
      <c r="P432" s="4">
        <v>3.4</v>
      </c>
    </row>
    <row r="433" spans="2:16" ht="15.75" x14ac:dyDescent="0.25">
      <c r="B433" s="171">
        <v>46240</v>
      </c>
      <c r="C433" s="4" t="s">
        <v>74</v>
      </c>
      <c r="D433" s="4">
        <v>400614</v>
      </c>
      <c r="E433" s="4" t="s">
        <v>608</v>
      </c>
      <c r="F433" s="370">
        <v>54</v>
      </c>
      <c r="G433" s="4">
        <v>12</v>
      </c>
      <c r="H433" s="338">
        <v>22.3</v>
      </c>
      <c r="I433" s="4">
        <v>264598</v>
      </c>
      <c r="J433" s="262">
        <v>46240</v>
      </c>
      <c r="K433" s="262">
        <v>46241</v>
      </c>
      <c r="L433" s="4">
        <v>188</v>
      </c>
      <c r="P433" s="4">
        <v>3.9</v>
      </c>
    </row>
    <row r="434" spans="2:16" ht="15.75" x14ac:dyDescent="0.25">
      <c r="B434" s="171">
        <v>46240</v>
      </c>
      <c r="C434" s="4" t="s">
        <v>57</v>
      </c>
      <c r="D434" s="4">
        <v>650702</v>
      </c>
      <c r="E434" s="4" t="s">
        <v>608</v>
      </c>
      <c r="F434" s="370">
        <v>55</v>
      </c>
      <c r="G434" s="4">
        <v>12</v>
      </c>
      <c r="H434" s="338">
        <v>17.5</v>
      </c>
      <c r="I434" s="4">
        <v>264599</v>
      </c>
      <c r="J434" s="262">
        <v>46240</v>
      </c>
      <c r="K434" s="262">
        <v>46241</v>
      </c>
      <c r="L434" s="4">
        <v>57</v>
      </c>
      <c r="P434" s="4">
        <v>2.8</v>
      </c>
    </row>
    <row r="435" spans="2:16" ht="15.75" x14ac:dyDescent="0.25">
      <c r="B435" s="171">
        <v>46242</v>
      </c>
      <c r="C435" s="4" t="s">
        <v>57</v>
      </c>
      <c r="D435" s="4">
        <v>650701</v>
      </c>
      <c r="E435" s="4" t="s">
        <v>608</v>
      </c>
      <c r="F435" s="370">
        <v>56</v>
      </c>
      <c r="G435" s="4">
        <v>12</v>
      </c>
      <c r="H435" s="338">
        <v>17.5</v>
      </c>
      <c r="I435" s="4">
        <v>264636</v>
      </c>
      <c r="J435" s="262">
        <v>46242</v>
      </c>
      <c r="K435" s="262">
        <v>46242</v>
      </c>
      <c r="L435" s="4">
        <v>120</v>
      </c>
      <c r="P435" s="4">
        <v>2.6</v>
      </c>
    </row>
    <row r="436" spans="2:16" x14ac:dyDescent="0.25">
      <c r="B436" s="171">
        <v>46242</v>
      </c>
      <c r="C436" s="4" t="s">
        <v>74</v>
      </c>
      <c r="D436" s="4">
        <v>400617</v>
      </c>
      <c r="E436" s="4" t="s">
        <v>608</v>
      </c>
      <c r="F436" s="4" t="s">
        <v>926</v>
      </c>
      <c r="G436" s="4">
        <v>11</v>
      </c>
      <c r="H436" s="338">
        <v>22.3</v>
      </c>
      <c r="I436" s="4">
        <v>264635</v>
      </c>
      <c r="J436" s="262">
        <v>46242</v>
      </c>
      <c r="K436" s="262">
        <v>46242</v>
      </c>
      <c r="L436" s="4">
        <v>124</v>
      </c>
    </row>
    <row r="437" spans="2:16" x14ac:dyDescent="0.25">
      <c r="B437" s="171">
        <v>46248</v>
      </c>
      <c r="C437" s="4" t="s">
        <v>105</v>
      </c>
      <c r="D437" s="4">
        <v>550801</v>
      </c>
      <c r="E437" s="4" t="s">
        <v>609</v>
      </c>
      <c r="F437" s="4">
        <v>67</v>
      </c>
      <c r="G437" s="4">
        <v>2</v>
      </c>
      <c r="H437" s="338">
        <v>7.7</v>
      </c>
      <c r="I437" s="4">
        <v>264809</v>
      </c>
      <c r="J437" s="262">
        <v>46249</v>
      </c>
      <c r="K437" s="262">
        <v>46249</v>
      </c>
      <c r="L437" s="4">
        <v>17</v>
      </c>
      <c r="P437" s="4">
        <v>2.2999999999999998</v>
      </c>
    </row>
    <row r="438" spans="2:16" x14ac:dyDescent="0.25">
      <c r="B438" s="171">
        <v>46250</v>
      </c>
      <c r="C438" s="4" t="s">
        <v>74</v>
      </c>
      <c r="D438" s="4">
        <v>400802</v>
      </c>
      <c r="E438" s="4" t="s">
        <v>609</v>
      </c>
      <c r="F438" s="4">
        <v>68</v>
      </c>
      <c r="G438" s="4">
        <v>2</v>
      </c>
      <c r="H438" s="338">
        <v>16.3</v>
      </c>
      <c r="I438" s="4">
        <v>264833</v>
      </c>
      <c r="J438" s="262">
        <v>46250</v>
      </c>
      <c r="K438" s="262">
        <v>46250</v>
      </c>
      <c r="L438" s="4">
        <v>103</v>
      </c>
      <c r="P438" s="4">
        <v>2</v>
      </c>
    </row>
    <row r="439" spans="2:16" x14ac:dyDescent="0.25">
      <c r="B439" s="171">
        <v>46251</v>
      </c>
      <c r="C439" s="4" t="s">
        <v>74</v>
      </c>
      <c r="D439" s="4">
        <v>400801</v>
      </c>
      <c r="E439" s="4" t="s">
        <v>609</v>
      </c>
      <c r="F439" s="4">
        <v>69</v>
      </c>
      <c r="G439" s="4">
        <v>2</v>
      </c>
      <c r="H439" s="338">
        <v>16.3</v>
      </c>
      <c r="I439" s="4">
        <v>264873</v>
      </c>
      <c r="J439" s="262">
        <v>46252</v>
      </c>
      <c r="K439" s="262">
        <v>46252</v>
      </c>
      <c r="L439" s="4">
        <v>80</v>
      </c>
      <c r="P439" s="4">
        <v>2.5</v>
      </c>
    </row>
    <row r="440" spans="2:16" x14ac:dyDescent="0.25">
      <c r="B440" s="171">
        <v>46254</v>
      </c>
      <c r="C440" s="4" t="s">
        <v>74</v>
      </c>
      <c r="D440" s="4">
        <v>400803</v>
      </c>
      <c r="E440" s="4" t="s">
        <v>609</v>
      </c>
      <c r="F440" s="4">
        <v>70</v>
      </c>
      <c r="G440" s="4">
        <v>2</v>
      </c>
      <c r="H440" s="338">
        <v>22.3</v>
      </c>
      <c r="I440" s="4">
        <v>264922</v>
      </c>
      <c r="J440" s="262">
        <v>46254</v>
      </c>
      <c r="K440" s="262">
        <v>46254</v>
      </c>
      <c r="L440" s="4">
        <v>140</v>
      </c>
      <c r="P440" s="4">
        <v>2.2999999999999998</v>
      </c>
    </row>
    <row r="441" spans="2:16" x14ac:dyDescent="0.25">
      <c r="B441" s="171">
        <v>46256</v>
      </c>
      <c r="C441" s="4" t="s">
        <v>625</v>
      </c>
      <c r="D441" s="4">
        <v>260801</v>
      </c>
      <c r="E441" s="4" t="s">
        <v>609</v>
      </c>
      <c r="F441" s="4">
        <v>71</v>
      </c>
      <c r="G441" s="4">
        <v>2</v>
      </c>
      <c r="H441" s="338">
        <v>13</v>
      </c>
      <c r="I441" s="4">
        <v>264979</v>
      </c>
      <c r="J441" s="262">
        <v>46256</v>
      </c>
      <c r="K441" s="262">
        <v>46257</v>
      </c>
      <c r="L441" s="4">
        <v>112</v>
      </c>
      <c r="P441" s="4">
        <v>2.2999999999999998</v>
      </c>
    </row>
    <row r="442" spans="2:16" x14ac:dyDescent="0.25">
      <c r="B442" s="171">
        <v>46258</v>
      </c>
      <c r="C442" s="4" t="s">
        <v>625</v>
      </c>
      <c r="D442" s="4">
        <v>260802</v>
      </c>
      <c r="E442" s="4" t="s">
        <v>609</v>
      </c>
      <c r="F442" s="4">
        <v>72</v>
      </c>
      <c r="G442" s="4">
        <v>2</v>
      </c>
      <c r="H442" s="338">
        <v>13</v>
      </c>
      <c r="I442" s="4">
        <v>265012</v>
      </c>
      <c r="J442" s="262">
        <v>46258</v>
      </c>
      <c r="K442" s="262">
        <v>46258</v>
      </c>
      <c r="L442" s="4">
        <v>1</v>
      </c>
      <c r="P442" s="4">
        <v>2.7</v>
      </c>
    </row>
    <row r="443" spans="2:16" x14ac:dyDescent="0.25">
      <c r="B443" s="171">
        <v>46258</v>
      </c>
      <c r="C443" s="4" t="s">
        <v>74</v>
      </c>
      <c r="D443" s="4">
        <v>400804</v>
      </c>
      <c r="E443" s="4" t="s">
        <v>609</v>
      </c>
      <c r="F443" s="4">
        <v>73</v>
      </c>
      <c r="G443" s="4">
        <v>2</v>
      </c>
      <c r="H443" s="338">
        <v>18.100000000000001</v>
      </c>
      <c r="I443" s="4">
        <v>265042</v>
      </c>
      <c r="J443" s="262">
        <v>46259</v>
      </c>
      <c r="K443" s="262">
        <v>46259</v>
      </c>
      <c r="L443" s="4">
        <v>88</v>
      </c>
      <c r="P443" s="4">
        <v>2</v>
      </c>
    </row>
    <row r="444" spans="2:16" x14ac:dyDescent="0.25">
      <c r="B444" s="171">
        <v>46258</v>
      </c>
      <c r="C444" s="4" t="s">
        <v>74</v>
      </c>
      <c r="D444" s="4">
        <v>400805</v>
      </c>
      <c r="E444" s="4" t="s">
        <v>609</v>
      </c>
      <c r="F444" s="4">
        <v>73</v>
      </c>
      <c r="G444" s="4">
        <v>2</v>
      </c>
      <c r="H444" s="338">
        <v>12</v>
      </c>
      <c r="I444" s="4">
        <v>265041</v>
      </c>
      <c r="J444" s="262">
        <v>46259</v>
      </c>
      <c r="K444" s="262">
        <v>46259</v>
      </c>
      <c r="L444" s="4">
        <v>59</v>
      </c>
      <c r="P444" s="4">
        <v>2</v>
      </c>
    </row>
    <row r="445" spans="2:16" x14ac:dyDescent="0.25">
      <c r="B445" s="171">
        <v>46259</v>
      </c>
      <c r="C445" s="4" t="s">
        <v>974</v>
      </c>
      <c r="D445" s="4">
        <v>910801</v>
      </c>
      <c r="E445" s="4" t="s">
        <v>609</v>
      </c>
      <c r="F445" s="4">
        <v>74</v>
      </c>
      <c r="G445" s="4">
        <v>2</v>
      </c>
      <c r="H445" s="338">
        <v>16.3</v>
      </c>
      <c r="I445" s="4">
        <v>265068</v>
      </c>
      <c r="J445" s="262">
        <v>46261</v>
      </c>
      <c r="K445" s="262">
        <v>46261</v>
      </c>
      <c r="L445" s="4">
        <v>82</v>
      </c>
      <c r="P445" s="4">
        <v>2.1</v>
      </c>
    </row>
    <row r="446" spans="2:16" x14ac:dyDescent="0.25">
      <c r="B446" s="171">
        <v>46261</v>
      </c>
      <c r="C446" s="4" t="s">
        <v>625</v>
      </c>
      <c r="D446" s="4">
        <v>260803</v>
      </c>
      <c r="E446" s="4" t="s">
        <v>609</v>
      </c>
      <c r="F446" s="4">
        <v>75</v>
      </c>
      <c r="G446" s="4">
        <v>2</v>
      </c>
      <c r="H446" s="338">
        <v>13</v>
      </c>
      <c r="I446" s="4">
        <v>265080</v>
      </c>
      <c r="J446" s="262">
        <v>46261</v>
      </c>
      <c r="K446" s="262">
        <v>46261</v>
      </c>
      <c r="L446" s="4">
        <v>104</v>
      </c>
      <c r="P446" s="4">
        <v>2.2999999999999998</v>
      </c>
    </row>
    <row r="447" spans="2:16" x14ac:dyDescent="0.25">
      <c r="B447" s="171">
        <v>46262</v>
      </c>
      <c r="C447" s="4" t="s">
        <v>625</v>
      </c>
      <c r="D447" s="4">
        <v>260804</v>
      </c>
      <c r="E447" s="4" t="s">
        <v>609</v>
      </c>
      <c r="F447" s="4">
        <v>76</v>
      </c>
      <c r="G447" s="4">
        <v>2</v>
      </c>
      <c r="H447" s="338">
        <v>13</v>
      </c>
      <c r="I447" s="4">
        <v>265116</v>
      </c>
      <c r="J447" s="262">
        <v>46262</v>
      </c>
      <c r="K447" s="262">
        <v>46263</v>
      </c>
      <c r="L447" s="4">
        <v>67</v>
      </c>
      <c r="P447" s="4">
        <v>2.5</v>
      </c>
    </row>
    <row r="448" spans="2:16" x14ac:dyDescent="0.25">
      <c r="B448" s="171">
        <v>46262</v>
      </c>
      <c r="C448" s="4" t="s">
        <v>74</v>
      </c>
      <c r="D448" s="4" t="s">
        <v>900</v>
      </c>
      <c r="E448" s="4" t="s">
        <v>608</v>
      </c>
      <c r="F448" s="4">
        <v>51</v>
      </c>
      <c r="G448" s="4">
        <v>12</v>
      </c>
      <c r="H448" s="338">
        <v>11</v>
      </c>
      <c r="I448" s="4">
        <v>265117</v>
      </c>
      <c r="J448" s="262">
        <v>46262</v>
      </c>
      <c r="K448" s="262">
        <v>46263</v>
      </c>
      <c r="L448" s="4">
        <v>60</v>
      </c>
    </row>
    <row r="449" spans="2:16" x14ac:dyDescent="0.25">
      <c r="B449" s="171">
        <v>46262</v>
      </c>
      <c r="C449" s="4" t="s">
        <v>74</v>
      </c>
      <c r="D449" s="4">
        <v>400606</v>
      </c>
      <c r="E449" s="4" t="s">
        <v>609</v>
      </c>
      <c r="F449" s="4">
        <v>38</v>
      </c>
      <c r="G449" s="4">
        <v>2</v>
      </c>
      <c r="H449" s="338">
        <v>18.5</v>
      </c>
      <c r="I449" s="4">
        <v>265118</v>
      </c>
      <c r="J449" s="262">
        <v>46262</v>
      </c>
      <c r="K449" s="262">
        <v>46263</v>
      </c>
      <c r="L449" s="4">
        <v>61</v>
      </c>
    </row>
    <row r="450" spans="2:16" ht="15.75" x14ac:dyDescent="0.25">
      <c r="B450" s="171">
        <v>46262</v>
      </c>
      <c r="C450" s="4" t="s">
        <v>74</v>
      </c>
      <c r="D450" s="4" t="s">
        <v>954</v>
      </c>
      <c r="E450" s="4" t="s">
        <v>608</v>
      </c>
      <c r="F450" s="370">
        <v>54</v>
      </c>
      <c r="G450" s="4">
        <v>12</v>
      </c>
      <c r="H450" s="338">
        <v>22.3</v>
      </c>
      <c r="I450" s="4">
        <v>265119</v>
      </c>
      <c r="J450" s="262">
        <v>46262</v>
      </c>
      <c r="K450" s="262">
        <v>46263</v>
      </c>
      <c r="L450" s="4">
        <v>161</v>
      </c>
    </row>
    <row r="451" spans="2:16" x14ac:dyDescent="0.25">
      <c r="B451" s="171">
        <v>46263</v>
      </c>
      <c r="C451" s="4" t="s">
        <v>89</v>
      </c>
      <c r="D451" s="4">
        <v>940801</v>
      </c>
      <c r="E451" s="4" t="s">
        <v>609</v>
      </c>
      <c r="F451" s="4">
        <v>77</v>
      </c>
      <c r="G451" s="4">
        <v>2</v>
      </c>
      <c r="H451" s="338">
        <v>10</v>
      </c>
      <c r="I451" s="4">
        <v>265121</v>
      </c>
      <c r="J451" s="262">
        <v>46263</v>
      </c>
      <c r="K451" s="262">
        <v>46263</v>
      </c>
      <c r="L451" s="4">
        <v>69</v>
      </c>
      <c r="P451" s="4">
        <v>2</v>
      </c>
    </row>
    <row r="452" spans="2:16" x14ac:dyDescent="0.25">
      <c r="B452" s="171">
        <v>46264</v>
      </c>
      <c r="C452" s="4" t="s">
        <v>57</v>
      </c>
      <c r="D452" s="4">
        <v>650805</v>
      </c>
      <c r="E452" s="4" t="s">
        <v>609</v>
      </c>
      <c r="F452" s="4">
        <v>78</v>
      </c>
      <c r="G452" s="4">
        <v>2</v>
      </c>
      <c r="H452" s="338">
        <v>17.5</v>
      </c>
      <c r="I452" s="4">
        <v>265156</v>
      </c>
      <c r="J452" s="262">
        <v>46264</v>
      </c>
      <c r="K452" s="262">
        <v>46264</v>
      </c>
      <c r="L452" s="4">
        <v>95</v>
      </c>
      <c r="P452" s="4">
        <v>2.6</v>
      </c>
    </row>
    <row r="453" spans="2:16" x14ac:dyDescent="0.25">
      <c r="B453" s="171">
        <v>46266</v>
      </c>
      <c r="C453" s="4" t="s">
        <v>57</v>
      </c>
      <c r="D453" s="4">
        <v>650804</v>
      </c>
      <c r="E453" s="4" t="s">
        <v>609</v>
      </c>
      <c r="F453" s="4">
        <v>79</v>
      </c>
      <c r="G453" s="4">
        <v>2</v>
      </c>
      <c r="H453" s="338">
        <v>17.5</v>
      </c>
      <c r="I453" s="4">
        <v>265187</v>
      </c>
      <c r="J453" s="262">
        <v>46266</v>
      </c>
      <c r="K453" s="262">
        <v>46266</v>
      </c>
      <c r="L453" s="4">
        <v>94</v>
      </c>
      <c r="P453" s="4">
        <v>2.4</v>
      </c>
    </row>
    <row r="454" spans="2:16" x14ac:dyDescent="0.25">
      <c r="B454" s="171">
        <v>46277</v>
      </c>
      <c r="C454" s="4" t="s">
        <v>57</v>
      </c>
      <c r="D454" s="4">
        <v>650801</v>
      </c>
      <c r="E454" s="4" t="s">
        <v>609</v>
      </c>
      <c r="F454" s="4">
        <v>80</v>
      </c>
      <c r="G454" s="4">
        <v>2</v>
      </c>
      <c r="H454" s="338">
        <v>17.5</v>
      </c>
      <c r="I454" s="4">
        <v>265301</v>
      </c>
      <c r="J454" s="262">
        <v>46278</v>
      </c>
      <c r="K454" s="262">
        <v>46278</v>
      </c>
      <c r="L454" s="4">
        <v>171</v>
      </c>
      <c r="P454" s="4">
        <v>1.2</v>
      </c>
    </row>
    <row r="455" spans="2:16" x14ac:dyDescent="0.25">
      <c r="B455" s="171">
        <v>46283</v>
      </c>
      <c r="C455" s="4" t="s">
        <v>57</v>
      </c>
      <c r="D455" s="4">
        <v>650803</v>
      </c>
      <c r="E455" s="4" t="s">
        <v>609</v>
      </c>
      <c r="F455" s="4">
        <v>81</v>
      </c>
      <c r="G455" s="4">
        <v>2</v>
      </c>
      <c r="H455" s="338">
        <v>17.5</v>
      </c>
      <c r="I455" s="4">
        <v>265408</v>
      </c>
      <c r="J455" s="262">
        <v>46284</v>
      </c>
      <c r="K455" s="262">
        <v>46285</v>
      </c>
      <c r="L455" s="4">
        <v>132</v>
      </c>
      <c r="P455" s="4">
        <v>3.6</v>
      </c>
    </row>
    <row r="456" spans="2:16" x14ac:dyDescent="0.25">
      <c r="B456" s="171">
        <v>46283</v>
      </c>
      <c r="C456" s="4" t="s">
        <v>80</v>
      </c>
      <c r="D456" s="4">
        <v>410901</v>
      </c>
      <c r="E456" s="4" t="s">
        <v>608</v>
      </c>
      <c r="F456" s="4">
        <v>57</v>
      </c>
      <c r="G456" s="4">
        <v>2</v>
      </c>
      <c r="H456" s="338">
        <v>14</v>
      </c>
      <c r="I456" s="4">
        <v>265409</v>
      </c>
      <c r="J456" s="262">
        <v>46284</v>
      </c>
      <c r="K456" s="262">
        <v>46285</v>
      </c>
      <c r="L456" s="4" t="s">
        <v>97</v>
      </c>
    </row>
    <row r="457" spans="2:16" x14ac:dyDescent="0.25">
      <c r="B457" s="171">
        <v>46284</v>
      </c>
      <c r="C457" s="4" t="s">
        <v>80</v>
      </c>
      <c r="D457" s="4">
        <v>410904</v>
      </c>
      <c r="E457" s="4" t="s">
        <v>608</v>
      </c>
      <c r="F457" s="4">
        <v>58</v>
      </c>
      <c r="G457" s="4">
        <v>2</v>
      </c>
      <c r="H457" s="338">
        <v>12</v>
      </c>
      <c r="I457" s="4">
        <v>265435</v>
      </c>
      <c r="J457" s="262">
        <v>46285</v>
      </c>
      <c r="K457" s="262">
        <v>46285</v>
      </c>
    </row>
    <row r="458" spans="2:16" x14ac:dyDescent="0.25">
      <c r="B458" s="171">
        <v>46285</v>
      </c>
      <c r="C458" s="4" t="s">
        <v>57</v>
      </c>
      <c r="D458" s="4">
        <v>650802</v>
      </c>
      <c r="E458" s="4" t="s">
        <v>609</v>
      </c>
      <c r="F458" s="4">
        <v>82</v>
      </c>
      <c r="G458" s="4">
        <v>2</v>
      </c>
      <c r="H458" s="338">
        <v>17.5</v>
      </c>
      <c r="I458" s="4">
        <v>265450</v>
      </c>
      <c r="J458" s="262">
        <v>46285</v>
      </c>
      <c r="K458" s="262">
        <v>46285</v>
      </c>
      <c r="L458" s="4">
        <v>76</v>
      </c>
      <c r="P458" s="4">
        <v>3.5</v>
      </c>
    </row>
    <row r="459" spans="2:16" x14ac:dyDescent="0.25">
      <c r="H459" s="338"/>
    </row>
    <row r="460" spans="2:16" x14ac:dyDescent="0.25">
      <c r="H460" s="338"/>
    </row>
    <row r="461" spans="2:16" x14ac:dyDescent="0.25">
      <c r="H461" s="338"/>
    </row>
    <row r="462" spans="2:16" x14ac:dyDescent="0.25">
      <c r="H462" s="338"/>
    </row>
    <row r="463" spans="2:16" x14ac:dyDescent="0.25">
      <c r="H463" s="338"/>
    </row>
    <row r="464" spans="2:16" x14ac:dyDescent="0.25">
      <c r="H464" s="338"/>
    </row>
  </sheetData>
  <sortState xmlns:xlrd2="http://schemas.microsoft.com/office/spreadsheetml/2017/richdata2" ref="B16:V79">
    <sortCondition ref="I16:I79"/>
  </sortState>
  <conditionalFormatting sqref="X79:Y81">
    <cfRule type="expression" dxfId="315" priority="333">
      <formula>ISODD($AE79)</formula>
    </cfRule>
  </conditionalFormatting>
  <conditionalFormatting sqref="S79:T81">
    <cfRule type="expression" dxfId="314" priority="332">
      <formula>ISODD($AE79)</formula>
    </cfRule>
  </conditionalFormatting>
  <conditionalFormatting sqref="D123:D126">
    <cfRule type="duplicateValues" dxfId="313" priority="328"/>
  </conditionalFormatting>
  <conditionalFormatting sqref="D123:D126">
    <cfRule type="duplicateValues" dxfId="312" priority="329"/>
  </conditionalFormatting>
  <conditionalFormatting sqref="D132:D134">
    <cfRule type="duplicateValues" dxfId="311" priority="326"/>
  </conditionalFormatting>
  <conditionalFormatting sqref="D132:D134">
    <cfRule type="duplicateValues" dxfId="310" priority="327"/>
  </conditionalFormatting>
  <conditionalFormatting sqref="D136 D139">
    <cfRule type="duplicateValues" dxfId="309" priority="322"/>
  </conditionalFormatting>
  <conditionalFormatting sqref="D136 D139">
    <cfRule type="duplicateValues" dxfId="308" priority="323"/>
  </conditionalFormatting>
  <conditionalFormatting sqref="D128">
    <cfRule type="duplicateValues" dxfId="307" priority="320"/>
  </conditionalFormatting>
  <conditionalFormatting sqref="D128">
    <cfRule type="duplicateValues" dxfId="306" priority="321"/>
  </conditionalFormatting>
  <conditionalFormatting sqref="D129">
    <cfRule type="duplicateValues" dxfId="305" priority="318"/>
  </conditionalFormatting>
  <conditionalFormatting sqref="D129">
    <cfRule type="duplicateValues" dxfId="304" priority="319"/>
  </conditionalFormatting>
  <conditionalFormatting sqref="D131">
    <cfRule type="duplicateValues" dxfId="303" priority="316"/>
  </conditionalFormatting>
  <conditionalFormatting sqref="D131">
    <cfRule type="duplicateValues" dxfId="302" priority="317"/>
  </conditionalFormatting>
  <conditionalFormatting sqref="D135">
    <cfRule type="duplicateValues" dxfId="301" priority="314"/>
  </conditionalFormatting>
  <conditionalFormatting sqref="D135">
    <cfRule type="duplicateValues" dxfId="300" priority="315"/>
  </conditionalFormatting>
  <conditionalFormatting sqref="D130">
    <cfRule type="duplicateValues" dxfId="299" priority="312"/>
  </conditionalFormatting>
  <conditionalFormatting sqref="D130">
    <cfRule type="duplicateValues" dxfId="298" priority="313"/>
  </conditionalFormatting>
  <conditionalFormatting sqref="D137:D138">
    <cfRule type="duplicateValues" dxfId="297" priority="310"/>
  </conditionalFormatting>
  <conditionalFormatting sqref="D137:D138">
    <cfRule type="duplicateValues" dxfId="296" priority="311"/>
  </conditionalFormatting>
  <conditionalFormatting sqref="D142:D145">
    <cfRule type="duplicateValues" dxfId="295" priority="308"/>
  </conditionalFormatting>
  <conditionalFormatting sqref="D142:D145">
    <cfRule type="duplicateValues" dxfId="294" priority="309"/>
  </conditionalFormatting>
  <conditionalFormatting sqref="D146:D148">
    <cfRule type="duplicateValues" dxfId="293" priority="306"/>
  </conditionalFormatting>
  <conditionalFormatting sqref="D146:D148">
    <cfRule type="duplicateValues" dxfId="292" priority="307"/>
  </conditionalFormatting>
  <conditionalFormatting sqref="D149:D150 D152">
    <cfRule type="duplicateValues" dxfId="291" priority="304"/>
  </conditionalFormatting>
  <conditionalFormatting sqref="D149:D150 D152">
    <cfRule type="duplicateValues" dxfId="290" priority="305"/>
  </conditionalFormatting>
  <conditionalFormatting sqref="D154">
    <cfRule type="duplicateValues" dxfId="289" priority="300"/>
  </conditionalFormatting>
  <conditionalFormatting sqref="D154">
    <cfRule type="duplicateValues" dxfId="288" priority="301"/>
  </conditionalFormatting>
  <conditionalFormatting sqref="D155:D156">
    <cfRule type="duplicateValues" dxfId="287" priority="296"/>
  </conditionalFormatting>
  <conditionalFormatting sqref="D155:D156">
    <cfRule type="duplicateValues" dxfId="286" priority="297"/>
  </conditionalFormatting>
  <conditionalFormatting sqref="D159:D160">
    <cfRule type="duplicateValues" dxfId="285" priority="288"/>
  </conditionalFormatting>
  <conditionalFormatting sqref="D159:D160">
    <cfRule type="duplicateValues" dxfId="284" priority="289"/>
  </conditionalFormatting>
  <conditionalFormatting sqref="D159:D166">
    <cfRule type="duplicateValues" dxfId="283" priority="286"/>
  </conditionalFormatting>
  <conditionalFormatting sqref="D159:D166">
    <cfRule type="duplicateValues" dxfId="282" priority="287"/>
  </conditionalFormatting>
  <conditionalFormatting sqref="D163:D165">
    <cfRule type="duplicateValues" dxfId="281" priority="282"/>
  </conditionalFormatting>
  <conditionalFormatting sqref="D163:D165">
    <cfRule type="duplicateValues" dxfId="280" priority="283"/>
  </conditionalFormatting>
  <conditionalFormatting sqref="D167:D168">
    <cfRule type="duplicateValues" dxfId="279" priority="276"/>
  </conditionalFormatting>
  <conditionalFormatting sqref="D167:D168">
    <cfRule type="duplicateValues" dxfId="278" priority="277"/>
  </conditionalFormatting>
  <conditionalFormatting sqref="D169">
    <cfRule type="duplicateValues" dxfId="277" priority="268"/>
  </conditionalFormatting>
  <conditionalFormatting sqref="D169">
    <cfRule type="duplicateValues" dxfId="276" priority="269"/>
  </conditionalFormatting>
  <conditionalFormatting sqref="D170:D171">
    <cfRule type="duplicateValues" dxfId="275" priority="266"/>
  </conditionalFormatting>
  <conditionalFormatting sqref="D170:D171">
    <cfRule type="duplicateValues" dxfId="274" priority="267"/>
  </conditionalFormatting>
  <conditionalFormatting sqref="D157:D158">
    <cfRule type="duplicateValues" dxfId="273" priority="6843"/>
  </conditionalFormatting>
  <conditionalFormatting sqref="D174:D176">
    <cfRule type="duplicateValues" dxfId="272" priority="260"/>
  </conditionalFormatting>
  <conditionalFormatting sqref="D174:D176">
    <cfRule type="duplicateValues" dxfId="271" priority="261"/>
  </conditionalFormatting>
  <conditionalFormatting sqref="D183 D177:D179">
    <cfRule type="duplicateValues" dxfId="270" priority="6844"/>
  </conditionalFormatting>
  <conditionalFormatting sqref="D187:D188">
    <cfRule type="duplicateValues" dxfId="269" priority="253"/>
  </conditionalFormatting>
  <conditionalFormatting sqref="D185">
    <cfRule type="duplicateValues" dxfId="268" priority="252"/>
  </conditionalFormatting>
  <conditionalFormatting sqref="D190:D191">
    <cfRule type="duplicateValues" dxfId="267" priority="249"/>
  </conditionalFormatting>
  <conditionalFormatting sqref="D195">
    <cfRule type="duplicateValues" dxfId="266" priority="248"/>
  </conditionalFormatting>
  <conditionalFormatting sqref="D196:D198">
    <cfRule type="duplicateValues" dxfId="265" priority="244"/>
  </conditionalFormatting>
  <conditionalFormatting sqref="D196:D198">
    <cfRule type="duplicateValues" dxfId="264" priority="245"/>
  </conditionalFormatting>
  <conditionalFormatting sqref="D204:D210">
    <cfRule type="duplicateValues" dxfId="263" priority="240"/>
  </conditionalFormatting>
  <conditionalFormatting sqref="D204:D210">
    <cfRule type="duplicateValues" dxfId="262" priority="241"/>
  </conditionalFormatting>
  <conditionalFormatting sqref="D212">
    <cfRule type="duplicateValues" dxfId="261" priority="236"/>
  </conditionalFormatting>
  <conditionalFormatting sqref="D212">
    <cfRule type="duplicateValues" dxfId="260" priority="237"/>
  </conditionalFormatting>
  <conditionalFormatting sqref="D216:D221">
    <cfRule type="duplicateValues" dxfId="259" priority="230"/>
  </conditionalFormatting>
  <conditionalFormatting sqref="D216:D221">
    <cfRule type="duplicateValues" dxfId="258" priority="231"/>
  </conditionalFormatting>
  <conditionalFormatting sqref="D224:D226">
    <cfRule type="duplicateValues" dxfId="257" priority="224"/>
  </conditionalFormatting>
  <conditionalFormatting sqref="D224:D226">
    <cfRule type="duplicateValues" dxfId="256" priority="225"/>
  </conditionalFormatting>
  <conditionalFormatting sqref="D232">
    <cfRule type="duplicateValues" dxfId="255" priority="220"/>
  </conditionalFormatting>
  <conditionalFormatting sqref="D229 D231">
    <cfRule type="duplicateValues" dxfId="254" priority="218"/>
  </conditionalFormatting>
  <conditionalFormatting sqref="D234:D235">
    <cfRule type="duplicateValues" dxfId="253" priority="212"/>
  </conditionalFormatting>
  <conditionalFormatting sqref="D234:D235">
    <cfRule type="duplicateValues" dxfId="252" priority="213"/>
  </conditionalFormatting>
  <conditionalFormatting sqref="D236:D239">
    <cfRule type="duplicateValues" dxfId="251" priority="206"/>
  </conditionalFormatting>
  <conditionalFormatting sqref="D236:D239">
    <cfRule type="duplicateValues" dxfId="250" priority="207"/>
  </conditionalFormatting>
  <conditionalFormatting sqref="D244:D247 D249">
    <cfRule type="duplicateValues" dxfId="249" priority="202"/>
  </conditionalFormatting>
  <conditionalFormatting sqref="D244:D247 D249">
    <cfRule type="duplicateValues" dxfId="248" priority="203"/>
  </conditionalFormatting>
  <conditionalFormatting sqref="D248">
    <cfRule type="duplicateValues" dxfId="247" priority="200"/>
  </conditionalFormatting>
  <conditionalFormatting sqref="D248">
    <cfRule type="duplicateValues" dxfId="246" priority="201"/>
  </conditionalFormatting>
  <conditionalFormatting sqref="D250">
    <cfRule type="duplicateValues" dxfId="245" priority="196"/>
  </conditionalFormatting>
  <conditionalFormatting sqref="D250">
    <cfRule type="duplicateValues" dxfId="244" priority="197"/>
  </conditionalFormatting>
  <conditionalFormatting sqref="D252:D255">
    <cfRule type="duplicateValues" dxfId="243" priority="192"/>
  </conditionalFormatting>
  <conditionalFormatting sqref="D257">
    <cfRule type="duplicateValues" dxfId="242" priority="186"/>
  </conditionalFormatting>
  <conditionalFormatting sqref="D257">
    <cfRule type="duplicateValues" dxfId="241" priority="187"/>
  </conditionalFormatting>
  <conditionalFormatting sqref="D261">
    <cfRule type="duplicateValues" dxfId="240" priority="182"/>
  </conditionalFormatting>
  <conditionalFormatting sqref="D261">
    <cfRule type="duplicateValues" dxfId="239" priority="183"/>
  </conditionalFormatting>
  <conditionalFormatting sqref="D258">
    <cfRule type="duplicateValues" dxfId="238" priority="176"/>
  </conditionalFormatting>
  <conditionalFormatting sqref="D258">
    <cfRule type="duplicateValues" dxfId="237" priority="177"/>
  </conditionalFormatting>
  <conditionalFormatting sqref="D256">
    <cfRule type="duplicateValues" dxfId="236" priority="6923"/>
  </conditionalFormatting>
  <conditionalFormatting sqref="D266:D267">
    <cfRule type="duplicateValues" dxfId="235" priority="6945"/>
  </conditionalFormatting>
  <conditionalFormatting sqref="M348:M353">
    <cfRule type="duplicateValues" dxfId="234" priority="118"/>
  </conditionalFormatting>
  <conditionalFormatting sqref="M348:M353">
    <cfRule type="duplicateValues" dxfId="233" priority="119"/>
  </conditionalFormatting>
  <conditionalFormatting sqref="D358:D360">
    <cfRule type="duplicateValues" dxfId="232" priority="102"/>
  </conditionalFormatting>
  <conditionalFormatting sqref="D358:D360">
    <cfRule type="duplicateValues" dxfId="231" priority="103"/>
  </conditionalFormatting>
  <conditionalFormatting sqref="D361:D363">
    <cfRule type="duplicateValues" dxfId="230" priority="98"/>
  </conditionalFormatting>
  <conditionalFormatting sqref="D361:D363">
    <cfRule type="duplicateValues" dxfId="229" priority="99"/>
  </conditionalFormatting>
  <conditionalFormatting sqref="D365 D367:D368">
    <cfRule type="duplicateValues" dxfId="228" priority="92"/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rgb="FFFFFF00"/>
    <pageSetUpPr fitToPage="1"/>
  </sheetPr>
  <dimension ref="A1:O426"/>
  <sheetViews>
    <sheetView topLeftCell="A39" zoomScale="115" zoomScaleNormal="115" workbookViewId="0">
      <selection activeCell="C55" sqref="C55"/>
    </sheetView>
  </sheetViews>
  <sheetFormatPr defaultRowHeight="15" x14ac:dyDescent="0.25"/>
  <cols>
    <col min="1" max="1" width="6.5703125" customWidth="1"/>
    <col min="2" max="2" width="10.42578125" style="4" customWidth="1"/>
    <col min="3" max="3" width="12.42578125" style="4" customWidth="1"/>
    <col min="4" max="4" width="12" style="4" customWidth="1"/>
    <col min="5" max="6" width="13.42578125" style="4" customWidth="1"/>
    <col min="7" max="7" width="10.42578125" style="68" customWidth="1"/>
    <col min="8" max="8" width="10.42578125" customWidth="1"/>
    <col min="9" max="9" width="18.42578125" customWidth="1"/>
    <col min="10" max="10" width="10.42578125" style="291" customWidth="1"/>
    <col min="11" max="11" width="11" customWidth="1"/>
    <col min="12" max="12" width="11.42578125" customWidth="1"/>
    <col min="13" max="13" width="13.5703125" bestFit="1" customWidth="1"/>
    <col min="16" max="16" width="10.42578125" bestFit="1" customWidth="1"/>
  </cols>
  <sheetData>
    <row r="1" spans="2:14" ht="30" x14ac:dyDescent="0.25">
      <c r="B1" s="269" t="s">
        <v>646</v>
      </c>
      <c r="C1" s="269" t="s">
        <v>122</v>
      </c>
      <c r="D1" s="269" t="s">
        <v>120</v>
      </c>
      <c r="E1" s="269" t="s">
        <v>647</v>
      </c>
      <c r="F1" s="269" t="s">
        <v>648</v>
      </c>
      <c r="G1" s="269" t="s">
        <v>649</v>
      </c>
      <c r="H1" s="269" t="s">
        <v>650</v>
      </c>
      <c r="I1" s="270" t="s">
        <v>651</v>
      </c>
      <c r="J1" s="306" t="s">
        <v>132</v>
      </c>
      <c r="K1" s="307" t="s">
        <v>652</v>
      </c>
      <c r="L1" s="269" t="s">
        <v>783</v>
      </c>
      <c r="M1" s="307" t="s">
        <v>155</v>
      </c>
    </row>
    <row r="2" spans="2:14" x14ac:dyDescent="0.25">
      <c r="B2" s="4">
        <v>401</v>
      </c>
      <c r="C2" s="262">
        <f t="shared" ref="C2:C8" si="0">IFERROR(IF(VLOOKUP($B2,PRtrasport,10,FALSE)&gt;0,VLOOKUP($B2,PRtrasport,10,FALSE),""),"")</f>
        <v>46114</v>
      </c>
      <c r="D2" s="4" t="str">
        <f t="shared" ref="D2:D8" si="1">IFERROR(IF(VLOOKUP($B2,PRtrasport,2,FALSE)&gt;0,VLOOKUP($B2,PRtrasport,2,FALSE),""),"")</f>
        <v>PNR</v>
      </c>
      <c r="E2" s="4" t="str">
        <f t="shared" ref="E2:E8" si="2">IFERROR(IF(VLOOKUP($B2,PRtrasport,5,FALSE)&gt;0,VLOOKUP($B2,PRtrasport,5,FALSE),""),"")</f>
        <v>BAHADUR</v>
      </c>
      <c r="F2" s="109" t="str">
        <f t="shared" ref="F2:F8" si="3">IFERROR(IF(VLOOKUP($B2,PRtrasport,11,FALSE)&gt;0,VLOOKUP($B2,PRtrasport,11,FALSE),""),"")</f>
        <v>SHREE RAM</v>
      </c>
      <c r="G2" s="4">
        <f t="shared" ref="G2:G8" si="4">IFERROR(IF(VLOOKUP($B2,PRtrasport,6,FALSE)&gt;0,VLOOKUP($B2,PRtrasport,6,FALSE),""),"")</f>
        <v>4060</v>
      </c>
      <c r="H2" s="4">
        <f t="shared" ref="H2:H8" si="5">IFERROR(IF(VLOOKUP($B2,PRtrasport,7,FALSE)&gt;0,VLOOKUP($B2,PRtrasport,7,FALSE),""),"")</f>
        <v>4064</v>
      </c>
      <c r="I2" s="4" t="str">
        <f>IFERROR(IF(VLOOKUP($B2,PRtrasport,8,FALSE)&gt;0,VLOOKUP($B2,PRtrasport,8,FALSE),""),"")</f>
        <v>GJ09Y9440</v>
      </c>
      <c r="J2" s="291">
        <f>IFERROR(IF(VLOOKUP($B2,PRtrasport,9,FALSE)&gt;0,VLOOKUP($B2,PRtrasport,9,FALSE),""),"")</f>
        <v>1016</v>
      </c>
      <c r="K2" s="308">
        <v>70</v>
      </c>
      <c r="L2" s="308">
        <f>IF(ISNUMBER(SEARCH("9440",$I2)),(VLOOKUP($B2,PRtrasport,9,0)),"")</f>
        <v>1016</v>
      </c>
      <c r="M2" s="308"/>
    </row>
    <row r="3" spans="2:14" x14ac:dyDescent="0.25">
      <c r="B3" s="4">
        <v>402</v>
      </c>
      <c r="C3" s="262">
        <f t="shared" si="0"/>
        <v>46115</v>
      </c>
      <c r="D3" s="4" t="str">
        <f t="shared" si="1"/>
        <v>PNR</v>
      </c>
      <c r="E3" s="4" t="str">
        <f t="shared" si="2"/>
        <v>BAHADUR</v>
      </c>
      <c r="F3" s="109" t="str">
        <f t="shared" si="3"/>
        <v>SHREE RAM</v>
      </c>
      <c r="G3" s="4">
        <f t="shared" si="4"/>
        <v>3670</v>
      </c>
      <c r="H3" s="4">
        <f t="shared" si="5"/>
        <v>3670</v>
      </c>
      <c r="I3" s="4" t="str">
        <f t="shared" ref="I3:I8" si="6">IFERROR(IF(VLOOKUP($B3,PRtrasport,8,FALSE)&gt;0,VLOOKUP($B3,PRtrasport,8,FALSE),""),"")</f>
        <v>GJ09Y9440</v>
      </c>
      <c r="J3" s="291">
        <f t="shared" ref="J3:J8" si="7">IFERROR(IF(VLOOKUP($B3,PRtrasport,9,FALSE)&gt;0,VLOOKUP($B3,PRtrasport,9,FALSE),""),"")</f>
        <v>917.5</v>
      </c>
      <c r="K3" s="308">
        <v>70</v>
      </c>
      <c r="L3" s="308">
        <f t="shared" ref="L3:L8" si="8">IF(ISNUMBER(SEARCH("9440",$I3)),(VLOOKUP($B3,PRtrasport,9,0)),"")</f>
        <v>917.5</v>
      </c>
      <c r="M3" s="308"/>
    </row>
    <row r="4" spans="2:14" x14ac:dyDescent="0.25">
      <c r="B4" s="4">
        <v>403</v>
      </c>
      <c r="C4" s="262">
        <f t="shared" si="0"/>
        <v>46117</v>
      </c>
      <c r="D4" s="4" t="str">
        <f t="shared" si="1"/>
        <v>BC</v>
      </c>
      <c r="E4" s="4" t="str">
        <f t="shared" si="2"/>
        <v>SELF</v>
      </c>
      <c r="F4" s="109" t="str">
        <f t="shared" si="3"/>
        <v>UMIYA</v>
      </c>
      <c r="G4" s="4">
        <f t="shared" si="4"/>
        <v>1900</v>
      </c>
      <c r="H4" s="4">
        <f t="shared" si="5"/>
        <v>1905</v>
      </c>
      <c r="I4" s="4" t="str">
        <f t="shared" si="6"/>
        <v>GJ09Y9440</v>
      </c>
      <c r="K4" s="308"/>
      <c r="L4" s="308"/>
      <c r="M4" s="308"/>
    </row>
    <row r="5" spans="2:14" x14ac:dyDescent="0.25">
      <c r="B5" s="4">
        <v>404</v>
      </c>
      <c r="C5" s="262">
        <f t="shared" si="0"/>
        <v>46119</v>
      </c>
      <c r="D5" s="4" t="str">
        <f t="shared" si="1"/>
        <v>BC</v>
      </c>
      <c r="E5" s="4" t="str">
        <f t="shared" si="2"/>
        <v>SELF</v>
      </c>
      <c r="F5" s="109" t="str">
        <f t="shared" si="3"/>
        <v>SHIVSHAKTI</v>
      </c>
      <c r="G5" s="4">
        <f t="shared" si="4"/>
        <v>1985</v>
      </c>
      <c r="H5" s="4">
        <f t="shared" si="5"/>
        <v>1990</v>
      </c>
      <c r="I5" s="4" t="str">
        <f t="shared" si="6"/>
        <v>GJ03AU7691</v>
      </c>
      <c r="K5" s="308"/>
      <c r="L5" s="308"/>
      <c r="M5" s="308"/>
    </row>
    <row r="6" spans="2:14" x14ac:dyDescent="0.25">
      <c r="B6" s="4">
        <v>405</v>
      </c>
      <c r="C6" s="262">
        <f t="shared" si="0"/>
        <v>46122</v>
      </c>
      <c r="D6" s="4" t="str">
        <f t="shared" si="1"/>
        <v>BC</v>
      </c>
      <c r="E6" s="4" t="str">
        <f t="shared" si="2"/>
        <v>HAJARI</v>
      </c>
      <c r="F6" s="109" t="str">
        <f t="shared" si="3"/>
        <v>SHREE UMIYA</v>
      </c>
      <c r="G6" s="4">
        <f t="shared" si="4"/>
        <v>970</v>
      </c>
      <c r="H6" s="4">
        <f t="shared" si="5"/>
        <v>986</v>
      </c>
      <c r="I6" s="4" t="str">
        <f t="shared" si="6"/>
        <v>gj03bx6748</v>
      </c>
      <c r="K6" s="308"/>
      <c r="L6" s="308"/>
      <c r="M6" s="308"/>
    </row>
    <row r="7" spans="2:14" x14ac:dyDescent="0.25">
      <c r="B7" s="4">
        <v>406</v>
      </c>
      <c r="C7" s="262">
        <f t="shared" si="0"/>
        <v>46133</v>
      </c>
      <c r="D7" s="4" t="str">
        <f t="shared" si="1"/>
        <v>BC</v>
      </c>
      <c r="E7" s="4" t="str">
        <f t="shared" si="2"/>
        <v>SELF</v>
      </c>
      <c r="F7" s="109" t="str">
        <f t="shared" si="3"/>
        <v>SHREE UMIYA</v>
      </c>
      <c r="G7" s="4">
        <f t="shared" si="4"/>
        <v>1970</v>
      </c>
      <c r="H7" s="4">
        <f t="shared" si="5"/>
        <v>1955</v>
      </c>
      <c r="I7" s="4" t="str">
        <f t="shared" si="6"/>
        <v>GJ09Y9440</v>
      </c>
      <c r="K7" s="308"/>
      <c r="L7" s="308"/>
      <c r="M7" s="308"/>
    </row>
    <row r="8" spans="2:14" x14ac:dyDescent="0.25">
      <c r="B8" s="4">
        <v>407</v>
      </c>
      <c r="C8" s="262">
        <f t="shared" si="0"/>
        <v>46137</v>
      </c>
      <c r="D8" s="4" t="str">
        <f t="shared" si="1"/>
        <v>BHARAT</v>
      </c>
      <c r="E8" s="4" t="str">
        <f t="shared" si="2"/>
        <v>SELF</v>
      </c>
      <c r="F8" s="109" t="str">
        <f t="shared" si="3"/>
        <v>SELF</v>
      </c>
      <c r="G8" s="4">
        <f t="shared" si="4"/>
        <v>2221</v>
      </c>
      <c r="H8" s="4" t="str">
        <f t="shared" si="5"/>
        <v>SELF</v>
      </c>
      <c r="I8" s="4" t="str">
        <f t="shared" si="6"/>
        <v>GJ03BY9130</v>
      </c>
      <c r="J8" s="291" t="str">
        <f t="shared" si="7"/>
        <v/>
      </c>
      <c r="K8" s="308"/>
      <c r="L8" s="308" t="str">
        <f t="shared" si="8"/>
        <v/>
      </c>
      <c r="M8" s="308"/>
    </row>
    <row r="9" spans="2:14" x14ac:dyDescent="0.25">
      <c r="C9" s="262"/>
      <c r="F9" s="109"/>
      <c r="G9" s="4"/>
      <c r="H9" s="4"/>
      <c r="I9" s="4"/>
      <c r="K9" s="308"/>
      <c r="L9" s="308" t="str">
        <f>IF(ISNUMBER(SEARCH("9440",$I9)),(VLOOKUP($B9,PRtrasport,9,0)),"")</f>
        <v/>
      </c>
      <c r="M9" s="308"/>
    </row>
    <row r="10" spans="2:14" ht="21" x14ac:dyDescent="0.25">
      <c r="C10" s="262"/>
      <c r="F10" s="109"/>
      <c r="G10" s="4"/>
      <c r="H10" s="4"/>
      <c r="I10" s="309">
        <v>46142</v>
      </c>
      <c r="J10" s="310">
        <f>SUM(J2:J8)</f>
        <v>1933.5</v>
      </c>
      <c r="K10" s="311">
        <f>SUM(K2:K8)</f>
        <v>140</v>
      </c>
      <c r="L10" s="311">
        <f>SUM(L2:L8)</f>
        <v>1933.5</v>
      </c>
      <c r="M10" s="312">
        <f>SUM(K10:L10)</f>
        <v>2073.5</v>
      </c>
    </row>
    <row r="11" spans="2:14" x14ac:dyDescent="0.25">
      <c r="C11" s="262"/>
      <c r="F11" s="109"/>
      <c r="G11" s="4"/>
      <c r="H11" s="4"/>
      <c r="I11" s="4"/>
      <c r="K11" s="308"/>
      <c r="L11" s="308"/>
      <c r="M11" s="308"/>
    </row>
    <row r="12" spans="2:14" ht="30" x14ac:dyDescent="0.25">
      <c r="B12" s="269" t="s">
        <v>646</v>
      </c>
      <c r="C12" s="269" t="s">
        <v>122</v>
      </c>
      <c r="D12" s="269" t="s">
        <v>120</v>
      </c>
      <c r="E12" s="269" t="s">
        <v>647</v>
      </c>
      <c r="F12" s="269" t="s">
        <v>648</v>
      </c>
      <c r="G12" s="269" t="s">
        <v>649</v>
      </c>
      <c r="H12" s="269" t="s">
        <v>650</v>
      </c>
      <c r="I12" s="270" t="s">
        <v>651</v>
      </c>
      <c r="J12" s="306" t="s">
        <v>132</v>
      </c>
      <c r="K12" s="307" t="s">
        <v>652</v>
      </c>
      <c r="L12" s="269" t="s">
        <v>783</v>
      </c>
      <c r="M12" s="307" t="s">
        <v>155</v>
      </c>
    </row>
    <row r="13" spans="2:14" x14ac:dyDescent="0.25">
      <c r="B13" s="4">
        <v>501</v>
      </c>
      <c r="C13" s="262">
        <f t="shared" ref="C13:C18" si="9">IFERROR(IF(VLOOKUP($B13,PRtrasport,10,FALSE)&gt;0,VLOOKUP($B13,PRtrasport,10,FALSE),""),"")</f>
        <v>46146</v>
      </c>
      <c r="D13" s="4" t="str">
        <f t="shared" ref="D13:D18" si="10">IFERROR(IF(VLOOKUP($B13,PRtrasport,2,FALSE)&gt;0,VLOOKUP($B13,PRtrasport,2,FALSE),""),"")</f>
        <v>SIDHI</v>
      </c>
      <c r="E13" s="4" t="str">
        <f t="shared" ref="E13:E18" si="11">IFERROR(IF(VLOOKUP($B13,PRtrasport,5,FALSE)&gt;0,VLOOKUP($B13,PRtrasport,5,FALSE),""),"")</f>
        <v>BAHADUR</v>
      </c>
      <c r="F13" s="109" t="str">
        <f t="shared" ref="F13:F18" si="12">IFERROR(IF(VLOOKUP($B13,PRtrasport,11,FALSE)&gt;0,VLOOKUP($B13,PRtrasport,11,FALSE),""),"")</f>
        <v>SHIVSHAKTI</v>
      </c>
      <c r="G13" s="4">
        <f t="shared" ref="G13:G18" si="13">IFERROR(IF(VLOOKUP($B13,PRtrasport,6,FALSE)&gt;0,VLOOKUP($B13,PRtrasport,6,FALSE),""),"")</f>
        <v>2015</v>
      </c>
      <c r="H13" s="4">
        <f t="shared" ref="H13:H18" si="14">IFERROR(IF(VLOOKUP($B13,PRtrasport,7,FALSE)&gt;0,VLOOKUP($B13,PRtrasport,7,FALSE),""),"")</f>
        <v>2015</v>
      </c>
      <c r="I13" s="4" t="str">
        <f t="shared" ref="I13:I18" si="15">IFERROR(IF(VLOOKUP($B13,PRtrasport,8,FALSE)&gt;0,VLOOKUP($B13,PRtrasport,8,FALSE),""),"")</f>
        <v>GJ09Y9440</v>
      </c>
      <c r="J13" s="291">
        <f t="shared" ref="J13:J18" si="16">IFERROR(IF(VLOOKUP($B13,PRtrasport,9,FALSE)&gt;0,VLOOKUP($B13,PRtrasport,9,FALSE),""),"")</f>
        <v>500</v>
      </c>
      <c r="K13" s="308">
        <v>70</v>
      </c>
      <c r="L13" s="308">
        <f t="shared" ref="L13:L19" si="17">IF(ISNUMBER(SEARCH("9440",$I13)),(VLOOKUP($B13,PRtrasport,9,0)),"")</f>
        <v>500</v>
      </c>
      <c r="M13" s="308"/>
      <c r="N13" s="4"/>
    </row>
    <row r="14" spans="2:14" x14ac:dyDescent="0.25">
      <c r="B14" s="4">
        <v>502</v>
      </c>
      <c r="C14" s="262">
        <f t="shared" si="9"/>
        <v>46150</v>
      </c>
      <c r="D14" s="4" t="str">
        <f t="shared" si="10"/>
        <v>BHARAT</v>
      </c>
      <c r="E14" s="4" t="str">
        <f t="shared" si="11"/>
        <v>SELF</v>
      </c>
      <c r="F14" s="109" t="str">
        <f t="shared" si="12"/>
        <v>SELF</v>
      </c>
      <c r="G14" s="4">
        <f t="shared" si="13"/>
        <v>1640</v>
      </c>
      <c r="H14" s="4" t="str">
        <f t="shared" si="14"/>
        <v>SELF</v>
      </c>
      <c r="I14" s="4" t="str">
        <f t="shared" si="15"/>
        <v>GJ03BY9130</v>
      </c>
      <c r="J14" s="291" t="str">
        <f t="shared" si="16"/>
        <v/>
      </c>
      <c r="K14" s="308"/>
      <c r="L14" s="308" t="str">
        <f t="shared" si="17"/>
        <v/>
      </c>
      <c r="M14" s="308"/>
      <c r="N14" s="4"/>
    </row>
    <row r="15" spans="2:14" x14ac:dyDescent="0.25">
      <c r="B15" s="4">
        <v>503</v>
      </c>
      <c r="C15" s="262">
        <f t="shared" si="9"/>
        <v>46160</v>
      </c>
      <c r="D15" s="4" t="str">
        <f t="shared" si="10"/>
        <v>SCR</v>
      </c>
      <c r="E15" s="4" t="str">
        <f t="shared" si="11"/>
        <v>SELF</v>
      </c>
      <c r="F15" s="109" t="str">
        <f t="shared" si="12"/>
        <v>SELF</v>
      </c>
      <c r="G15" s="4">
        <f t="shared" si="13"/>
        <v>1964</v>
      </c>
      <c r="H15" s="4" t="str">
        <f t="shared" si="14"/>
        <v>SELF</v>
      </c>
      <c r="I15" s="4" t="str">
        <f t="shared" si="15"/>
        <v>GJ24X2389</v>
      </c>
      <c r="J15" s="291" t="str">
        <f t="shared" si="16"/>
        <v/>
      </c>
      <c r="K15" s="308"/>
      <c r="L15" s="308" t="str">
        <f t="shared" si="17"/>
        <v/>
      </c>
      <c r="M15" s="308"/>
      <c r="N15" s="4"/>
    </row>
    <row r="16" spans="2:14" x14ac:dyDescent="0.25">
      <c r="B16" s="4">
        <v>504</v>
      </c>
      <c r="C16" s="262">
        <f t="shared" si="9"/>
        <v>46161</v>
      </c>
      <c r="D16" s="4" t="str">
        <f t="shared" si="10"/>
        <v>SCR</v>
      </c>
      <c r="E16" s="4" t="str">
        <f t="shared" si="11"/>
        <v>SELF</v>
      </c>
      <c r="F16" s="109" t="str">
        <f t="shared" si="12"/>
        <v>SELF</v>
      </c>
      <c r="G16" s="4">
        <f t="shared" si="13"/>
        <v>1961</v>
      </c>
      <c r="H16" s="4" t="str">
        <f t="shared" si="14"/>
        <v>SELF</v>
      </c>
      <c r="I16" s="4" t="str">
        <f t="shared" si="15"/>
        <v>GJ03CU7140</v>
      </c>
      <c r="J16" s="291" t="str">
        <f t="shared" si="16"/>
        <v/>
      </c>
      <c r="K16" s="308"/>
      <c r="L16" s="308" t="str">
        <f t="shared" si="17"/>
        <v/>
      </c>
      <c r="M16" s="308"/>
      <c r="N16" s="4"/>
    </row>
    <row r="17" spans="2:14" x14ac:dyDescent="0.25">
      <c r="B17" s="4">
        <v>505</v>
      </c>
      <c r="C17" s="262">
        <f t="shared" si="9"/>
        <v>46163</v>
      </c>
      <c r="D17" s="4" t="str">
        <f t="shared" si="10"/>
        <v>BC</v>
      </c>
      <c r="E17" s="4" t="str">
        <f t="shared" si="11"/>
        <v>SELF</v>
      </c>
      <c r="F17" s="109" t="str">
        <f t="shared" si="12"/>
        <v>SHREE UMIYA</v>
      </c>
      <c r="G17" s="4">
        <f t="shared" si="13"/>
        <v>865</v>
      </c>
      <c r="H17" s="4" t="str">
        <f t="shared" si="14"/>
        <v>SELF</v>
      </c>
      <c r="I17" s="4" t="str">
        <f t="shared" si="15"/>
        <v>GJ03CU7140</v>
      </c>
      <c r="J17" s="291" t="str">
        <f t="shared" si="16"/>
        <v/>
      </c>
      <c r="K17" s="308"/>
      <c r="L17" s="308" t="str">
        <f t="shared" si="17"/>
        <v/>
      </c>
      <c r="M17" s="308"/>
      <c r="N17" s="4"/>
    </row>
    <row r="18" spans="2:14" x14ac:dyDescent="0.25">
      <c r="B18" s="4">
        <v>506</v>
      </c>
      <c r="C18" s="262">
        <f t="shared" si="9"/>
        <v>46170</v>
      </c>
      <c r="D18" s="4" t="str">
        <f t="shared" si="10"/>
        <v>BC</v>
      </c>
      <c r="E18" s="4" t="str">
        <f t="shared" si="11"/>
        <v>SELF</v>
      </c>
      <c r="F18" s="109" t="str">
        <f t="shared" si="12"/>
        <v>SHREE UMIYA</v>
      </c>
      <c r="G18" s="4">
        <f t="shared" si="13"/>
        <v>555</v>
      </c>
      <c r="H18" s="4" t="str">
        <f t="shared" si="14"/>
        <v>SELF</v>
      </c>
      <c r="I18" s="4" t="str">
        <f t="shared" si="15"/>
        <v>GJ33U1264</v>
      </c>
      <c r="J18" s="291" t="str">
        <f t="shared" si="16"/>
        <v/>
      </c>
      <c r="K18" s="308"/>
      <c r="L18" s="308" t="str">
        <f t="shared" si="17"/>
        <v/>
      </c>
      <c r="M18" s="308"/>
      <c r="N18" s="4"/>
    </row>
    <row r="19" spans="2:14" x14ac:dyDescent="0.25">
      <c r="C19" s="262"/>
      <c r="F19" s="109"/>
      <c r="G19" s="4"/>
      <c r="H19" s="4"/>
      <c r="I19" s="4"/>
      <c r="K19" s="308"/>
      <c r="L19" s="308" t="str">
        <f t="shared" si="17"/>
        <v/>
      </c>
      <c r="M19" s="308"/>
    </row>
    <row r="20" spans="2:14" ht="21" x14ac:dyDescent="0.25">
      <c r="C20" s="262"/>
      <c r="F20" s="109"/>
      <c r="G20" s="4"/>
      <c r="H20" s="4"/>
      <c r="I20" s="309">
        <v>46173</v>
      </c>
      <c r="J20" s="310">
        <f>SUM(J13:J18)</f>
        <v>500</v>
      </c>
      <c r="K20" s="311">
        <f>SUM(K13:K18)</f>
        <v>70</v>
      </c>
      <c r="L20" s="311">
        <f>SUM(L13:L18)</f>
        <v>500</v>
      </c>
      <c r="M20" s="312">
        <f>SUM(K20:L20)</f>
        <v>570</v>
      </c>
    </row>
    <row r="21" spans="2:14" x14ac:dyDescent="0.25">
      <c r="C21" s="262"/>
      <c r="F21" s="109"/>
      <c r="G21" s="4"/>
      <c r="H21" s="4"/>
      <c r="I21" s="4"/>
      <c r="K21" s="308"/>
      <c r="L21" s="308"/>
      <c r="M21" s="308"/>
    </row>
    <row r="22" spans="2:14" ht="30" x14ac:dyDescent="0.25">
      <c r="B22" s="269" t="s">
        <v>646</v>
      </c>
      <c r="C22" s="269" t="s">
        <v>122</v>
      </c>
      <c r="D22" s="269" t="s">
        <v>120</v>
      </c>
      <c r="E22" s="269" t="s">
        <v>647</v>
      </c>
      <c r="F22" s="269" t="s">
        <v>648</v>
      </c>
      <c r="G22" s="269" t="s">
        <v>649</v>
      </c>
      <c r="H22" s="269" t="s">
        <v>650</v>
      </c>
      <c r="I22" s="270" t="s">
        <v>651</v>
      </c>
      <c r="J22" s="306" t="s">
        <v>132</v>
      </c>
      <c r="K22" s="307" t="s">
        <v>652</v>
      </c>
      <c r="L22" s="269" t="s">
        <v>783</v>
      </c>
      <c r="M22" s="307" t="s">
        <v>155</v>
      </c>
    </row>
    <row r="23" spans="2:14" x14ac:dyDescent="0.25">
      <c r="B23" s="4">
        <v>601</v>
      </c>
      <c r="C23" s="262">
        <f t="shared" ref="C23:C33" si="18">IFERROR(IF(VLOOKUP($B23,PRtrasport,10,FALSE)&gt;0,VLOOKUP($B23,PRtrasport,10,FALSE),""),"")</f>
        <v>46186</v>
      </c>
      <c r="D23" s="4" t="str">
        <f t="shared" ref="D23:D33" si="19">IFERROR(IF(VLOOKUP($B23,PRtrasport,2,FALSE)&gt;0,VLOOKUP($B23,PRtrasport,2,FALSE),""),"")</f>
        <v>BHARAT</v>
      </c>
      <c r="E23" s="4" t="str">
        <f t="shared" ref="E23:E33" si="20">IFERROR(IF(VLOOKUP($B23,PRtrasport,5,FALSE)&gt;0,VLOOKUP($B23,PRtrasport,5,FALSE),""),"")</f>
        <v>SELF</v>
      </c>
      <c r="F23" s="109" t="str">
        <f t="shared" ref="F23:F33" si="21">IFERROR(IF(VLOOKUP($B23,PRtrasport,11,FALSE)&gt;0,VLOOKUP($B23,PRtrasport,11,FALSE),""),"")</f>
        <v>SELF</v>
      </c>
      <c r="G23" s="4">
        <f t="shared" ref="G23:G33" si="22">IFERROR(IF(VLOOKUP($B23,PRtrasport,6,FALSE)&gt;0,VLOOKUP($B23,PRtrasport,6,FALSE),""),"")</f>
        <v>2485</v>
      </c>
      <c r="H23" s="4" t="str">
        <f t="shared" ref="H23:H33" si="23">IFERROR(IF(VLOOKUP($B23,PRtrasport,7,FALSE)&gt;0,VLOOKUP($B23,PRtrasport,7,FALSE),""),"")</f>
        <v>SELF</v>
      </c>
      <c r="I23" s="4" t="str">
        <f t="shared" ref="I23:I33" si="24">IFERROR(IF(VLOOKUP($B23,PRtrasport,8,FALSE)&gt;0,VLOOKUP($B23,PRtrasport,8,FALSE),""),"")</f>
        <v>GJ03BY8648</v>
      </c>
      <c r="J23" s="291" t="str">
        <f t="shared" ref="J23:J33" si="25">IFERROR(IF(VLOOKUP($B23,PRtrasport,9,FALSE)&gt;0,VLOOKUP($B23,PRtrasport,9,FALSE),""),"")</f>
        <v/>
      </c>
      <c r="K23" s="308"/>
      <c r="L23" s="308" t="str">
        <f t="shared" ref="L23:L28" si="26">IF(ISNUMBER(SEARCH("6425",$I23)),(VLOOKUP($B23,PRtrasport,9,0)),"")</f>
        <v/>
      </c>
      <c r="M23" s="308"/>
    </row>
    <row r="24" spans="2:14" x14ac:dyDescent="0.25">
      <c r="B24" s="4">
        <v>602</v>
      </c>
      <c r="C24" s="262">
        <f t="shared" si="18"/>
        <v>46186</v>
      </c>
      <c r="D24" s="4" t="str">
        <f t="shared" si="19"/>
        <v>MLN</v>
      </c>
      <c r="E24" s="4" t="str">
        <f t="shared" si="20"/>
        <v>BAHADUR</v>
      </c>
      <c r="F24" s="109" t="str">
        <f t="shared" si="21"/>
        <v>SHIVSHAKTI</v>
      </c>
      <c r="G24" s="4">
        <f t="shared" si="22"/>
        <v>3780</v>
      </c>
      <c r="H24" s="4">
        <f t="shared" si="23"/>
        <v>3780</v>
      </c>
      <c r="I24" s="4" t="str">
        <f t="shared" si="24"/>
        <v>GJ06ZZ6425</v>
      </c>
      <c r="J24" s="291">
        <f t="shared" si="25"/>
        <v>500</v>
      </c>
      <c r="K24" s="308">
        <v>70</v>
      </c>
      <c r="L24" s="308">
        <f t="shared" si="26"/>
        <v>500</v>
      </c>
      <c r="M24" s="308"/>
    </row>
    <row r="25" spans="2:14" x14ac:dyDescent="0.25">
      <c r="B25" s="4">
        <v>603</v>
      </c>
      <c r="C25" s="262">
        <f t="shared" si="18"/>
        <v>46191</v>
      </c>
      <c r="D25" s="4" t="str">
        <f t="shared" si="19"/>
        <v>RDS</v>
      </c>
      <c r="E25" s="4" t="str">
        <f t="shared" si="20"/>
        <v>BAHADUR</v>
      </c>
      <c r="F25" s="109" t="str">
        <f t="shared" si="21"/>
        <v>SHIVSHAKTI</v>
      </c>
      <c r="G25" s="4">
        <f t="shared" si="22"/>
        <v>4020</v>
      </c>
      <c r="H25" s="4">
        <f t="shared" si="23"/>
        <v>4030</v>
      </c>
      <c r="I25" s="4" t="str">
        <f t="shared" si="24"/>
        <v>GJ06ZZ6425</v>
      </c>
      <c r="J25" s="291">
        <f t="shared" si="25"/>
        <v>500</v>
      </c>
      <c r="K25" s="308">
        <v>70</v>
      </c>
      <c r="L25" s="308">
        <f t="shared" si="26"/>
        <v>500</v>
      </c>
      <c r="M25" s="308"/>
    </row>
    <row r="26" spans="2:14" x14ac:dyDescent="0.25">
      <c r="B26" s="4">
        <v>604</v>
      </c>
      <c r="C26" s="262">
        <f t="shared" si="18"/>
        <v>46194</v>
      </c>
      <c r="D26" s="4" t="str">
        <f t="shared" si="19"/>
        <v>MLN</v>
      </c>
      <c r="E26" s="4" t="str">
        <f t="shared" si="20"/>
        <v>BAHADUR</v>
      </c>
      <c r="F26" s="109" t="str">
        <f t="shared" si="21"/>
        <v>SHIVSHAKTI</v>
      </c>
      <c r="G26" s="4">
        <f t="shared" si="22"/>
        <v>3760</v>
      </c>
      <c r="H26" s="4">
        <f t="shared" si="23"/>
        <v>3765</v>
      </c>
      <c r="I26" s="4" t="str">
        <f t="shared" si="24"/>
        <v>GJ06ZZ6425</v>
      </c>
      <c r="J26" s="291">
        <f t="shared" si="25"/>
        <v>500</v>
      </c>
      <c r="K26" s="308">
        <v>70</v>
      </c>
      <c r="L26" s="308">
        <f t="shared" si="26"/>
        <v>500</v>
      </c>
      <c r="M26" s="308"/>
    </row>
    <row r="27" spans="2:14" x14ac:dyDescent="0.25">
      <c r="B27" s="4">
        <v>605</v>
      </c>
      <c r="C27" s="262">
        <f t="shared" si="18"/>
        <v>46199</v>
      </c>
      <c r="D27" s="4" t="str">
        <f t="shared" si="19"/>
        <v>RDS</v>
      </c>
      <c r="E27" s="4" t="str">
        <f t="shared" si="20"/>
        <v>BAHADUR</v>
      </c>
      <c r="F27" s="109" t="str">
        <f t="shared" si="21"/>
        <v>SHIVSHAKTI</v>
      </c>
      <c r="G27" s="4">
        <f t="shared" si="22"/>
        <v>4050</v>
      </c>
      <c r="H27" s="4">
        <f t="shared" si="23"/>
        <v>4060</v>
      </c>
      <c r="I27" s="4" t="str">
        <f t="shared" si="24"/>
        <v>GJ06ZZ6425</v>
      </c>
      <c r="J27" s="291">
        <f t="shared" si="25"/>
        <v>500</v>
      </c>
      <c r="K27" s="308">
        <v>70</v>
      </c>
      <c r="L27" s="308">
        <f t="shared" si="26"/>
        <v>500</v>
      </c>
      <c r="M27" s="308"/>
    </row>
    <row r="28" spans="2:14" x14ac:dyDescent="0.25">
      <c r="B28" s="4">
        <v>606</v>
      </c>
      <c r="C28" s="262">
        <f t="shared" si="18"/>
        <v>46202</v>
      </c>
      <c r="D28" s="4" t="str">
        <f t="shared" si="19"/>
        <v>SCR</v>
      </c>
      <c r="E28" s="4" t="str">
        <f t="shared" si="20"/>
        <v>SELF</v>
      </c>
      <c r="F28" s="109" t="str">
        <f t="shared" si="21"/>
        <v>SELF</v>
      </c>
      <c r="G28" s="4">
        <f t="shared" si="22"/>
        <v>1925</v>
      </c>
      <c r="H28" s="4" t="str">
        <f t="shared" si="23"/>
        <v>SELF</v>
      </c>
      <c r="I28" s="4" t="str">
        <f t="shared" si="24"/>
        <v>GJ24X2389</v>
      </c>
      <c r="J28" s="291" t="str">
        <f t="shared" si="25"/>
        <v/>
      </c>
      <c r="K28" s="308"/>
      <c r="L28" s="308" t="str">
        <f t="shared" si="26"/>
        <v/>
      </c>
      <c r="M28" s="308"/>
    </row>
    <row r="29" spans="2:14" x14ac:dyDescent="0.25">
      <c r="C29" s="262" t="str">
        <f t="shared" si="18"/>
        <v/>
      </c>
      <c r="D29" s="4" t="str">
        <f t="shared" si="19"/>
        <v/>
      </c>
      <c r="E29" s="4" t="str">
        <f t="shared" si="20"/>
        <v/>
      </c>
      <c r="F29" s="109" t="str">
        <f t="shared" si="21"/>
        <v/>
      </c>
      <c r="G29" s="4" t="str">
        <f t="shared" si="22"/>
        <v/>
      </c>
      <c r="H29" s="4" t="str">
        <f t="shared" si="23"/>
        <v/>
      </c>
      <c r="I29" s="4" t="str">
        <f t="shared" si="24"/>
        <v/>
      </c>
      <c r="J29" s="291" t="str">
        <f t="shared" si="25"/>
        <v/>
      </c>
      <c r="K29" s="308"/>
      <c r="L29" s="308" t="str">
        <f t="shared" ref="L29" si="27">IF(ISNUMBER(SEARCH("9440",$I29)),(VLOOKUP($B29,PRtrasport,9,0)),"")</f>
        <v/>
      </c>
      <c r="M29" s="308"/>
    </row>
    <row r="30" spans="2:14" ht="21" x14ac:dyDescent="0.25">
      <c r="C30" s="262" t="str">
        <f>IFERROR(IF(VLOOKUP($B30,PRtrasport,10,FALSE)&gt;0,VLOOKUP($B30,PRtrasport,10,FALSE),""),"")</f>
        <v/>
      </c>
      <c r="D30" s="4" t="str">
        <f>IFERROR(IF(VLOOKUP($B30,PRtrasport,2,FALSE)&gt;0,VLOOKUP($B30,PRtrasport,2,FALSE),""),"")</f>
        <v/>
      </c>
      <c r="E30" s="4" t="str">
        <f>IFERROR(IF(VLOOKUP($B30,PRtrasport,5,FALSE)&gt;0,VLOOKUP($B30,PRtrasport,5,FALSE),""),"")</f>
        <v/>
      </c>
      <c r="F30" s="109" t="str">
        <f>IFERROR(IF(VLOOKUP($B30,PRtrasport,11,FALSE)&gt;0,VLOOKUP($B30,PRtrasport,11,FALSE),""),"")</f>
        <v/>
      </c>
      <c r="G30" s="4" t="str">
        <f>IFERROR(IF(VLOOKUP($B30,PRtrasport,6,FALSE)&gt;0,VLOOKUP($B30,PRtrasport,6,FALSE),""),"")</f>
        <v/>
      </c>
      <c r="H30" s="4" t="str">
        <f>IFERROR(IF(VLOOKUP($B30,PRtrasport,7,FALSE)&gt;0,VLOOKUP($B30,PRtrasport,7,FALSE),""),"")</f>
        <v/>
      </c>
      <c r="I30" s="309">
        <v>46203</v>
      </c>
      <c r="J30" s="310">
        <f>SUM(J23:J28)</f>
        <v>2000</v>
      </c>
      <c r="K30" s="311">
        <f>SUM(K23:K28)</f>
        <v>280</v>
      </c>
      <c r="L30" s="311">
        <f>SUM(L23:L28)</f>
        <v>2000</v>
      </c>
      <c r="M30" s="312">
        <f>SUM(K30:L30)</f>
        <v>2280</v>
      </c>
    </row>
    <row r="31" spans="2:14" x14ac:dyDescent="0.25">
      <c r="C31" s="262"/>
      <c r="F31" s="109"/>
      <c r="G31" s="4"/>
      <c r="H31" s="4"/>
      <c r="I31" s="4"/>
      <c r="K31" s="308"/>
      <c r="L31" s="308"/>
      <c r="M31" s="308"/>
    </row>
    <row r="32" spans="2:14" ht="30" x14ac:dyDescent="0.25">
      <c r="B32" s="269" t="s">
        <v>646</v>
      </c>
      <c r="C32" s="269" t="s">
        <v>122</v>
      </c>
      <c r="D32" s="269" t="s">
        <v>120</v>
      </c>
      <c r="E32" s="269" t="s">
        <v>647</v>
      </c>
      <c r="F32" s="269" t="s">
        <v>648</v>
      </c>
      <c r="G32" s="269" t="s">
        <v>649</v>
      </c>
      <c r="H32" s="269" t="s">
        <v>650</v>
      </c>
      <c r="I32" s="270" t="s">
        <v>651</v>
      </c>
      <c r="J32" s="306" t="s">
        <v>132</v>
      </c>
      <c r="K32" s="307" t="s">
        <v>652</v>
      </c>
      <c r="L32" s="269" t="s">
        <v>783</v>
      </c>
      <c r="M32" s="307" t="s">
        <v>155</v>
      </c>
    </row>
    <row r="33" spans="2:15" x14ac:dyDescent="0.25">
      <c r="B33" s="4">
        <v>701</v>
      </c>
      <c r="C33" s="262">
        <f t="shared" si="18"/>
        <v>46205</v>
      </c>
      <c r="D33" s="4" t="str">
        <f t="shared" si="19"/>
        <v>BHARAT</v>
      </c>
      <c r="E33" s="4" t="str">
        <f t="shared" si="20"/>
        <v>SELF</v>
      </c>
      <c r="F33" s="109" t="str">
        <f t="shared" si="21"/>
        <v>SELF</v>
      </c>
      <c r="G33" s="4">
        <f t="shared" si="22"/>
        <v>2270</v>
      </c>
      <c r="H33" s="4" t="str">
        <f t="shared" si="23"/>
        <v>SELF</v>
      </c>
      <c r="I33" s="4" t="str">
        <f t="shared" si="24"/>
        <v>GJ03BY8648</v>
      </c>
      <c r="J33" s="291" t="str">
        <f t="shared" si="25"/>
        <v/>
      </c>
      <c r="K33" s="308"/>
      <c r="L33" s="308" t="str">
        <f t="shared" ref="L33:L40" si="28">IF(ISNUMBER(SEARCH("6425",$I33)),(VLOOKUP($B33,PRtrasport,9,0)),"")</f>
        <v/>
      </c>
      <c r="M33" s="308"/>
    </row>
    <row r="34" spans="2:15" x14ac:dyDescent="0.25">
      <c r="B34" s="4">
        <v>702</v>
      </c>
      <c r="C34" s="262">
        <f t="shared" ref="C34:C48" si="29">IFERROR(IF(VLOOKUP($B34,PRtrasport,10,FALSE)&gt;0,VLOOKUP($B34,PRtrasport,10,FALSE),""),"")</f>
        <v>46206</v>
      </c>
      <c r="D34" s="4" t="str">
        <f t="shared" ref="D34:D48" si="30">IFERROR(IF(VLOOKUP($B34,PRtrasport,2,FALSE)&gt;0,VLOOKUP($B34,PRtrasport,2,FALSE),""),"")</f>
        <v>PNR</v>
      </c>
      <c r="E34" s="4" t="str">
        <f t="shared" ref="E34:E48" si="31">IFERROR(IF(VLOOKUP($B34,PRtrasport,5,FALSE)&gt;0,VLOOKUP($B34,PRtrasport,5,FALSE),""),"")</f>
        <v>BAHADUR</v>
      </c>
      <c r="F34" s="109" t="str">
        <f t="shared" ref="F34:F48" si="32">IFERROR(IF(VLOOKUP($B34,PRtrasport,11,FALSE)&gt;0,VLOOKUP($B34,PRtrasport,11,FALSE),""),"")</f>
        <v>SHREE RAM</v>
      </c>
      <c r="G34" s="4">
        <f t="shared" ref="G34:G48" si="33">IFERROR(IF(VLOOKUP($B34,PRtrasport,6,FALSE)&gt;0,VLOOKUP($B34,PRtrasport,6,FALSE),""),"")</f>
        <v>4955</v>
      </c>
      <c r="H34" s="4">
        <f t="shared" ref="H34:H47" si="34">IFERROR(IF(VLOOKUP($B34,PRtrasport,7,FALSE)&gt;0,VLOOKUP($B34,PRtrasport,7,FALSE),""),"")</f>
        <v>4975</v>
      </c>
      <c r="I34" s="4" t="str">
        <f t="shared" ref="I34:I47" si="35">IFERROR(IF(VLOOKUP($B34,PRtrasport,8,FALSE)&gt;0,VLOOKUP($B34,PRtrasport,8,FALSE),""),"")</f>
        <v>GJ06ZZ6425</v>
      </c>
      <c r="J34" s="291">
        <f t="shared" ref="J34:J40" si="36">IFERROR(IF(VLOOKUP($B34,PRtrasport,9,FALSE)&gt;0,VLOOKUP($B34,PRtrasport,9,FALSE),""),"")</f>
        <v>1243.75</v>
      </c>
      <c r="K34" s="308">
        <v>70</v>
      </c>
      <c r="L34" s="308">
        <f t="shared" si="28"/>
        <v>1243.75</v>
      </c>
      <c r="M34" s="308"/>
      <c r="O34">
        <v>4975</v>
      </c>
    </row>
    <row r="35" spans="2:15" x14ac:dyDescent="0.25">
      <c r="B35" s="4">
        <v>703</v>
      </c>
      <c r="C35" s="262">
        <f t="shared" si="29"/>
        <v>46208</v>
      </c>
      <c r="D35" s="4" t="str">
        <f t="shared" si="30"/>
        <v>PNR</v>
      </c>
      <c r="E35" s="4" t="str">
        <f t="shared" si="31"/>
        <v>BAHADUR</v>
      </c>
      <c r="F35" s="109" t="str">
        <f t="shared" si="32"/>
        <v>SHREE RAM</v>
      </c>
      <c r="G35" s="4">
        <f t="shared" si="33"/>
        <v>4302</v>
      </c>
      <c r="H35" s="4">
        <f t="shared" si="34"/>
        <v>4330</v>
      </c>
      <c r="I35" s="4" t="str">
        <f t="shared" si="35"/>
        <v>GJ06ZZ6425</v>
      </c>
      <c r="J35" s="291">
        <f t="shared" si="36"/>
        <v>1082.5</v>
      </c>
      <c r="K35" s="308">
        <v>70</v>
      </c>
      <c r="L35" s="308">
        <f t="shared" si="28"/>
        <v>1082.5</v>
      </c>
      <c r="M35" s="308"/>
      <c r="O35">
        <v>4330</v>
      </c>
    </row>
    <row r="36" spans="2:15" x14ac:dyDescent="0.25">
      <c r="B36" s="4">
        <v>704</v>
      </c>
      <c r="C36" s="262">
        <f t="shared" si="29"/>
        <v>46210</v>
      </c>
      <c r="D36" s="4" t="str">
        <f t="shared" si="30"/>
        <v>PNR</v>
      </c>
      <c r="E36" s="4" t="str">
        <f t="shared" si="31"/>
        <v>BAHADUR</v>
      </c>
      <c r="F36" s="109" t="str">
        <f t="shared" si="32"/>
        <v>SHREE RAM</v>
      </c>
      <c r="G36" s="4">
        <f t="shared" si="33"/>
        <v>4969</v>
      </c>
      <c r="H36" s="4">
        <f t="shared" si="34"/>
        <v>4962</v>
      </c>
      <c r="I36" s="4" t="str">
        <f t="shared" si="35"/>
        <v>GJ06ZZ6425</v>
      </c>
      <c r="J36" s="291">
        <f t="shared" si="36"/>
        <v>1240.5</v>
      </c>
      <c r="K36" s="308">
        <v>70</v>
      </c>
      <c r="L36" s="308">
        <f t="shared" si="28"/>
        <v>1240.5</v>
      </c>
      <c r="M36" s="308"/>
      <c r="O36">
        <v>4962</v>
      </c>
    </row>
    <row r="37" spans="2:15" x14ac:dyDescent="0.25">
      <c r="B37" s="4">
        <v>705</v>
      </c>
      <c r="C37" s="262">
        <f t="shared" si="29"/>
        <v>46212</v>
      </c>
      <c r="D37" s="4" t="str">
        <f t="shared" si="30"/>
        <v>PNR</v>
      </c>
      <c r="E37" s="4" t="str">
        <f t="shared" si="31"/>
        <v>SELF</v>
      </c>
      <c r="F37" s="109" t="str">
        <f t="shared" si="32"/>
        <v>SHREE RAM</v>
      </c>
      <c r="G37" s="4">
        <f t="shared" si="33"/>
        <v>2468</v>
      </c>
      <c r="H37" s="4">
        <f t="shared" si="34"/>
        <v>4650</v>
      </c>
      <c r="I37" s="4" t="str">
        <f t="shared" si="35"/>
        <v>GJ06ZZ6425</v>
      </c>
      <c r="K37" s="308"/>
      <c r="L37" s="308"/>
      <c r="M37" s="308"/>
      <c r="O37">
        <v>4880</v>
      </c>
    </row>
    <row r="38" spans="2:15" x14ac:dyDescent="0.25">
      <c r="B38" s="4">
        <v>706</v>
      </c>
      <c r="C38" s="262">
        <f t="shared" si="29"/>
        <v>46217</v>
      </c>
      <c r="D38" s="4" t="str">
        <f t="shared" si="30"/>
        <v>PNR</v>
      </c>
      <c r="E38" s="4" t="str">
        <f t="shared" si="31"/>
        <v>BAHADUR</v>
      </c>
      <c r="F38" s="109" t="str">
        <f t="shared" si="32"/>
        <v>SHREE RAM</v>
      </c>
      <c r="G38" s="4">
        <f t="shared" si="33"/>
        <v>4848</v>
      </c>
      <c r="H38" s="4">
        <f t="shared" si="34"/>
        <v>4880</v>
      </c>
      <c r="I38" s="4" t="str">
        <f t="shared" si="35"/>
        <v>GJ06ZZ6425</v>
      </c>
      <c r="J38" s="291">
        <f t="shared" si="36"/>
        <v>1220</v>
      </c>
      <c r="K38" s="308">
        <v>70</v>
      </c>
      <c r="L38" s="308">
        <f t="shared" si="28"/>
        <v>1220</v>
      </c>
      <c r="M38" s="308"/>
      <c r="O38">
        <v>4990</v>
      </c>
    </row>
    <row r="39" spans="2:15" x14ac:dyDescent="0.25">
      <c r="B39" s="4">
        <v>707</v>
      </c>
      <c r="C39" s="262">
        <f t="shared" si="29"/>
        <v>46219</v>
      </c>
      <c r="D39" s="4" t="str">
        <f t="shared" si="30"/>
        <v>PNR</v>
      </c>
      <c r="E39" s="4" t="str">
        <f t="shared" si="31"/>
        <v>BAHADUR</v>
      </c>
      <c r="F39" s="109" t="str">
        <f t="shared" si="32"/>
        <v>SHREE RAM</v>
      </c>
      <c r="G39" s="4">
        <f t="shared" si="33"/>
        <v>4955</v>
      </c>
      <c r="H39" s="4">
        <f t="shared" si="34"/>
        <v>4990</v>
      </c>
      <c r="I39" s="4" t="str">
        <f t="shared" si="35"/>
        <v>GJ06ZZ6425</v>
      </c>
      <c r="J39" s="291">
        <f t="shared" si="36"/>
        <v>1247.5</v>
      </c>
      <c r="K39" s="308">
        <v>70</v>
      </c>
      <c r="L39" s="308">
        <f t="shared" si="28"/>
        <v>1247.5</v>
      </c>
      <c r="M39" s="308"/>
      <c r="O39">
        <v>4945</v>
      </c>
    </row>
    <row r="40" spans="2:15" x14ac:dyDescent="0.25">
      <c r="B40" s="4">
        <v>708</v>
      </c>
      <c r="C40" s="262">
        <f t="shared" si="29"/>
        <v>46220</v>
      </c>
      <c r="D40" s="4" t="str">
        <f t="shared" si="30"/>
        <v>PNR</v>
      </c>
      <c r="E40" s="4" t="str">
        <f t="shared" si="31"/>
        <v>BAHADUR</v>
      </c>
      <c r="F40" s="109" t="str">
        <f t="shared" si="32"/>
        <v>SHREE RAM</v>
      </c>
      <c r="G40" s="4">
        <f t="shared" si="33"/>
        <v>4955</v>
      </c>
      <c r="H40" s="4">
        <f t="shared" si="34"/>
        <v>4945</v>
      </c>
      <c r="I40" s="4" t="str">
        <f t="shared" si="35"/>
        <v>GJ06ZZ6425</v>
      </c>
      <c r="J40" s="291">
        <f t="shared" si="36"/>
        <v>1236.25</v>
      </c>
      <c r="K40" s="308">
        <v>70</v>
      </c>
      <c r="L40" s="308">
        <f t="shared" si="28"/>
        <v>1236.25</v>
      </c>
      <c r="M40" s="308"/>
      <c r="O40">
        <v>4955</v>
      </c>
    </row>
    <row r="41" spans="2:15" x14ac:dyDescent="0.25">
      <c r="B41" s="4">
        <v>709</v>
      </c>
      <c r="C41" s="262">
        <f t="shared" si="29"/>
        <v>46224</v>
      </c>
      <c r="D41" s="4" t="str">
        <f t="shared" si="30"/>
        <v>PF</v>
      </c>
      <c r="E41" s="4" t="str">
        <f t="shared" si="31"/>
        <v>SELF</v>
      </c>
      <c r="F41" s="109" t="str">
        <f t="shared" si="32"/>
        <v>SARWESHVAR</v>
      </c>
      <c r="G41" s="4">
        <f t="shared" si="33"/>
        <v>2060</v>
      </c>
      <c r="H41" s="4" t="str">
        <f>IFERROR(IF(VLOOKUP($B41,PRtrasport,7,FALSE)&gt;0,VLOOKUP($B41,PRtrasport,7,FALSE),""),"")</f>
        <v>SELF</v>
      </c>
      <c r="I41" s="4" t="str">
        <f t="shared" si="35"/>
        <v xml:space="preserve">GJ03BY5442  </v>
      </c>
      <c r="K41" s="308"/>
      <c r="L41" s="308"/>
      <c r="M41" s="308"/>
      <c r="O41">
        <f>SUM(O34:O40)</f>
        <v>34037</v>
      </c>
    </row>
    <row r="42" spans="2:15" x14ac:dyDescent="0.25">
      <c r="B42" s="4">
        <v>710</v>
      </c>
      <c r="C42" s="262">
        <f t="shared" si="29"/>
        <v>46227</v>
      </c>
      <c r="D42" s="4" t="str">
        <f t="shared" si="30"/>
        <v>PF</v>
      </c>
      <c r="E42" s="4" t="str">
        <f t="shared" si="31"/>
        <v>BAHADUR</v>
      </c>
      <c r="F42" s="109" t="str">
        <f t="shared" si="32"/>
        <v>ALLOY</v>
      </c>
      <c r="G42" s="4">
        <f t="shared" si="33"/>
        <v>4085</v>
      </c>
      <c r="H42" s="4" t="str">
        <f>IFERROR(IF(VLOOKUP($B42,PRtrasport,7,FALSE)&gt;0,VLOOKUP($B42,PRtrasport,7,FALSE),""),"")</f>
        <v/>
      </c>
      <c r="I42" s="4" t="str">
        <f t="shared" si="35"/>
        <v>GJ06ZZ6425</v>
      </c>
      <c r="J42" s="291">
        <v>500</v>
      </c>
      <c r="K42" s="308"/>
      <c r="L42" s="308">
        <v>500</v>
      </c>
      <c r="M42" s="308"/>
      <c r="O42">
        <v>0.25</v>
      </c>
    </row>
    <row r="43" spans="2:15" x14ac:dyDescent="0.25">
      <c r="B43" s="4">
        <v>711</v>
      </c>
      <c r="C43" s="262">
        <f t="shared" si="29"/>
        <v>46227</v>
      </c>
      <c r="D43" s="4" t="str">
        <f t="shared" si="30"/>
        <v>MLN</v>
      </c>
      <c r="E43" s="4" t="str">
        <f t="shared" si="31"/>
        <v>BAHADUR</v>
      </c>
      <c r="F43" s="109" t="str">
        <f t="shared" si="32"/>
        <v>SHIVSHAKTI</v>
      </c>
      <c r="G43" s="4">
        <f t="shared" si="33"/>
        <v>2020</v>
      </c>
      <c r="H43" s="4">
        <f>IFERROR(IF(VLOOKUP($B43,PRtrasport,7,FALSE)&gt;0,VLOOKUP($B43,PRtrasport,7,FALSE),""),"")</f>
        <v>2030</v>
      </c>
      <c r="I43" s="4" t="str">
        <f t="shared" si="35"/>
        <v>GJ06ZZ6425</v>
      </c>
      <c r="J43" s="291">
        <f>IFERROR(IF(VLOOKUP($B43,PRtrasport,9,FALSE)&gt;0,VLOOKUP($B43,PRtrasport,9,FALSE),""),"")</f>
        <v>500</v>
      </c>
      <c r="K43" s="308">
        <v>70</v>
      </c>
      <c r="L43" s="308">
        <f>IF(ISNUMBER(SEARCH("6425",$I43)),(VLOOKUP($B43,PRtrasport,9,0)),"")</f>
        <v>500</v>
      </c>
      <c r="M43" s="308"/>
      <c r="O43">
        <f>O41*O42</f>
        <v>8509.25</v>
      </c>
    </row>
    <row r="44" spans="2:15" x14ac:dyDescent="0.25">
      <c r="B44" s="4">
        <v>712</v>
      </c>
      <c r="C44" s="262">
        <f t="shared" si="29"/>
        <v>46227</v>
      </c>
      <c r="D44" s="4" t="str">
        <f t="shared" si="30"/>
        <v>RDS</v>
      </c>
      <c r="E44" s="4" t="str">
        <f t="shared" si="31"/>
        <v>BAHADUR</v>
      </c>
      <c r="F44" s="109" t="str">
        <f t="shared" si="32"/>
        <v>SHIVSHAKTI</v>
      </c>
      <c r="G44" s="4">
        <f t="shared" si="33"/>
        <v>2010</v>
      </c>
      <c r="H44" s="4">
        <f t="shared" si="34"/>
        <v>2015</v>
      </c>
      <c r="I44" s="4" t="str">
        <f t="shared" si="35"/>
        <v>GJ06ZZ6425</v>
      </c>
      <c r="J44" s="291">
        <f>IFERROR(IF(VLOOKUP($B44,PRtrasport,9,FALSE)&gt;0,VLOOKUP($B44,PRtrasport,9,FALSE),""),"")</f>
        <v>500</v>
      </c>
      <c r="K44" s="308">
        <v>70</v>
      </c>
      <c r="L44" s="308">
        <f>IF(ISNUMBER(SEARCH("6425",$I44)),(VLOOKUP($B44,PRtrasport,9,0)),"")</f>
        <v>500</v>
      </c>
      <c r="M44" s="308"/>
      <c r="O44">
        <v>1500</v>
      </c>
    </row>
    <row r="45" spans="2:15" x14ac:dyDescent="0.25">
      <c r="B45" s="4">
        <v>713</v>
      </c>
      <c r="C45" s="262">
        <f t="shared" si="29"/>
        <v>46228</v>
      </c>
      <c r="D45" s="4" t="str">
        <f t="shared" si="30"/>
        <v>BHARAT</v>
      </c>
      <c r="E45" s="4" t="str">
        <f t="shared" si="31"/>
        <v>SELF</v>
      </c>
      <c r="F45" s="109" t="str">
        <f t="shared" si="32"/>
        <v>SELF</v>
      </c>
      <c r="G45" s="4">
        <f t="shared" si="33"/>
        <v>6060</v>
      </c>
      <c r="H45" s="4" t="str">
        <f t="shared" si="34"/>
        <v>SELF</v>
      </c>
      <c r="I45" s="4" t="str">
        <f t="shared" si="35"/>
        <v>GJ03BY8648</v>
      </c>
      <c r="J45" s="291" t="str">
        <f>IFERROR(IF(VLOOKUP($B45,PRtrasport,9,FALSE)&gt;0,VLOOKUP($B45,PRtrasport,9,FALSE),""),"")</f>
        <v/>
      </c>
      <c r="K45" s="308"/>
      <c r="L45" s="308" t="str">
        <f>IF(ISNUMBER(SEARCH("6425",$I45)),(VLOOKUP($B45,PRtrasport,9,0)),"")</f>
        <v/>
      </c>
      <c r="M45" s="308"/>
      <c r="O45">
        <v>630</v>
      </c>
    </row>
    <row r="46" spans="2:15" x14ac:dyDescent="0.25">
      <c r="B46" s="4">
        <v>714</v>
      </c>
      <c r="C46" s="262">
        <f t="shared" si="29"/>
        <v>46230</v>
      </c>
      <c r="D46" s="4" t="str">
        <f t="shared" si="30"/>
        <v>PNR</v>
      </c>
      <c r="E46" s="4" t="str">
        <f t="shared" si="31"/>
        <v>BAHADUR</v>
      </c>
      <c r="F46" s="109" t="str">
        <f t="shared" si="32"/>
        <v>SHREE RAM</v>
      </c>
      <c r="G46" s="4">
        <f t="shared" si="33"/>
        <v>4928</v>
      </c>
      <c r="H46" s="4">
        <f t="shared" si="34"/>
        <v>4955</v>
      </c>
      <c r="I46" s="4" t="str">
        <f t="shared" si="35"/>
        <v>GJ06ZZ6425</v>
      </c>
      <c r="J46" s="291">
        <f>IFERROR(IF(VLOOKUP($B46,PRtrasport,9,FALSE)&gt;0,VLOOKUP($B46,PRtrasport,9,FALSE),""),"")</f>
        <v>1238.75</v>
      </c>
      <c r="K46" s="308">
        <v>70</v>
      </c>
      <c r="L46" s="308">
        <f>IF(ISNUMBER(SEARCH("6425",$I46)),(VLOOKUP($B46,PRtrasport,9,0)),"")</f>
        <v>1238.75</v>
      </c>
      <c r="M46" s="308"/>
      <c r="O46" s="7">
        <f>SUM(O43:O45)</f>
        <v>10639.25</v>
      </c>
    </row>
    <row r="47" spans="2:15" x14ac:dyDescent="0.25">
      <c r="C47" s="262" t="str">
        <f t="shared" si="29"/>
        <v/>
      </c>
      <c r="D47" s="4" t="str">
        <f t="shared" si="30"/>
        <v/>
      </c>
      <c r="E47" s="4" t="str">
        <f t="shared" si="31"/>
        <v/>
      </c>
      <c r="F47" s="109" t="str">
        <f t="shared" si="32"/>
        <v/>
      </c>
      <c r="G47" s="4" t="str">
        <f t="shared" si="33"/>
        <v/>
      </c>
      <c r="H47" s="4" t="str">
        <f t="shared" si="34"/>
        <v/>
      </c>
      <c r="I47" s="4" t="str">
        <f t="shared" si="35"/>
        <v/>
      </c>
      <c r="J47" s="291" t="str">
        <f>IFERROR(IF(VLOOKUP($B47,PRtrasport,9,FALSE)&gt;0,VLOOKUP($B47,PRtrasport,9,FALSE),""),"")</f>
        <v/>
      </c>
      <c r="K47" s="308"/>
      <c r="L47" s="308" t="str">
        <f>IF(ISNUMBER(SEARCH("9440",$I47)),(VLOOKUP($B47,PRtrasport,9,0)),"")</f>
        <v/>
      </c>
      <c r="M47" s="308"/>
    </row>
    <row r="48" spans="2:15" ht="21" x14ac:dyDescent="0.25">
      <c r="C48" s="262" t="str">
        <f t="shared" si="29"/>
        <v/>
      </c>
      <c r="D48" s="4" t="str">
        <f t="shared" si="30"/>
        <v/>
      </c>
      <c r="E48" s="4" t="str">
        <f t="shared" si="31"/>
        <v/>
      </c>
      <c r="F48" s="109" t="str">
        <f t="shared" si="32"/>
        <v/>
      </c>
      <c r="G48" s="4" t="str">
        <f t="shared" si="33"/>
        <v/>
      </c>
      <c r="H48" s="4"/>
      <c r="I48" s="309">
        <v>46233</v>
      </c>
      <c r="J48" s="310">
        <f>SUM(J33:J46)</f>
        <v>10009.25</v>
      </c>
      <c r="K48" s="311">
        <f>SUM(K33:K46)</f>
        <v>630</v>
      </c>
      <c r="L48" s="311">
        <f>SUM(L33:L46)</f>
        <v>10009.25</v>
      </c>
      <c r="M48" s="312">
        <f>SUM(K48:L48)</f>
        <v>10639.25</v>
      </c>
    </row>
    <row r="49" spans="2:13" x14ac:dyDescent="0.25">
      <c r="C49" s="262"/>
      <c r="F49" s="109"/>
      <c r="G49" s="4"/>
      <c r="H49" s="4"/>
      <c r="I49" s="4"/>
      <c r="K49" s="308"/>
      <c r="L49" s="308"/>
      <c r="M49" s="308"/>
    </row>
    <row r="50" spans="2:13" ht="30" x14ac:dyDescent="0.25">
      <c r="B50" s="269" t="s">
        <v>646</v>
      </c>
      <c r="C50" s="269" t="s">
        <v>122</v>
      </c>
      <c r="D50" s="269" t="s">
        <v>120</v>
      </c>
      <c r="E50" s="269" t="s">
        <v>647</v>
      </c>
      <c r="F50" s="269" t="s">
        <v>648</v>
      </c>
      <c r="G50" s="269" t="s">
        <v>649</v>
      </c>
      <c r="H50" s="269" t="s">
        <v>650</v>
      </c>
      <c r="I50" s="270" t="s">
        <v>651</v>
      </c>
      <c r="J50" s="306" t="s">
        <v>132</v>
      </c>
      <c r="K50" s="307" t="s">
        <v>652</v>
      </c>
      <c r="L50" s="269" t="s">
        <v>783</v>
      </c>
      <c r="M50" s="307" t="s">
        <v>155</v>
      </c>
    </row>
    <row r="51" spans="2:13" x14ac:dyDescent="0.25">
      <c r="B51" s="4">
        <v>801</v>
      </c>
      <c r="C51" s="262">
        <f t="shared" ref="C51:C64" si="37">IFERROR(IF(VLOOKUP($B51,PRtrasport,10,FALSE)&gt;0,VLOOKUP($B51,PRtrasport,10,FALSE),""),"")</f>
        <v>46238</v>
      </c>
      <c r="D51" s="4" t="str">
        <f t="shared" ref="D51:D64" si="38">IFERROR(IF(VLOOKUP($B51,PRtrasport,2,FALSE)&gt;0,VLOOKUP($B51,PRtrasport,2,FALSE),""),"")</f>
        <v>PNR</v>
      </c>
      <c r="E51" s="4" t="str">
        <f t="shared" ref="E51:E64" si="39">IFERROR(IF(VLOOKUP($B51,PRtrasport,5,FALSE)&gt;0,VLOOKUP($B51,PRtrasport,5,FALSE),""),"")</f>
        <v>BAHADUR</v>
      </c>
      <c r="F51" s="109" t="str">
        <f t="shared" ref="F51:F64" si="40">IFERROR(IF(VLOOKUP($B51,PRtrasport,11,FALSE)&gt;0,VLOOKUP($B51,PRtrasport,11,FALSE),""),"")</f>
        <v>ACCURATE</v>
      </c>
      <c r="G51" s="4">
        <f t="shared" ref="G51:G64" si="41">IFERROR(IF(VLOOKUP($B51,PRtrasport,6,FALSE)&gt;0,VLOOKUP($B51,PRtrasport,6,FALSE),""),"")</f>
        <v>4943</v>
      </c>
      <c r="H51" s="4">
        <f t="shared" ref="H51:H64" si="42">IFERROR(IF(VLOOKUP($B51,PRtrasport,7,FALSE)&gt;0,VLOOKUP($B51,PRtrasport,7,FALSE),""),"")</f>
        <v>4970</v>
      </c>
      <c r="I51" s="4" t="str">
        <f t="shared" ref="I51:I64" si="43">IFERROR(IF(VLOOKUP($B51,PRtrasport,8,FALSE)&gt;0,VLOOKUP($B51,PRtrasport,8,FALSE),""),"")</f>
        <v>GJ06ZZ6425</v>
      </c>
      <c r="J51" s="291">
        <f t="shared" ref="J51:J64" si="44">IFERROR(IF(VLOOKUP($B51,PRtrasport,9,FALSE)&gt;0,VLOOKUP($B51,PRtrasport,9,FALSE),""),"")</f>
        <v>1242.5</v>
      </c>
      <c r="K51" s="308">
        <v>70</v>
      </c>
      <c r="L51" s="308">
        <f t="shared" ref="L51:L64" si="45">IF(ISNUMBER(SEARCH("6425",$I51)),(VLOOKUP($B51,PRtrasport,9,0)),"")</f>
        <v>1242.5</v>
      </c>
      <c r="M51" s="308"/>
    </row>
    <row r="52" spans="2:13" x14ac:dyDescent="0.25">
      <c r="B52" s="4">
        <v>802</v>
      </c>
      <c r="C52" s="262">
        <f t="shared" si="37"/>
        <v>46240</v>
      </c>
      <c r="D52" s="4" t="str">
        <f t="shared" si="38"/>
        <v>PNR</v>
      </c>
      <c r="E52" s="4" t="str">
        <f t="shared" si="39"/>
        <v>BAHADUR</v>
      </c>
      <c r="F52" s="109" t="str">
        <f t="shared" si="40"/>
        <v>ACCURATE</v>
      </c>
      <c r="G52" s="4">
        <f t="shared" si="41"/>
        <v>2452</v>
      </c>
      <c r="H52" s="4">
        <f t="shared" si="42"/>
        <v>2460</v>
      </c>
      <c r="I52" s="4" t="str">
        <f t="shared" si="43"/>
        <v>GJ06ZZ6425</v>
      </c>
      <c r="J52" s="291">
        <f t="shared" si="44"/>
        <v>615</v>
      </c>
      <c r="K52" s="308">
        <v>70</v>
      </c>
      <c r="L52" s="308">
        <f t="shared" si="45"/>
        <v>615</v>
      </c>
      <c r="M52" s="308"/>
    </row>
    <row r="53" spans="2:13" x14ac:dyDescent="0.25">
      <c r="B53" s="4">
        <v>803</v>
      </c>
      <c r="C53" s="262">
        <f t="shared" si="37"/>
        <v>46240</v>
      </c>
      <c r="D53" s="4" t="str">
        <f t="shared" si="38"/>
        <v>PNR</v>
      </c>
      <c r="E53" s="4" t="str">
        <f t="shared" si="39"/>
        <v>BAHADUR</v>
      </c>
      <c r="F53" s="109" t="str">
        <f t="shared" si="40"/>
        <v>SHREE RAM</v>
      </c>
      <c r="G53" s="4">
        <f t="shared" si="41"/>
        <v>2485</v>
      </c>
      <c r="H53" s="4">
        <f t="shared" si="42"/>
        <v>2525</v>
      </c>
      <c r="I53" s="4" t="str">
        <f t="shared" si="43"/>
        <v>GJ06ZZ6425</v>
      </c>
      <c r="J53" s="291">
        <f t="shared" si="44"/>
        <v>631.25</v>
      </c>
      <c r="K53" s="308">
        <v>70</v>
      </c>
      <c r="L53" s="308">
        <f t="shared" si="45"/>
        <v>631.25</v>
      </c>
      <c r="M53" s="308"/>
    </row>
    <row r="54" spans="2:13" x14ac:dyDescent="0.25">
      <c r="B54" s="4">
        <v>804</v>
      </c>
      <c r="C54" s="262">
        <f t="shared" si="37"/>
        <v>46242</v>
      </c>
      <c r="D54" s="4" t="str">
        <f t="shared" si="38"/>
        <v>MLN</v>
      </c>
      <c r="E54" s="4" t="str">
        <f t="shared" si="39"/>
        <v>BAHADUR</v>
      </c>
      <c r="F54" s="109" t="str">
        <f t="shared" si="40"/>
        <v>SHIVSHAKTI</v>
      </c>
      <c r="G54" s="4">
        <f t="shared" si="41"/>
        <v>3915</v>
      </c>
      <c r="H54" s="4">
        <f t="shared" si="42"/>
        <v>3940</v>
      </c>
      <c r="I54" s="4" t="str">
        <f t="shared" si="43"/>
        <v>GJ06ZZ6425</v>
      </c>
      <c r="J54" s="291">
        <f t="shared" si="44"/>
        <v>985</v>
      </c>
      <c r="K54" s="308">
        <v>70</v>
      </c>
      <c r="L54" s="308">
        <f t="shared" si="45"/>
        <v>985</v>
      </c>
      <c r="M54" s="308"/>
    </row>
    <row r="55" spans="2:13" x14ac:dyDescent="0.25">
      <c r="B55" s="4">
        <v>805</v>
      </c>
      <c r="C55" s="262">
        <f t="shared" si="37"/>
        <v>46243</v>
      </c>
      <c r="D55" s="4" t="str">
        <f t="shared" si="38"/>
        <v>PNR</v>
      </c>
      <c r="E55" s="4" t="str">
        <f t="shared" si="39"/>
        <v>BAHADUR</v>
      </c>
      <c r="F55" s="109" t="str">
        <f t="shared" si="40"/>
        <v>SHREE RAM</v>
      </c>
      <c r="G55" s="4">
        <f t="shared" si="41"/>
        <v>5586</v>
      </c>
      <c r="H55" s="4">
        <f t="shared" si="42"/>
        <v>5625</v>
      </c>
      <c r="I55" s="4" t="str">
        <f t="shared" si="43"/>
        <v>GJ06ZZ6425</v>
      </c>
      <c r="J55" s="291">
        <f t="shared" si="44"/>
        <v>1406.25</v>
      </c>
      <c r="K55" s="308">
        <v>70</v>
      </c>
      <c r="L55" s="308">
        <f t="shared" si="45"/>
        <v>1406.25</v>
      </c>
      <c r="M55" s="308"/>
    </row>
    <row r="56" spans="2:13" x14ac:dyDescent="0.25">
      <c r="B56" s="4">
        <v>806</v>
      </c>
      <c r="C56" s="262">
        <f t="shared" si="37"/>
        <v>46258</v>
      </c>
      <c r="D56" s="4" t="str">
        <f t="shared" si="38"/>
        <v>BC</v>
      </c>
      <c r="E56" s="4" t="str">
        <f t="shared" si="39"/>
        <v>SELF</v>
      </c>
      <c r="F56" s="109" t="str">
        <f t="shared" si="40"/>
        <v>SHREE UMIYA</v>
      </c>
      <c r="G56" s="4">
        <f t="shared" si="41"/>
        <v>2395</v>
      </c>
      <c r="H56" s="4">
        <f t="shared" si="42"/>
        <v>2375</v>
      </c>
      <c r="I56" s="4" t="str">
        <f t="shared" si="43"/>
        <v>GJ06ZZ6425</v>
      </c>
      <c r="J56" s="291" t="str">
        <f t="shared" si="44"/>
        <v/>
      </c>
      <c r="K56" s="308"/>
      <c r="L56" s="308">
        <f t="shared" si="45"/>
        <v>0</v>
      </c>
      <c r="M56" s="308"/>
    </row>
    <row r="57" spans="2:13" x14ac:dyDescent="0.25">
      <c r="B57" s="4">
        <v>807</v>
      </c>
      <c r="C57" s="262">
        <f t="shared" si="37"/>
        <v>46265</v>
      </c>
      <c r="D57" s="4" t="str">
        <f t="shared" si="38"/>
        <v>PNR</v>
      </c>
      <c r="E57" s="4" t="str">
        <f t="shared" si="39"/>
        <v>BAHADUR</v>
      </c>
      <c r="F57" s="109" t="str">
        <f t="shared" si="40"/>
        <v>OM INDUSTRIES</v>
      </c>
      <c r="G57" s="4">
        <f t="shared" si="41"/>
        <v>2473</v>
      </c>
      <c r="H57" s="4">
        <f t="shared" si="42"/>
        <v>2473</v>
      </c>
      <c r="I57" s="4" t="str">
        <f t="shared" si="43"/>
        <v>GJ03CU7691</v>
      </c>
      <c r="J57" s="291">
        <f t="shared" si="44"/>
        <v>1200</v>
      </c>
      <c r="K57" s="308">
        <v>70</v>
      </c>
      <c r="L57" s="308">
        <v>1200</v>
      </c>
      <c r="M57" s="308"/>
    </row>
    <row r="58" spans="2:13" x14ac:dyDescent="0.25">
      <c r="C58" s="262" t="str">
        <f t="shared" si="37"/>
        <v/>
      </c>
      <c r="D58" s="4" t="str">
        <f t="shared" si="38"/>
        <v/>
      </c>
      <c r="E58" s="4" t="str">
        <f t="shared" si="39"/>
        <v/>
      </c>
      <c r="F58" s="109" t="str">
        <f t="shared" si="40"/>
        <v/>
      </c>
      <c r="G58" s="4" t="str">
        <f t="shared" si="41"/>
        <v/>
      </c>
      <c r="H58" s="4" t="str">
        <f t="shared" si="42"/>
        <v/>
      </c>
      <c r="I58" s="4" t="str">
        <f t="shared" si="43"/>
        <v/>
      </c>
      <c r="J58" s="291" t="str">
        <f t="shared" si="44"/>
        <v/>
      </c>
      <c r="K58" s="308"/>
      <c r="L58" s="308" t="str">
        <f t="shared" ref="L58" si="46">IF(ISNUMBER(SEARCH("9440",$I58)),(VLOOKUP($B58,PRtrasport,9,0)),"")</f>
        <v/>
      </c>
      <c r="M58" s="308"/>
    </row>
    <row r="59" spans="2:13" ht="21" x14ac:dyDescent="0.25">
      <c r="C59" s="262" t="str">
        <f>IFERROR(IF(VLOOKUP($B59,PRtrasport,10,FALSE)&gt;0,VLOOKUP($B59,PRtrasport,10,FALSE),""),"")</f>
        <v/>
      </c>
      <c r="D59" s="4" t="str">
        <f>IFERROR(IF(VLOOKUP($B59,PRtrasport,2,FALSE)&gt;0,VLOOKUP($B59,PRtrasport,2,FALSE),""),"")</f>
        <v/>
      </c>
      <c r="E59" s="4" t="str">
        <f>IFERROR(IF(VLOOKUP($B59,PRtrasport,5,FALSE)&gt;0,VLOOKUP($B59,PRtrasport,5,FALSE),""),"")</f>
        <v/>
      </c>
      <c r="F59" s="109" t="str">
        <f>IFERROR(IF(VLOOKUP($B59,PRtrasport,11,FALSE)&gt;0,VLOOKUP($B59,PRtrasport,11,FALSE),""),"")</f>
        <v/>
      </c>
      <c r="G59" s="4" t="str">
        <f>IFERROR(IF(VLOOKUP($B59,PRtrasport,6,FALSE)&gt;0,VLOOKUP($B59,PRtrasport,6,FALSE),""),"")</f>
        <v/>
      </c>
      <c r="H59" s="4" t="str">
        <f>IFERROR(IF(VLOOKUP($B59,PRtrasport,7,FALSE)&gt;0,VLOOKUP($B59,PRtrasport,7,FALSE),""),"")</f>
        <v/>
      </c>
      <c r="I59" s="309">
        <v>46264</v>
      </c>
      <c r="J59" s="310">
        <f>SUM(J51:J57)</f>
        <v>6080</v>
      </c>
      <c r="K59" s="311">
        <f>SUM(K51:K57)</f>
        <v>420</v>
      </c>
      <c r="L59" s="311">
        <f>SUM(L51:L57)</f>
        <v>6080</v>
      </c>
      <c r="M59" s="312">
        <f>SUM(K59:L59)</f>
        <v>6500</v>
      </c>
    </row>
    <row r="60" spans="2:13" x14ac:dyDescent="0.25">
      <c r="C60" s="262"/>
      <c r="F60" s="109"/>
      <c r="G60" s="4"/>
      <c r="H60" s="4"/>
      <c r="I60" s="4"/>
      <c r="K60" s="308"/>
      <c r="L60" s="308"/>
      <c r="M60" s="308"/>
    </row>
    <row r="61" spans="2:13" ht="30" x14ac:dyDescent="0.25">
      <c r="B61" s="269" t="s">
        <v>646</v>
      </c>
      <c r="C61" s="269" t="s">
        <v>122</v>
      </c>
      <c r="D61" s="269" t="s">
        <v>120</v>
      </c>
      <c r="E61" s="269" t="s">
        <v>647</v>
      </c>
      <c r="F61" s="269" t="s">
        <v>648</v>
      </c>
      <c r="G61" s="269" t="s">
        <v>649</v>
      </c>
      <c r="H61" s="269" t="s">
        <v>650</v>
      </c>
      <c r="I61" s="270" t="s">
        <v>651</v>
      </c>
      <c r="J61" s="306" t="s">
        <v>132</v>
      </c>
      <c r="K61" s="307" t="s">
        <v>652</v>
      </c>
      <c r="L61" s="269" t="s">
        <v>783</v>
      </c>
      <c r="M61" s="307" t="s">
        <v>155</v>
      </c>
    </row>
    <row r="62" spans="2:13" x14ac:dyDescent="0.25">
      <c r="C62" s="262" t="str">
        <f t="shared" si="37"/>
        <v/>
      </c>
      <c r="D62" s="4" t="str">
        <f t="shared" si="38"/>
        <v/>
      </c>
      <c r="E62" s="4" t="str">
        <f t="shared" si="39"/>
        <v/>
      </c>
      <c r="F62" s="109" t="str">
        <f t="shared" si="40"/>
        <v/>
      </c>
      <c r="G62" s="4" t="str">
        <f t="shared" si="41"/>
        <v/>
      </c>
      <c r="H62" s="4" t="str">
        <f t="shared" si="42"/>
        <v/>
      </c>
      <c r="I62" s="4" t="str">
        <f t="shared" si="43"/>
        <v/>
      </c>
      <c r="J62" s="291" t="str">
        <f t="shared" si="44"/>
        <v/>
      </c>
      <c r="K62" s="308"/>
      <c r="L62" s="308" t="str">
        <f t="shared" si="45"/>
        <v/>
      </c>
      <c r="M62" s="308"/>
    </row>
    <row r="63" spans="2:13" x14ac:dyDescent="0.25">
      <c r="C63" s="262" t="str">
        <f t="shared" si="37"/>
        <v/>
      </c>
      <c r="D63" s="4" t="str">
        <f t="shared" si="38"/>
        <v/>
      </c>
      <c r="E63" s="4" t="str">
        <f t="shared" si="39"/>
        <v/>
      </c>
      <c r="F63" s="109" t="str">
        <f t="shared" si="40"/>
        <v/>
      </c>
      <c r="G63" s="4" t="str">
        <f t="shared" si="41"/>
        <v/>
      </c>
      <c r="H63" s="4" t="str">
        <f t="shared" si="42"/>
        <v/>
      </c>
      <c r="I63" s="4" t="str">
        <f t="shared" si="43"/>
        <v/>
      </c>
      <c r="J63" s="291" t="str">
        <f t="shared" si="44"/>
        <v/>
      </c>
      <c r="K63" s="308"/>
      <c r="L63" s="308" t="str">
        <f t="shared" si="45"/>
        <v/>
      </c>
      <c r="M63" s="308"/>
    </row>
    <row r="64" spans="2:13" x14ac:dyDescent="0.25">
      <c r="C64" s="262" t="str">
        <f t="shared" si="37"/>
        <v/>
      </c>
      <c r="D64" s="4" t="str">
        <f t="shared" si="38"/>
        <v/>
      </c>
      <c r="E64" s="4" t="str">
        <f t="shared" si="39"/>
        <v/>
      </c>
      <c r="F64" s="109" t="str">
        <f t="shared" si="40"/>
        <v/>
      </c>
      <c r="G64" s="4" t="str">
        <f t="shared" si="41"/>
        <v/>
      </c>
      <c r="H64" s="4" t="str">
        <f t="shared" si="42"/>
        <v/>
      </c>
      <c r="I64" s="4" t="str">
        <f t="shared" si="43"/>
        <v/>
      </c>
      <c r="J64" s="291" t="str">
        <f t="shared" si="44"/>
        <v/>
      </c>
      <c r="K64" s="308"/>
      <c r="L64" s="308" t="str">
        <f t="shared" si="45"/>
        <v/>
      </c>
      <c r="M64" s="308"/>
    </row>
    <row r="65" spans="3:13" x14ac:dyDescent="0.25">
      <c r="C65" s="262"/>
      <c r="F65" s="109"/>
      <c r="G65" s="4"/>
      <c r="H65" s="4"/>
      <c r="I65" s="4"/>
      <c r="K65" s="308"/>
      <c r="L65" s="308"/>
      <c r="M65" s="308"/>
    </row>
    <row r="66" spans="3:13" x14ac:dyDescent="0.25">
      <c r="C66" s="262"/>
      <c r="F66" s="109"/>
      <c r="G66" s="4"/>
      <c r="H66" s="4"/>
      <c r="I66" s="4"/>
      <c r="K66" s="308"/>
      <c r="L66" s="308"/>
      <c r="M66" s="308"/>
    </row>
    <row r="67" spans="3:13" x14ac:dyDescent="0.25">
      <c r="C67" s="262"/>
      <c r="F67" s="109"/>
      <c r="G67" s="4"/>
      <c r="H67" s="4"/>
      <c r="I67" s="4"/>
      <c r="K67" s="308"/>
      <c r="L67" s="308"/>
      <c r="M67" s="308"/>
    </row>
    <row r="68" spans="3:13" x14ac:dyDescent="0.25">
      <c r="C68" s="262"/>
      <c r="F68" s="109"/>
      <c r="G68" s="4"/>
      <c r="H68" s="4"/>
      <c r="I68" s="4"/>
      <c r="K68" s="308"/>
      <c r="L68" s="308"/>
      <c r="M68" s="308"/>
    </row>
    <row r="69" spans="3:13" x14ac:dyDescent="0.25">
      <c r="C69" s="262"/>
      <c r="F69" s="109"/>
      <c r="G69" s="4"/>
      <c r="H69" s="4"/>
      <c r="I69" s="4"/>
      <c r="K69" s="308"/>
      <c r="L69" s="308"/>
      <c r="M69" s="308"/>
    </row>
    <row r="70" spans="3:13" x14ac:dyDescent="0.25">
      <c r="C70" s="262"/>
      <c r="F70" s="109"/>
      <c r="G70" s="4"/>
      <c r="H70" s="4"/>
      <c r="I70" s="4"/>
      <c r="K70" s="308"/>
      <c r="L70" s="308"/>
      <c r="M70" s="308"/>
    </row>
    <row r="71" spans="3:13" x14ac:dyDescent="0.25">
      <c r="C71" s="262"/>
      <c r="F71" s="109"/>
      <c r="G71" s="4"/>
      <c r="H71" s="4"/>
      <c r="I71" s="4"/>
      <c r="K71" s="308"/>
      <c r="L71" s="308"/>
      <c r="M71" s="308"/>
    </row>
    <row r="72" spans="3:13" x14ac:dyDescent="0.25">
      <c r="C72" s="262"/>
      <c r="F72" s="109"/>
      <c r="G72" s="4"/>
      <c r="H72" s="4"/>
      <c r="I72" s="4"/>
      <c r="K72" s="308"/>
      <c r="L72" s="308"/>
      <c r="M72" s="308"/>
    </row>
    <row r="73" spans="3:13" x14ac:dyDescent="0.25">
      <c r="C73" s="262"/>
      <c r="F73" s="109"/>
      <c r="G73" s="4"/>
      <c r="H73" s="4"/>
      <c r="I73" s="4"/>
      <c r="K73" s="308"/>
      <c r="L73" s="308"/>
      <c r="M73" s="308"/>
    </row>
    <row r="74" spans="3:13" x14ac:dyDescent="0.25">
      <c r="C74" s="262"/>
      <c r="F74" s="109"/>
      <c r="G74" s="4"/>
      <c r="H74" s="4"/>
      <c r="I74" s="4"/>
      <c r="K74" s="308"/>
      <c r="L74" s="308"/>
      <c r="M74" s="308"/>
    </row>
    <row r="75" spans="3:13" x14ac:dyDescent="0.25">
      <c r="C75" s="262"/>
      <c r="F75" s="109"/>
      <c r="G75" s="4"/>
      <c r="H75" s="4"/>
      <c r="I75" s="4"/>
      <c r="K75" s="308"/>
      <c r="L75" s="308"/>
      <c r="M75" s="308"/>
    </row>
    <row r="76" spans="3:13" x14ac:dyDescent="0.25">
      <c r="C76" s="262"/>
      <c r="F76" s="109"/>
      <c r="G76" s="4"/>
      <c r="H76" s="4"/>
      <c r="I76" s="4"/>
      <c r="K76" s="308"/>
      <c r="L76" s="308"/>
      <c r="M76" s="308"/>
    </row>
    <row r="77" spans="3:13" x14ac:dyDescent="0.25">
      <c r="C77" s="262"/>
      <c r="F77" s="109"/>
      <c r="G77" s="4"/>
      <c r="H77" s="4"/>
      <c r="I77" s="4"/>
      <c r="K77" s="308"/>
      <c r="L77" s="308"/>
      <c r="M77" s="308"/>
    </row>
    <row r="78" spans="3:13" x14ac:dyDescent="0.25">
      <c r="C78" s="262"/>
      <c r="F78" s="109"/>
      <c r="G78" s="4"/>
      <c r="H78" s="4"/>
      <c r="I78" s="4"/>
      <c r="K78" s="308"/>
      <c r="L78" s="308"/>
      <c r="M78" s="308"/>
    </row>
    <row r="79" spans="3:13" x14ac:dyDescent="0.25">
      <c r="C79" s="262"/>
      <c r="F79" s="109"/>
      <c r="G79" s="4"/>
      <c r="H79" s="4"/>
      <c r="I79" s="4"/>
      <c r="K79" s="308"/>
      <c r="L79" s="308"/>
      <c r="M79" s="308"/>
    </row>
    <row r="80" spans="3:13" x14ac:dyDescent="0.25">
      <c r="C80" s="262"/>
      <c r="F80" s="109"/>
      <c r="G80" s="4"/>
      <c r="H80" s="4"/>
      <c r="I80" s="4"/>
      <c r="K80" s="308"/>
      <c r="L80" s="308"/>
      <c r="M80" s="308"/>
    </row>
    <row r="81" spans="3:13" x14ac:dyDescent="0.25">
      <c r="C81" s="262"/>
      <c r="F81" s="109"/>
      <c r="G81" s="4"/>
      <c r="H81" s="4"/>
      <c r="I81" s="4"/>
      <c r="K81" s="308"/>
      <c r="L81" s="308"/>
      <c r="M81" s="308"/>
    </row>
    <row r="82" spans="3:13" x14ac:dyDescent="0.25">
      <c r="C82" s="262"/>
      <c r="F82" s="109"/>
      <c r="G82" s="4"/>
      <c r="H82" s="4"/>
      <c r="I82" s="4"/>
      <c r="K82" s="308"/>
      <c r="L82" s="308"/>
      <c r="M82" s="308"/>
    </row>
    <row r="83" spans="3:13" x14ac:dyDescent="0.25">
      <c r="C83" s="262"/>
      <c r="F83" s="109"/>
      <c r="G83" s="4"/>
      <c r="H83" s="4"/>
      <c r="I83" s="4"/>
      <c r="K83" s="308"/>
      <c r="L83" s="308"/>
      <c r="M83" s="308"/>
    </row>
    <row r="84" spans="3:13" x14ac:dyDescent="0.25">
      <c r="C84" s="262"/>
      <c r="F84" s="109"/>
      <c r="G84" s="4"/>
      <c r="H84" s="4"/>
      <c r="I84" s="4"/>
      <c r="K84" s="308"/>
      <c r="L84" s="308"/>
      <c r="M84" s="308"/>
    </row>
    <row r="85" spans="3:13" x14ac:dyDescent="0.25">
      <c r="C85" s="262"/>
      <c r="F85" s="109"/>
      <c r="G85" s="4"/>
      <c r="H85" s="4"/>
      <c r="I85" s="4"/>
      <c r="K85" s="308"/>
      <c r="L85" s="308"/>
      <c r="M85" s="308"/>
    </row>
    <row r="86" spans="3:13" x14ac:dyDescent="0.25">
      <c r="C86" s="262"/>
      <c r="F86" s="109"/>
      <c r="G86" s="4"/>
      <c r="H86" s="4"/>
      <c r="I86" s="4"/>
      <c r="K86" s="308"/>
      <c r="L86" s="308"/>
      <c r="M86" s="308"/>
    </row>
    <row r="87" spans="3:13" x14ac:dyDescent="0.25">
      <c r="C87" s="262"/>
      <c r="F87" s="109"/>
      <c r="G87" s="4"/>
      <c r="H87" s="4"/>
      <c r="I87" s="4"/>
      <c r="K87" s="308"/>
      <c r="L87" s="308"/>
      <c r="M87" s="308"/>
    </row>
    <row r="88" spans="3:13" x14ac:dyDescent="0.25">
      <c r="C88" s="262"/>
      <c r="F88" s="109"/>
      <c r="G88" s="4"/>
      <c r="H88" s="4"/>
      <c r="I88" s="4"/>
      <c r="K88" s="308"/>
      <c r="L88" s="308"/>
      <c r="M88" s="308"/>
    </row>
    <row r="89" spans="3:13" x14ac:dyDescent="0.25">
      <c r="C89" s="262"/>
      <c r="F89" s="109"/>
      <c r="G89" s="4"/>
      <c r="H89" s="4"/>
      <c r="I89" s="4"/>
      <c r="K89" s="308"/>
      <c r="L89" s="308"/>
      <c r="M89" s="308"/>
    </row>
    <row r="90" spans="3:13" x14ac:dyDescent="0.25">
      <c r="C90" s="262"/>
      <c r="F90" s="109"/>
      <c r="G90" s="4"/>
      <c r="H90" s="4"/>
      <c r="I90" s="4"/>
      <c r="K90" s="308"/>
      <c r="L90" s="308"/>
      <c r="M90" s="308"/>
    </row>
    <row r="91" spans="3:13" x14ac:dyDescent="0.25">
      <c r="C91" s="262"/>
      <c r="F91" s="109"/>
      <c r="G91" s="4"/>
      <c r="H91" s="4"/>
      <c r="I91" s="4"/>
      <c r="K91" s="308"/>
      <c r="L91" s="308"/>
      <c r="M91" s="308"/>
    </row>
    <row r="92" spans="3:13" x14ac:dyDescent="0.25">
      <c r="C92" s="262"/>
      <c r="F92" s="109"/>
      <c r="G92" s="4"/>
      <c r="H92" s="4"/>
      <c r="I92" s="4"/>
      <c r="K92" s="308"/>
      <c r="L92" s="308"/>
      <c r="M92" s="308"/>
    </row>
    <row r="93" spans="3:13" x14ac:dyDescent="0.25">
      <c r="C93" s="262"/>
      <c r="F93" s="109"/>
      <c r="G93" s="4"/>
      <c r="H93" s="4"/>
      <c r="I93" s="4"/>
      <c r="K93" s="308"/>
      <c r="L93" s="308"/>
      <c r="M93" s="308"/>
    </row>
    <row r="94" spans="3:13" x14ac:dyDescent="0.25">
      <c r="C94" s="262"/>
      <c r="F94" s="109"/>
      <c r="G94" s="4"/>
      <c r="H94" s="4"/>
      <c r="I94" s="4"/>
      <c r="K94" s="308"/>
      <c r="L94" s="308"/>
      <c r="M94" s="308"/>
    </row>
    <row r="95" spans="3:13" x14ac:dyDescent="0.25">
      <c r="C95" s="262"/>
      <c r="F95" s="109"/>
      <c r="G95" s="4"/>
      <c r="H95" s="4"/>
      <c r="I95" s="4"/>
      <c r="K95" s="308"/>
      <c r="L95" s="308"/>
      <c r="M95" s="308"/>
    </row>
    <row r="96" spans="3:13" x14ac:dyDescent="0.25">
      <c r="C96" s="262"/>
      <c r="F96" s="109"/>
      <c r="G96" s="4"/>
      <c r="H96" s="4"/>
      <c r="I96" s="4"/>
      <c r="K96" s="308"/>
      <c r="L96" s="308"/>
      <c r="M96" s="308"/>
    </row>
    <row r="97" spans="3:13" x14ac:dyDescent="0.25">
      <c r="C97" s="262"/>
      <c r="F97" s="109"/>
      <c r="G97" s="4"/>
      <c r="H97" s="4"/>
      <c r="I97" s="4"/>
      <c r="K97" s="308"/>
      <c r="L97" s="308"/>
      <c r="M97" s="308"/>
    </row>
    <row r="98" spans="3:13" x14ac:dyDescent="0.25">
      <c r="C98" s="262"/>
      <c r="F98" s="109"/>
      <c r="G98" s="4"/>
      <c r="H98" s="4"/>
      <c r="I98" s="4"/>
      <c r="K98" s="308"/>
      <c r="L98" s="308"/>
      <c r="M98" s="308"/>
    </row>
    <row r="99" spans="3:13" x14ac:dyDescent="0.25">
      <c r="C99" s="262"/>
      <c r="F99" s="109"/>
      <c r="G99" s="4"/>
      <c r="H99" s="4"/>
      <c r="I99" s="4"/>
      <c r="K99" s="308"/>
      <c r="L99" s="308"/>
      <c r="M99" s="308"/>
    </row>
    <row r="100" spans="3:13" x14ac:dyDescent="0.25">
      <c r="C100" s="262"/>
      <c r="F100" s="109"/>
      <c r="G100" s="4"/>
      <c r="H100" s="4"/>
      <c r="I100" s="4"/>
      <c r="K100" s="308"/>
      <c r="L100" s="308"/>
      <c r="M100" s="308"/>
    </row>
    <row r="101" spans="3:13" x14ac:dyDescent="0.25">
      <c r="C101" s="262"/>
      <c r="F101" s="109"/>
      <c r="G101" s="4"/>
      <c r="H101" s="4"/>
      <c r="I101" s="4"/>
      <c r="K101" s="308"/>
      <c r="L101" s="308"/>
      <c r="M101" s="308"/>
    </row>
    <row r="102" spans="3:13" x14ac:dyDescent="0.25">
      <c r="C102" s="262"/>
      <c r="F102" s="109"/>
      <c r="G102" s="4"/>
      <c r="H102" s="4"/>
      <c r="I102" s="4"/>
      <c r="K102" s="308"/>
      <c r="L102" s="308"/>
      <c r="M102" s="308"/>
    </row>
    <row r="103" spans="3:13" x14ac:dyDescent="0.25">
      <c r="C103" s="262"/>
      <c r="F103" s="109"/>
      <c r="G103" s="4"/>
      <c r="H103" s="4"/>
      <c r="I103" s="4"/>
      <c r="K103" s="308"/>
      <c r="L103" s="308"/>
      <c r="M103" s="308"/>
    </row>
    <row r="104" spans="3:13" x14ac:dyDescent="0.25">
      <c r="C104" s="262"/>
      <c r="F104" s="109"/>
      <c r="G104" s="4"/>
      <c r="H104" s="4"/>
      <c r="I104" s="4"/>
      <c r="K104" s="308"/>
      <c r="L104" s="308"/>
      <c r="M104" s="308"/>
    </row>
    <row r="105" spans="3:13" x14ac:dyDescent="0.25">
      <c r="C105" s="262"/>
      <c r="F105" s="109"/>
      <c r="G105" s="4"/>
      <c r="H105" s="4"/>
      <c r="I105" s="4"/>
      <c r="K105" s="308"/>
      <c r="L105" s="308"/>
      <c r="M105" s="308"/>
    </row>
    <row r="106" spans="3:13" x14ac:dyDescent="0.25">
      <c r="C106" s="262"/>
      <c r="F106" s="109"/>
      <c r="G106" s="4"/>
      <c r="H106" s="4"/>
      <c r="I106" s="4"/>
      <c r="K106" s="308"/>
      <c r="L106" s="308"/>
      <c r="M106" s="308"/>
    </row>
    <row r="107" spans="3:13" x14ac:dyDescent="0.25">
      <c r="C107" s="262"/>
      <c r="F107" s="109"/>
      <c r="G107" s="4"/>
      <c r="H107" s="4"/>
      <c r="I107" s="4"/>
      <c r="K107" s="308"/>
      <c r="L107" s="308"/>
      <c r="M107" s="308"/>
    </row>
    <row r="108" spans="3:13" x14ac:dyDescent="0.25">
      <c r="C108" s="262"/>
      <c r="F108" s="109"/>
      <c r="G108" s="4"/>
      <c r="H108" s="4"/>
      <c r="I108" s="4"/>
      <c r="K108" s="308"/>
      <c r="L108" s="308"/>
      <c r="M108" s="308"/>
    </row>
    <row r="109" spans="3:13" x14ac:dyDescent="0.25">
      <c r="C109" s="262"/>
      <c r="F109" s="109"/>
      <c r="G109" s="4"/>
      <c r="H109" s="4"/>
      <c r="I109" s="4"/>
      <c r="K109" s="308"/>
      <c r="L109" s="308"/>
      <c r="M109" s="308"/>
    </row>
    <row r="110" spans="3:13" x14ac:dyDescent="0.25">
      <c r="C110" s="262"/>
      <c r="F110" s="109"/>
      <c r="G110" s="4"/>
      <c r="H110" s="4"/>
      <c r="I110" s="4"/>
      <c r="K110" s="308"/>
      <c r="L110" s="308"/>
      <c r="M110" s="308"/>
    </row>
    <row r="111" spans="3:13" x14ac:dyDescent="0.25">
      <c r="C111" s="262"/>
      <c r="F111" s="109"/>
      <c r="G111" s="4"/>
      <c r="H111" s="4"/>
      <c r="I111" s="4"/>
      <c r="K111" s="308"/>
      <c r="L111" s="308"/>
      <c r="M111" s="308"/>
    </row>
    <row r="112" spans="3:13" x14ac:dyDescent="0.25">
      <c r="C112" s="262"/>
      <c r="F112" s="109"/>
      <c r="G112" s="4"/>
      <c r="H112" s="4"/>
      <c r="I112" s="4"/>
      <c r="K112" s="308"/>
      <c r="L112" s="308"/>
      <c r="M112" s="308"/>
    </row>
    <row r="113" spans="3:13" x14ac:dyDescent="0.25">
      <c r="C113" s="262"/>
      <c r="F113" s="109"/>
      <c r="G113" s="4"/>
      <c r="H113" s="4"/>
      <c r="I113" s="4"/>
      <c r="K113" s="308"/>
      <c r="L113" s="308"/>
      <c r="M113" s="308"/>
    </row>
    <row r="114" spans="3:13" x14ac:dyDescent="0.25">
      <c r="C114" s="262"/>
      <c r="F114" s="109"/>
      <c r="G114" s="4"/>
      <c r="H114" s="4"/>
      <c r="I114" s="4"/>
      <c r="K114" s="308"/>
      <c r="L114" s="308"/>
      <c r="M114" s="308"/>
    </row>
    <row r="115" spans="3:13" x14ac:dyDescent="0.25">
      <c r="C115" s="262"/>
      <c r="F115" s="109"/>
      <c r="G115" s="4"/>
      <c r="H115" s="4"/>
      <c r="I115" s="4"/>
      <c r="K115" s="308"/>
      <c r="L115" s="308"/>
      <c r="M115" s="308"/>
    </row>
    <row r="116" spans="3:13" x14ac:dyDescent="0.25">
      <c r="C116" s="262"/>
      <c r="F116" s="109"/>
      <c r="G116" s="4"/>
      <c r="H116" s="4"/>
      <c r="I116" s="4"/>
      <c r="K116" s="308"/>
      <c r="L116" s="308"/>
      <c r="M116" s="308"/>
    </row>
    <row r="117" spans="3:13" x14ac:dyDescent="0.25">
      <c r="C117" s="262"/>
      <c r="F117" s="109"/>
      <c r="G117" s="4"/>
      <c r="H117" s="4"/>
      <c r="I117" s="4"/>
      <c r="K117" s="308"/>
      <c r="L117" s="308"/>
      <c r="M117" s="308"/>
    </row>
    <row r="118" spans="3:13" ht="0.75" customHeight="1" x14ac:dyDescent="0.25">
      <c r="C118" s="262"/>
      <c r="F118" s="109"/>
      <c r="G118" s="4"/>
      <c r="H118" s="4"/>
      <c r="I118" s="4"/>
      <c r="K118" s="308"/>
      <c r="L118" s="308"/>
      <c r="M118" s="308"/>
    </row>
    <row r="119" spans="3:13" x14ac:dyDescent="0.25">
      <c r="C119" s="262"/>
      <c r="F119" s="109"/>
      <c r="G119" s="4"/>
      <c r="H119" s="4"/>
      <c r="I119" s="4"/>
      <c r="K119" s="308"/>
      <c r="L119" s="308"/>
      <c r="M119" s="308"/>
    </row>
    <row r="120" spans="3:13" x14ac:dyDescent="0.25">
      <c r="C120" s="262"/>
      <c r="F120" s="109"/>
      <c r="G120" s="4"/>
      <c r="H120" s="4"/>
      <c r="I120" s="4"/>
      <c r="K120" s="308"/>
      <c r="L120" s="308"/>
      <c r="M120" s="308"/>
    </row>
    <row r="121" spans="3:13" x14ac:dyDescent="0.25">
      <c r="C121" s="262"/>
      <c r="F121" s="109"/>
      <c r="G121" s="4"/>
      <c r="H121" s="4"/>
      <c r="I121" s="4"/>
      <c r="K121" s="308"/>
      <c r="L121" s="308"/>
      <c r="M121" s="308"/>
    </row>
    <row r="122" spans="3:13" x14ac:dyDescent="0.25">
      <c r="C122" s="262"/>
      <c r="F122" s="109"/>
      <c r="G122" s="4"/>
      <c r="H122" s="4"/>
      <c r="I122" s="4"/>
      <c r="K122" s="308"/>
      <c r="L122" s="308"/>
      <c r="M122" s="308"/>
    </row>
    <row r="123" spans="3:13" x14ac:dyDescent="0.25">
      <c r="C123" s="262"/>
      <c r="F123" s="109"/>
      <c r="G123" s="4"/>
      <c r="H123" s="4"/>
      <c r="I123" s="4"/>
      <c r="K123" s="308"/>
      <c r="L123" s="308"/>
      <c r="M123" s="308"/>
    </row>
    <row r="124" spans="3:13" x14ac:dyDescent="0.25">
      <c r="C124" s="262"/>
      <c r="F124" s="109"/>
      <c r="G124" s="4"/>
      <c r="H124" s="4"/>
      <c r="I124" s="4"/>
      <c r="K124" s="308"/>
      <c r="L124" s="308"/>
      <c r="M124" s="308"/>
    </row>
    <row r="125" spans="3:13" x14ac:dyDescent="0.25">
      <c r="C125" s="262"/>
      <c r="F125" s="109"/>
      <c r="G125" s="4"/>
      <c r="H125" s="4"/>
      <c r="I125" s="4"/>
      <c r="K125" s="308"/>
      <c r="L125" s="308"/>
      <c r="M125" s="308"/>
    </row>
    <row r="126" spans="3:13" x14ac:dyDescent="0.25">
      <c r="C126" s="262"/>
      <c r="F126" s="109"/>
      <c r="G126" s="4"/>
      <c r="H126" s="4"/>
      <c r="I126" s="4"/>
      <c r="K126" s="308"/>
      <c r="L126" s="308"/>
      <c r="M126" s="308"/>
    </row>
    <row r="127" spans="3:13" x14ac:dyDescent="0.25">
      <c r="C127" s="262"/>
      <c r="F127" s="109"/>
      <c r="G127" s="4"/>
      <c r="H127" s="4"/>
      <c r="I127" s="4"/>
      <c r="K127" s="308"/>
      <c r="L127" s="308"/>
      <c r="M127" s="308"/>
    </row>
    <row r="128" spans="3:13" x14ac:dyDescent="0.25">
      <c r="C128" s="262"/>
      <c r="F128" s="109"/>
      <c r="G128" s="4"/>
      <c r="H128" s="4"/>
      <c r="I128" s="4"/>
      <c r="K128" s="308"/>
      <c r="L128" s="308"/>
      <c r="M128" s="308"/>
    </row>
    <row r="129" spans="1:15" x14ac:dyDescent="0.25">
      <c r="C129" s="262"/>
      <c r="F129" s="109"/>
      <c r="G129" s="4"/>
      <c r="H129" s="4"/>
      <c r="I129" s="4"/>
      <c r="K129" s="308"/>
      <c r="L129" s="308"/>
      <c r="M129" s="308"/>
    </row>
    <row r="130" spans="1:15" x14ac:dyDescent="0.25">
      <c r="C130" s="262"/>
      <c r="F130" s="109"/>
      <c r="G130" s="4"/>
      <c r="H130" s="4"/>
      <c r="I130" s="4"/>
      <c r="K130" s="308"/>
      <c r="L130" s="308"/>
      <c r="M130" s="308"/>
    </row>
    <row r="131" spans="1:15" x14ac:dyDescent="0.25">
      <c r="C131" s="262"/>
      <c r="F131" s="109"/>
      <c r="G131" s="4"/>
      <c r="H131" s="4"/>
      <c r="I131" s="4"/>
      <c r="K131" s="308"/>
      <c r="L131" s="308"/>
      <c r="M131" s="308"/>
    </row>
    <row r="132" spans="1:15" x14ac:dyDescent="0.25">
      <c r="C132" s="262"/>
      <c r="F132" s="109"/>
      <c r="G132" s="4"/>
      <c r="H132" s="4"/>
      <c r="I132" s="4"/>
      <c r="K132" s="308"/>
      <c r="L132" s="308"/>
      <c r="M132" s="308"/>
    </row>
    <row r="133" spans="1:15" x14ac:dyDescent="0.25">
      <c r="C133" s="262"/>
      <c r="F133" s="109"/>
      <c r="G133" s="4"/>
      <c r="H133" s="4"/>
      <c r="I133" s="4"/>
      <c r="K133" s="308"/>
      <c r="L133" s="308"/>
      <c r="M133" s="308"/>
    </row>
    <row r="134" spans="1:15" x14ac:dyDescent="0.25">
      <c r="C134" s="262"/>
      <c r="F134" s="109"/>
      <c r="G134" s="4"/>
      <c r="H134" s="4"/>
      <c r="I134" s="4"/>
      <c r="K134" s="308"/>
      <c r="L134" s="308"/>
      <c r="M134" s="308"/>
    </row>
    <row r="135" spans="1:15" x14ac:dyDescent="0.25">
      <c r="C135" s="262"/>
      <c r="F135" s="109"/>
      <c r="G135" s="4"/>
      <c r="H135" s="4"/>
      <c r="I135" s="4"/>
      <c r="K135" s="308"/>
      <c r="L135" s="308"/>
      <c r="M135" s="308"/>
    </row>
    <row r="136" spans="1:15" x14ac:dyDescent="0.25">
      <c r="C136" s="262"/>
      <c r="F136" s="109"/>
      <c r="G136" s="4"/>
      <c r="H136" s="4"/>
      <c r="I136" s="4"/>
      <c r="K136" s="308"/>
      <c r="L136" s="308"/>
      <c r="M136" s="308"/>
    </row>
    <row r="137" spans="1:15" x14ac:dyDescent="0.25">
      <c r="C137" s="262"/>
      <c r="F137" s="109"/>
      <c r="G137" s="4"/>
      <c r="H137" s="4"/>
      <c r="I137" s="4"/>
      <c r="K137" s="308"/>
      <c r="L137" s="308"/>
      <c r="M137" s="308"/>
    </row>
    <row r="138" spans="1:15" x14ac:dyDescent="0.25">
      <c r="C138" s="262"/>
      <c r="F138" s="109"/>
      <c r="G138" s="4"/>
      <c r="H138" s="4"/>
      <c r="I138" s="4"/>
      <c r="K138" s="308"/>
      <c r="L138" s="308"/>
      <c r="M138" s="308"/>
    </row>
    <row r="139" spans="1:15" x14ac:dyDescent="0.25">
      <c r="C139" s="262"/>
      <c r="F139" s="109"/>
      <c r="G139" s="4"/>
      <c r="H139" s="4"/>
      <c r="I139" s="4"/>
      <c r="K139" s="308"/>
      <c r="L139" s="308"/>
      <c r="M139" s="308"/>
    </row>
    <row r="140" spans="1:15" x14ac:dyDescent="0.25">
      <c r="C140" s="262"/>
      <c r="F140" s="109"/>
      <c r="G140" s="4"/>
      <c r="H140" s="4"/>
      <c r="I140" s="4"/>
      <c r="K140" s="308"/>
      <c r="L140" s="308"/>
      <c r="M140" s="308"/>
    </row>
    <row r="141" spans="1:15" s="86" customFormat="1" x14ac:dyDescent="0.25">
      <c r="A141"/>
      <c r="B141" s="4"/>
      <c r="C141" s="262"/>
      <c r="D141" s="4"/>
      <c r="E141" s="4"/>
      <c r="F141" s="109"/>
      <c r="G141" s="4"/>
      <c r="H141" s="4"/>
      <c r="I141" s="4"/>
      <c r="J141" s="291"/>
      <c r="K141" s="308"/>
      <c r="L141" s="308"/>
      <c r="M141" s="308"/>
      <c r="N141"/>
      <c r="O141"/>
    </row>
    <row r="142" spans="1:15" x14ac:dyDescent="0.25">
      <c r="C142" s="262"/>
      <c r="F142" s="109"/>
      <c r="G142" s="4"/>
      <c r="H142" s="4"/>
      <c r="I142" s="4"/>
      <c r="K142" s="308"/>
      <c r="L142" s="308"/>
      <c r="M142" s="308"/>
    </row>
    <row r="143" spans="1:15" x14ac:dyDescent="0.25">
      <c r="C143" s="262"/>
      <c r="F143" s="109"/>
      <c r="G143" s="4"/>
      <c r="H143" s="4"/>
      <c r="I143" s="4"/>
      <c r="K143" s="308"/>
      <c r="L143" s="308"/>
      <c r="M143" s="308"/>
    </row>
    <row r="144" spans="1:15" x14ac:dyDescent="0.25">
      <c r="C144" s="262"/>
      <c r="F144" s="109"/>
      <c r="G144" s="4"/>
      <c r="H144" s="4"/>
      <c r="I144" s="4"/>
      <c r="K144" s="308"/>
      <c r="L144" s="308"/>
      <c r="M144" s="308"/>
    </row>
    <row r="145" spans="3:13" x14ac:dyDescent="0.25">
      <c r="C145" s="262"/>
      <c r="F145" s="109"/>
      <c r="G145" s="4"/>
      <c r="H145" s="4"/>
      <c r="I145" s="4"/>
      <c r="K145" s="308"/>
      <c r="L145" s="308"/>
      <c r="M145" s="308"/>
    </row>
    <row r="146" spans="3:13" x14ac:dyDescent="0.25">
      <c r="C146" s="262"/>
      <c r="F146" s="109"/>
      <c r="G146" s="4"/>
      <c r="H146" s="4"/>
      <c r="I146" s="4"/>
      <c r="K146" s="308"/>
      <c r="L146" s="308"/>
      <c r="M146" s="308"/>
    </row>
    <row r="147" spans="3:13" x14ac:dyDescent="0.25">
      <c r="C147" s="262"/>
      <c r="F147" s="109"/>
      <c r="G147" s="4"/>
      <c r="H147" s="4"/>
      <c r="I147" s="4"/>
      <c r="K147" s="308"/>
      <c r="L147" s="308"/>
      <c r="M147" s="308"/>
    </row>
    <row r="148" spans="3:13" x14ac:dyDescent="0.25">
      <c r="C148" s="262"/>
      <c r="F148" s="109"/>
      <c r="G148" s="4"/>
      <c r="H148" s="4"/>
      <c r="I148" s="4"/>
      <c r="K148" s="308"/>
      <c r="L148" s="308"/>
      <c r="M148" s="308"/>
    </row>
    <row r="149" spans="3:13" x14ac:dyDescent="0.25">
      <c r="C149" s="262"/>
      <c r="F149" s="109"/>
      <c r="G149" s="4"/>
      <c r="H149" s="4"/>
      <c r="I149" s="4"/>
      <c r="K149" s="308"/>
      <c r="L149" s="308"/>
      <c r="M149" s="308"/>
    </row>
    <row r="150" spans="3:13" x14ac:dyDescent="0.25">
      <c r="C150" s="262"/>
      <c r="F150" s="109"/>
      <c r="G150" s="4"/>
      <c r="H150" s="4"/>
      <c r="I150" s="4"/>
      <c r="K150" s="308"/>
      <c r="L150" s="308"/>
      <c r="M150" s="308"/>
    </row>
    <row r="151" spans="3:13" x14ac:dyDescent="0.25">
      <c r="C151" s="262"/>
      <c r="F151" s="109"/>
      <c r="G151" s="4"/>
      <c r="H151" s="4"/>
      <c r="I151" s="4"/>
      <c r="K151" s="308"/>
      <c r="L151" s="308"/>
      <c r="M151" s="308"/>
    </row>
    <row r="152" spans="3:13" x14ac:dyDescent="0.25">
      <c r="C152" s="262"/>
      <c r="F152" s="109"/>
      <c r="G152" s="4"/>
      <c r="H152" s="4"/>
      <c r="I152" s="4"/>
      <c r="K152" s="308"/>
      <c r="L152" s="308"/>
      <c r="M152" s="308"/>
    </row>
    <row r="153" spans="3:13" x14ac:dyDescent="0.25">
      <c r="C153" s="262"/>
      <c r="F153" s="109"/>
      <c r="G153" s="4"/>
      <c r="H153" s="4"/>
      <c r="I153" s="4"/>
      <c r="K153" s="308"/>
      <c r="L153" s="308"/>
      <c r="M153" s="308"/>
    </row>
    <row r="154" spans="3:13" x14ac:dyDescent="0.25">
      <c r="C154" s="262"/>
      <c r="F154" s="109"/>
      <c r="G154" s="4"/>
      <c r="H154" s="4"/>
      <c r="I154" s="4"/>
      <c r="K154" s="308"/>
      <c r="L154" s="308"/>
      <c r="M154" s="308"/>
    </row>
    <row r="155" spans="3:13" x14ac:dyDescent="0.25">
      <c r="C155" s="262"/>
      <c r="F155" s="109"/>
      <c r="G155" s="4"/>
      <c r="H155" s="4"/>
      <c r="I155" s="4"/>
      <c r="K155" s="308"/>
      <c r="L155" s="308"/>
      <c r="M155" s="308"/>
    </row>
    <row r="156" spans="3:13" x14ac:dyDescent="0.25">
      <c r="C156" s="262"/>
      <c r="F156" s="109"/>
      <c r="G156" s="4"/>
      <c r="H156" s="4"/>
      <c r="I156" s="4"/>
      <c r="K156" s="308"/>
      <c r="L156" s="308"/>
      <c r="M156" s="308"/>
    </row>
    <row r="157" spans="3:13" x14ac:dyDescent="0.25">
      <c r="C157" s="262"/>
      <c r="F157" s="109"/>
      <c r="G157" s="4"/>
      <c r="H157" s="4"/>
      <c r="I157" s="4"/>
      <c r="K157" s="308"/>
      <c r="L157" s="308"/>
      <c r="M157" s="308"/>
    </row>
    <row r="158" spans="3:13" x14ac:dyDescent="0.25">
      <c r="C158" s="262"/>
      <c r="F158" s="109"/>
      <c r="G158" s="4"/>
      <c r="H158" s="4"/>
      <c r="I158" s="4"/>
      <c r="K158" s="308"/>
      <c r="L158" s="308"/>
      <c r="M158" s="308"/>
    </row>
    <row r="159" spans="3:13" x14ac:dyDescent="0.25">
      <c r="C159" s="262"/>
      <c r="F159" s="109"/>
      <c r="G159" s="4"/>
      <c r="H159" s="4"/>
      <c r="I159" s="4"/>
      <c r="K159" s="308"/>
      <c r="L159" s="308"/>
      <c r="M159" s="308"/>
    </row>
    <row r="160" spans="3:13" x14ac:dyDescent="0.25">
      <c r="C160" s="262"/>
      <c r="F160" s="109"/>
      <c r="G160" s="4"/>
      <c r="H160" s="4"/>
      <c r="I160" s="4"/>
      <c r="K160" s="308"/>
      <c r="L160" s="308"/>
      <c r="M160" s="308"/>
    </row>
    <row r="161" spans="3:13" x14ac:dyDescent="0.25">
      <c r="C161" s="262"/>
      <c r="F161" s="109"/>
      <c r="G161" s="4"/>
      <c r="H161" s="4"/>
      <c r="I161" s="4"/>
      <c r="K161" s="308"/>
      <c r="L161" s="308"/>
      <c r="M161" s="308"/>
    </row>
    <row r="162" spans="3:13" x14ac:dyDescent="0.25">
      <c r="C162" s="262"/>
      <c r="F162" s="109"/>
      <c r="G162" s="4"/>
      <c r="H162" s="4"/>
      <c r="I162" s="4"/>
      <c r="K162" s="308"/>
      <c r="L162" s="308"/>
      <c r="M162" s="308"/>
    </row>
    <row r="163" spans="3:13" x14ac:dyDescent="0.25">
      <c r="C163" s="262"/>
      <c r="F163" s="109"/>
      <c r="G163" s="4"/>
      <c r="H163" s="4"/>
      <c r="I163" s="4"/>
      <c r="K163" s="308"/>
      <c r="L163" s="308"/>
      <c r="M163" s="308"/>
    </row>
    <row r="164" spans="3:13" x14ac:dyDescent="0.25">
      <c r="C164" s="262"/>
      <c r="F164" s="109"/>
      <c r="G164" s="4"/>
      <c r="H164" s="4"/>
      <c r="I164" s="4"/>
      <c r="K164" s="308"/>
      <c r="L164" s="308"/>
      <c r="M164" s="308"/>
    </row>
    <row r="165" spans="3:13" x14ac:dyDescent="0.25">
      <c r="C165" s="262"/>
      <c r="F165" s="109"/>
      <c r="G165" s="4"/>
      <c r="H165" s="4"/>
      <c r="I165" s="4"/>
      <c r="K165" s="308"/>
      <c r="L165" s="308"/>
      <c r="M165" s="308"/>
    </row>
    <row r="166" spans="3:13" x14ac:dyDescent="0.25">
      <c r="C166" s="262"/>
      <c r="F166" s="109"/>
      <c r="G166" s="4"/>
      <c r="H166" s="4"/>
      <c r="I166" s="4"/>
      <c r="K166" s="308"/>
      <c r="L166" s="308"/>
      <c r="M166" s="308"/>
    </row>
    <row r="167" spans="3:13" x14ac:dyDescent="0.25">
      <c r="C167" s="262"/>
      <c r="F167" s="109"/>
      <c r="G167" s="4"/>
      <c r="H167" s="4"/>
      <c r="I167" s="4"/>
      <c r="K167" s="308"/>
      <c r="L167" s="308"/>
      <c r="M167" s="308"/>
    </row>
    <row r="168" spans="3:13" x14ac:dyDescent="0.25">
      <c r="C168" s="262"/>
      <c r="F168" s="109"/>
      <c r="G168" s="4"/>
      <c r="H168" s="4"/>
      <c r="I168" s="4"/>
      <c r="K168" s="308"/>
      <c r="L168" s="308"/>
      <c r="M168" s="308"/>
    </row>
    <row r="169" spans="3:13" x14ac:dyDescent="0.25">
      <c r="C169" s="262"/>
      <c r="F169" s="109"/>
      <c r="G169" s="4"/>
      <c r="H169" s="4"/>
      <c r="I169" s="4"/>
      <c r="K169" s="308"/>
      <c r="L169" s="308"/>
      <c r="M169" s="308"/>
    </row>
    <row r="170" spans="3:13" x14ac:dyDescent="0.25">
      <c r="C170" s="262"/>
      <c r="F170" s="109"/>
      <c r="G170" s="4"/>
      <c r="H170" s="4"/>
      <c r="I170" s="4"/>
      <c r="K170" s="308"/>
      <c r="L170" s="308"/>
      <c r="M170" s="308"/>
    </row>
    <row r="171" spans="3:13" x14ac:dyDescent="0.25">
      <c r="C171" s="262"/>
      <c r="F171" s="109"/>
      <c r="G171" s="4"/>
      <c r="H171" s="4"/>
      <c r="I171" s="4"/>
      <c r="K171" s="308"/>
      <c r="L171" s="308"/>
      <c r="M171" s="308"/>
    </row>
    <row r="172" spans="3:13" x14ac:dyDescent="0.25">
      <c r="C172" s="262"/>
      <c r="F172" s="109"/>
      <c r="G172" s="4"/>
      <c r="H172" s="4"/>
      <c r="I172" s="4"/>
      <c r="K172" s="308"/>
      <c r="L172" s="308"/>
      <c r="M172" s="308"/>
    </row>
    <row r="173" spans="3:13" x14ac:dyDescent="0.25">
      <c r="C173" s="262"/>
      <c r="F173" s="109"/>
      <c r="G173" s="4"/>
      <c r="H173" s="4"/>
      <c r="I173" s="4"/>
      <c r="K173" s="308"/>
      <c r="L173" s="308"/>
      <c r="M173" s="308"/>
    </row>
    <row r="174" spans="3:13" x14ac:dyDescent="0.25">
      <c r="C174" s="262"/>
      <c r="F174" s="109"/>
      <c r="G174" s="4"/>
      <c r="H174" s="4"/>
      <c r="I174" s="4"/>
      <c r="K174" s="308"/>
      <c r="L174" s="308"/>
      <c r="M174" s="308"/>
    </row>
    <row r="175" spans="3:13" x14ac:dyDescent="0.25">
      <c r="C175" s="262"/>
      <c r="F175" s="109"/>
      <c r="G175" s="4"/>
      <c r="H175" s="4"/>
      <c r="I175" s="4"/>
      <c r="K175" s="308"/>
      <c r="L175" s="308"/>
      <c r="M175" s="308"/>
    </row>
    <row r="176" spans="3:13" x14ac:dyDescent="0.25">
      <c r="C176" s="262"/>
      <c r="F176" s="109"/>
      <c r="G176" s="4"/>
      <c r="H176" s="4"/>
      <c r="I176" s="4"/>
      <c r="K176" s="308"/>
      <c r="L176" s="308"/>
      <c r="M176" s="308"/>
    </row>
    <row r="177" spans="1:15" s="86" customFormat="1" x14ac:dyDescent="0.25">
      <c r="A177"/>
      <c r="B177" s="4"/>
      <c r="C177" s="262"/>
      <c r="D177" s="4"/>
      <c r="E177" s="4"/>
      <c r="F177" s="109"/>
      <c r="G177" s="4"/>
      <c r="H177" s="4"/>
      <c r="I177" s="4"/>
      <c r="J177" s="291"/>
      <c r="K177" s="308"/>
      <c r="L177" s="308"/>
      <c r="M177" s="308"/>
      <c r="N177"/>
      <c r="O177"/>
    </row>
    <row r="178" spans="1:15" x14ac:dyDescent="0.25">
      <c r="C178" s="262"/>
      <c r="F178" s="109"/>
      <c r="G178" s="4"/>
      <c r="H178" s="4"/>
      <c r="I178" s="4"/>
      <c r="K178" s="308"/>
      <c r="L178" s="308"/>
      <c r="M178" s="308"/>
    </row>
    <row r="179" spans="1:15" x14ac:dyDescent="0.25">
      <c r="C179" s="262"/>
      <c r="F179" s="109"/>
      <c r="G179" s="4"/>
      <c r="H179" s="4"/>
      <c r="I179" s="4"/>
      <c r="K179" s="308"/>
      <c r="L179" s="308"/>
      <c r="M179" s="308"/>
    </row>
    <row r="180" spans="1:15" x14ac:dyDescent="0.25">
      <c r="C180" s="262"/>
      <c r="F180" s="109"/>
      <c r="G180" s="4"/>
      <c r="H180" s="4"/>
      <c r="I180" s="4"/>
      <c r="K180" s="308"/>
      <c r="L180" s="308"/>
      <c r="M180" s="308"/>
    </row>
    <row r="181" spans="1:15" x14ac:dyDescent="0.25">
      <c r="C181" s="262"/>
      <c r="F181" s="109"/>
      <c r="G181" s="4"/>
      <c r="H181" s="4"/>
      <c r="I181" s="4"/>
      <c r="K181" s="308"/>
      <c r="L181" s="308"/>
      <c r="M181" s="308"/>
    </row>
    <row r="182" spans="1:15" x14ac:dyDescent="0.25">
      <c r="C182" s="262"/>
      <c r="F182" s="109"/>
      <c r="G182" s="4"/>
      <c r="H182" s="4"/>
      <c r="I182" s="4"/>
      <c r="K182" s="308"/>
      <c r="L182" s="308"/>
      <c r="M182" s="308"/>
    </row>
    <row r="183" spans="1:15" x14ac:dyDescent="0.25">
      <c r="C183" s="262"/>
      <c r="F183" s="109"/>
      <c r="G183" s="4"/>
      <c r="H183" s="4"/>
      <c r="I183" s="4"/>
      <c r="K183" s="308"/>
      <c r="L183" s="308"/>
      <c r="M183" s="308"/>
    </row>
    <row r="184" spans="1:15" x14ac:dyDescent="0.25">
      <c r="C184" s="262"/>
      <c r="F184" s="109"/>
      <c r="G184" s="4"/>
      <c r="H184" s="4"/>
      <c r="I184" s="4"/>
      <c r="K184" s="308"/>
      <c r="L184" s="308"/>
      <c r="M184" s="308"/>
    </row>
    <row r="185" spans="1:15" x14ac:dyDescent="0.25">
      <c r="C185" s="262"/>
      <c r="F185" s="109"/>
      <c r="G185" s="4"/>
      <c r="H185" s="4"/>
      <c r="I185" s="4"/>
      <c r="K185" s="308"/>
      <c r="L185" s="308"/>
      <c r="M185" s="308"/>
    </row>
    <row r="186" spans="1:15" x14ac:dyDescent="0.25">
      <c r="C186" s="262"/>
      <c r="F186" s="109"/>
      <c r="G186" s="4"/>
      <c r="H186" s="4"/>
      <c r="I186" s="4"/>
      <c r="K186" s="308"/>
      <c r="L186" s="308"/>
      <c r="M186" s="308"/>
    </row>
    <row r="187" spans="1:15" x14ac:dyDescent="0.25">
      <c r="C187" s="262"/>
      <c r="F187" s="109"/>
      <c r="G187" s="4"/>
      <c r="H187" s="4"/>
      <c r="I187" s="4"/>
      <c r="K187" s="308"/>
      <c r="L187" s="308"/>
      <c r="M187" s="308"/>
    </row>
    <row r="188" spans="1:15" x14ac:dyDescent="0.25">
      <c r="C188" s="262"/>
      <c r="F188" s="109"/>
      <c r="G188" s="4"/>
      <c r="H188" s="4"/>
      <c r="I188" s="4"/>
      <c r="K188" s="308"/>
      <c r="L188" s="308"/>
      <c r="M188" s="308"/>
    </row>
    <row r="189" spans="1:15" x14ac:dyDescent="0.25">
      <c r="C189" s="262"/>
      <c r="F189" s="109"/>
      <c r="G189" s="4"/>
      <c r="H189" s="4"/>
      <c r="I189" s="4"/>
      <c r="K189" s="308"/>
      <c r="L189" s="308"/>
      <c r="M189" s="308"/>
    </row>
    <row r="190" spans="1:15" x14ac:dyDescent="0.25">
      <c r="C190" s="262"/>
      <c r="F190" s="109"/>
      <c r="G190" s="4"/>
      <c r="H190" s="4"/>
      <c r="I190" s="4"/>
      <c r="K190" s="308"/>
      <c r="L190" s="308"/>
      <c r="M190" s="308"/>
    </row>
    <row r="191" spans="1:15" x14ac:dyDescent="0.25">
      <c r="C191" s="262"/>
      <c r="F191" s="109"/>
      <c r="G191" s="4"/>
      <c r="H191" s="4"/>
      <c r="I191" s="4"/>
      <c r="K191" s="308"/>
      <c r="L191" s="308"/>
      <c r="M191" s="308"/>
    </row>
    <row r="192" spans="1:15" x14ac:dyDescent="0.25">
      <c r="C192" s="262"/>
      <c r="F192" s="109"/>
      <c r="G192" s="4"/>
      <c r="H192" s="4"/>
      <c r="I192" s="4"/>
      <c r="K192" s="308"/>
      <c r="L192" s="308"/>
      <c r="M192" s="308"/>
    </row>
    <row r="193" spans="3:13" x14ac:dyDescent="0.25">
      <c r="C193" s="262"/>
      <c r="F193" s="109"/>
      <c r="G193" s="4"/>
      <c r="H193" s="4"/>
      <c r="I193" s="4"/>
      <c r="K193" s="308"/>
      <c r="L193" s="308"/>
      <c r="M193" s="308"/>
    </row>
    <row r="194" spans="3:13" x14ac:dyDescent="0.25">
      <c r="C194" s="262"/>
      <c r="F194" s="109"/>
      <c r="G194" s="4"/>
      <c r="H194" s="4"/>
      <c r="I194" s="4"/>
      <c r="K194" s="308"/>
      <c r="L194" s="308"/>
      <c r="M194" s="308"/>
    </row>
    <row r="195" spans="3:13" x14ac:dyDescent="0.25">
      <c r="C195" s="262"/>
      <c r="F195" s="109"/>
      <c r="G195" s="4"/>
      <c r="H195" s="4"/>
      <c r="I195" s="4"/>
      <c r="K195" s="308"/>
      <c r="L195" s="308"/>
      <c r="M195" s="308"/>
    </row>
    <row r="196" spans="3:13" x14ac:dyDescent="0.25">
      <c r="C196" s="262"/>
      <c r="F196" s="109"/>
      <c r="G196" s="4"/>
      <c r="H196" s="4"/>
      <c r="I196" s="4"/>
      <c r="K196" s="308"/>
      <c r="L196" s="308"/>
      <c r="M196" s="308"/>
    </row>
    <row r="197" spans="3:13" x14ac:dyDescent="0.25">
      <c r="C197" s="262"/>
      <c r="F197" s="109"/>
      <c r="G197" s="4"/>
      <c r="H197" s="4"/>
      <c r="I197" s="4"/>
      <c r="K197" s="308"/>
      <c r="L197" s="308"/>
      <c r="M197" s="308"/>
    </row>
    <row r="198" spans="3:13" x14ac:dyDescent="0.25">
      <c r="C198" s="262"/>
      <c r="F198" s="109"/>
      <c r="G198" s="4"/>
      <c r="H198" s="4"/>
      <c r="I198" s="4"/>
      <c r="K198" s="308"/>
      <c r="L198" s="308"/>
      <c r="M198" s="308"/>
    </row>
    <row r="199" spans="3:13" x14ac:dyDescent="0.25">
      <c r="C199" s="262"/>
      <c r="F199" s="109"/>
      <c r="G199" s="4"/>
      <c r="H199" s="4"/>
      <c r="I199" s="4"/>
      <c r="K199" s="308"/>
      <c r="L199" s="308"/>
      <c r="M199" s="308"/>
    </row>
    <row r="200" spans="3:13" x14ac:dyDescent="0.25">
      <c r="C200" s="262"/>
      <c r="F200" s="109"/>
      <c r="G200" s="4"/>
      <c r="H200" s="4"/>
      <c r="I200" s="4"/>
      <c r="K200" s="308"/>
      <c r="L200" s="308"/>
      <c r="M200" s="308"/>
    </row>
    <row r="201" spans="3:13" x14ac:dyDescent="0.25">
      <c r="C201" s="262"/>
      <c r="F201" s="109"/>
      <c r="G201" s="4"/>
      <c r="H201" s="4"/>
      <c r="I201" s="4"/>
      <c r="K201" s="308"/>
      <c r="L201" s="308"/>
      <c r="M201" s="308"/>
    </row>
    <row r="202" spans="3:13" x14ac:dyDescent="0.25">
      <c r="C202" s="262"/>
      <c r="F202" s="109"/>
      <c r="G202" s="4"/>
      <c r="H202" s="4"/>
      <c r="I202" s="4"/>
      <c r="K202" s="308"/>
      <c r="L202" s="308"/>
      <c r="M202" s="308"/>
    </row>
    <row r="203" spans="3:13" x14ac:dyDescent="0.25">
      <c r="C203" s="262"/>
      <c r="F203" s="109"/>
      <c r="G203" s="4"/>
      <c r="H203" s="4"/>
      <c r="I203" s="4"/>
      <c r="K203" s="308"/>
      <c r="L203" s="308"/>
      <c r="M203" s="308"/>
    </row>
    <row r="204" spans="3:13" x14ac:dyDescent="0.25">
      <c r="C204" s="262"/>
      <c r="F204" s="109"/>
      <c r="G204" s="4"/>
      <c r="H204" s="4"/>
      <c r="I204" s="4"/>
      <c r="K204" s="308"/>
      <c r="L204" s="308"/>
      <c r="M204" s="308"/>
    </row>
    <row r="205" spans="3:13" x14ac:dyDescent="0.25">
      <c r="C205" s="262"/>
      <c r="F205" s="109"/>
      <c r="G205" s="4"/>
      <c r="H205" s="4"/>
      <c r="I205" s="4"/>
      <c r="K205" s="308"/>
      <c r="L205" s="308"/>
      <c r="M205" s="308"/>
    </row>
    <row r="206" spans="3:13" x14ac:dyDescent="0.25">
      <c r="C206" s="262"/>
      <c r="F206" s="109"/>
      <c r="G206" s="4"/>
      <c r="H206" s="4"/>
      <c r="I206" s="4"/>
      <c r="K206" s="308"/>
      <c r="L206" s="308"/>
      <c r="M206" s="308"/>
    </row>
    <row r="207" spans="3:13" x14ac:dyDescent="0.25">
      <c r="C207" s="262"/>
      <c r="F207" s="109"/>
      <c r="G207" s="4"/>
      <c r="H207" s="4"/>
      <c r="I207" s="4"/>
      <c r="K207" s="308"/>
      <c r="L207" s="308"/>
      <c r="M207" s="308"/>
    </row>
    <row r="208" spans="3:13" x14ac:dyDescent="0.25">
      <c r="C208" s="262"/>
      <c r="F208" s="109"/>
      <c r="G208" s="4"/>
      <c r="H208" s="4"/>
      <c r="I208" s="4"/>
      <c r="K208" s="308"/>
      <c r="L208" s="308"/>
      <c r="M208" s="308"/>
    </row>
    <row r="209" spans="3:13" x14ac:dyDescent="0.25">
      <c r="C209" s="262"/>
      <c r="F209" s="109"/>
      <c r="G209" s="4"/>
      <c r="H209" s="4"/>
      <c r="I209" s="4"/>
      <c r="K209" s="308"/>
      <c r="L209" s="308"/>
      <c r="M209" s="308"/>
    </row>
    <row r="210" spans="3:13" x14ac:dyDescent="0.25">
      <c r="C210" s="262"/>
      <c r="F210" s="109"/>
      <c r="G210" s="4"/>
      <c r="H210" s="4"/>
      <c r="I210" s="4"/>
      <c r="K210" s="308"/>
      <c r="L210" s="308"/>
      <c r="M210" s="308"/>
    </row>
    <row r="211" spans="3:13" x14ac:dyDescent="0.25">
      <c r="C211" s="262"/>
      <c r="F211" s="109"/>
      <c r="G211" s="4"/>
      <c r="H211" s="4"/>
      <c r="I211" s="4"/>
      <c r="K211" s="308"/>
      <c r="L211" s="308"/>
      <c r="M211" s="308"/>
    </row>
    <row r="212" spans="3:13" x14ac:dyDescent="0.25">
      <c r="C212" s="262"/>
      <c r="F212" s="109"/>
      <c r="G212" s="4"/>
      <c r="H212" s="4"/>
      <c r="I212" s="4"/>
      <c r="K212" s="308"/>
      <c r="L212" s="308"/>
      <c r="M212" s="308"/>
    </row>
    <row r="213" spans="3:13" x14ac:dyDescent="0.25">
      <c r="C213" s="262"/>
      <c r="F213" s="109"/>
      <c r="G213" s="4"/>
      <c r="H213" s="4"/>
      <c r="I213" s="4"/>
      <c r="K213" s="308"/>
      <c r="L213" s="308"/>
      <c r="M213" s="308"/>
    </row>
    <row r="214" spans="3:13" x14ac:dyDescent="0.25">
      <c r="C214" s="262"/>
      <c r="F214" s="109"/>
      <c r="G214" s="4"/>
      <c r="H214" s="4"/>
      <c r="I214" s="4"/>
      <c r="K214" s="308"/>
      <c r="L214" s="308"/>
      <c r="M214" s="308"/>
    </row>
    <row r="215" spans="3:13" x14ac:dyDescent="0.25">
      <c r="C215" s="262"/>
      <c r="F215" s="109"/>
      <c r="G215" s="4"/>
      <c r="H215" s="4"/>
      <c r="I215" s="4"/>
      <c r="K215" s="308"/>
      <c r="L215" s="308"/>
      <c r="M215" s="308"/>
    </row>
    <row r="216" spans="3:13" x14ac:dyDescent="0.25">
      <c r="C216" s="262"/>
      <c r="F216" s="109"/>
      <c r="G216" s="4"/>
      <c r="H216" s="4"/>
      <c r="I216" s="4"/>
      <c r="K216" s="308"/>
      <c r="L216" s="308"/>
      <c r="M216" s="308"/>
    </row>
    <row r="217" spans="3:13" x14ac:dyDescent="0.25">
      <c r="C217" s="262"/>
      <c r="F217" s="109"/>
      <c r="G217" s="4"/>
      <c r="H217" s="4"/>
      <c r="I217" s="4"/>
      <c r="K217" s="308"/>
      <c r="L217" s="308"/>
      <c r="M217" s="308"/>
    </row>
    <row r="218" spans="3:13" x14ac:dyDescent="0.25">
      <c r="C218" s="262"/>
      <c r="F218" s="109"/>
      <c r="G218" s="4"/>
      <c r="H218" s="4"/>
      <c r="I218" s="4"/>
      <c r="K218" s="308"/>
      <c r="L218" s="308"/>
      <c r="M218" s="308"/>
    </row>
    <row r="219" spans="3:13" x14ac:dyDescent="0.25">
      <c r="C219" s="262"/>
      <c r="F219" s="109"/>
      <c r="G219" s="4"/>
      <c r="H219" s="4"/>
      <c r="I219" s="4"/>
      <c r="K219" s="308"/>
      <c r="L219" s="308"/>
      <c r="M219" s="308"/>
    </row>
    <row r="220" spans="3:13" x14ac:dyDescent="0.25">
      <c r="C220" s="262"/>
      <c r="F220" s="109"/>
      <c r="G220" s="4"/>
      <c r="H220" s="4"/>
      <c r="I220" s="4"/>
      <c r="K220" s="308"/>
      <c r="L220" s="308"/>
      <c r="M220" s="308"/>
    </row>
    <row r="221" spans="3:13" x14ac:dyDescent="0.25">
      <c r="C221" s="262"/>
      <c r="F221" s="109"/>
      <c r="G221" s="4"/>
      <c r="H221" s="4"/>
      <c r="I221" s="4"/>
      <c r="K221" s="308"/>
      <c r="L221" s="308"/>
      <c r="M221" s="308"/>
    </row>
    <row r="222" spans="3:13" x14ac:dyDescent="0.25">
      <c r="C222" s="262"/>
      <c r="F222" s="109"/>
      <c r="G222" s="4"/>
      <c r="H222" s="4"/>
      <c r="I222" s="4"/>
      <c r="K222" s="308"/>
      <c r="L222" s="308"/>
      <c r="M222" s="308"/>
    </row>
    <row r="223" spans="3:13" x14ac:dyDescent="0.25">
      <c r="C223" s="262"/>
      <c r="F223" s="109"/>
      <c r="G223" s="4"/>
      <c r="H223" s="4"/>
      <c r="I223" s="4"/>
      <c r="K223" s="308"/>
      <c r="L223" s="308"/>
      <c r="M223" s="308"/>
    </row>
    <row r="224" spans="3:13" x14ac:dyDescent="0.25">
      <c r="C224" s="262"/>
      <c r="F224" s="109"/>
      <c r="G224" s="4"/>
      <c r="H224" s="4"/>
      <c r="I224" s="4"/>
      <c r="K224" s="308"/>
      <c r="L224" s="308"/>
      <c r="M224" s="308"/>
    </row>
    <row r="225" spans="3:13" x14ac:dyDescent="0.25">
      <c r="C225" s="262"/>
      <c r="F225" s="109"/>
      <c r="G225" s="4"/>
      <c r="H225" s="4"/>
      <c r="I225" s="4"/>
      <c r="K225" s="308"/>
      <c r="L225" s="308"/>
      <c r="M225" s="308"/>
    </row>
    <row r="226" spans="3:13" x14ac:dyDescent="0.25">
      <c r="C226" s="262"/>
      <c r="F226" s="109"/>
      <c r="G226" s="4"/>
      <c r="H226" s="4"/>
      <c r="I226" s="4"/>
      <c r="K226" s="308"/>
      <c r="L226" s="308"/>
      <c r="M226" s="308"/>
    </row>
    <row r="227" spans="3:13" x14ac:dyDescent="0.25">
      <c r="C227" s="262"/>
      <c r="F227" s="109"/>
      <c r="G227" s="4"/>
      <c r="H227" s="4"/>
      <c r="I227" s="4"/>
      <c r="K227" s="308"/>
      <c r="L227" s="308"/>
      <c r="M227" s="308"/>
    </row>
    <row r="228" spans="3:13" x14ac:dyDescent="0.25">
      <c r="C228" s="262"/>
      <c r="F228" s="109"/>
      <c r="G228" s="4"/>
      <c r="H228" s="4"/>
      <c r="I228" s="4"/>
      <c r="K228" s="308"/>
      <c r="L228" s="308"/>
      <c r="M228" s="308"/>
    </row>
    <row r="229" spans="3:13" x14ac:dyDescent="0.25">
      <c r="C229" s="262"/>
      <c r="F229" s="109"/>
      <c r="G229" s="4"/>
      <c r="H229" s="4"/>
      <c r="I229" s="4"/>
      <c r="K229" s="308"/>
      <c r="L229" s="308"/>
      <c r="M229" s="308"/>
    </row>
    <row r="230" spans="3:13" x14ac:dyDescent="0.25">
      <c r="C230" s="262"/>
      <c r="F230" s="109"/>
      <c r="G230" s="4"/>
      <c r="H230" s="4"/>
      <c r="I230" s="4"/>
      <c r="K230" s="308"/>
      <c r="L230" s="308"/>
      <c r="M230" s="308"/>
    </row>
    <row r="231" spans="3:13" x14ac:dyDescent="0.25">
      <c r="C231" s="262"/>
      <c r="F231" s="109"/>
      <c r="G231" s="4"/>
      <c r="H231" s="4"/>
      <c r="I231" s="4"/>
      <c r="K231" s="308"/>
      <c r="L231" s="308"/>
      <c r="M231" s="308"/>
    </row>
    <row r="232" spans="3:13" x14ac:dyDescent="0.25">
      <c r="C232" s="262"/>
      <c r="F232" s="109"/>
      <c r="G232" s="4"/>
      <c r="H232" s="4"/>
      <c r="I232" s="4"/>
      <c r="K232" s="308"/>
      <c r="L232" s="308"/>
      <c r="M232" s="308"/>
    </row>
    <row r="233" spans="3:13" x14ac:dyDescent="0.25">
      <c r="C233" s="262"/>
      <c r="F233" s="109"/>
      <c r="G233" s="4"/>
      <c r="H233" s="4"/>
      <c r="I233" s="4"/>
      <c r="K233" s="308"/>
      <c r="L233" s="308"/>
      <c r="M233" s="308"/>
    </row>
    <row r="234" spans="3:13" x14ac:dyDescent="0.25">
      <c r="C234" s="262"/>
      <c r="F234" s="109"/>
      <c r="G234" s="4"/>
      <c r="H234" s="4"/>
      <c r="I234" s="4"/>
      <c r="K234" s="308"/>
      <c r="L234" s="308"/>
      <c r="M234" s="308"/>
    </row>
    <row r="235" spans="3:13" x14ac:dyDescent="0.25">
      <c r="C235" s="262"/>
      <c r="F235" s="109"/>
      <c r="G235" s="4"/>
      <c r="H235" s="4"/>
      <c r="I235" s="4"/>
      <c r="K235" s="308"/>
      <c r="L235" s="308"/>
      <c r="M235" s="308"/>
    </row>
    <row r="236" spans="3:13" x14ac:dyDescent="0.25">
      <c r="C236" s="262"/>
      <c r="F236" s="109"/>
      <c r="G236" s="4"/>
      <c r="H236" s="4"/>
      <c r="I236" s="4"/>
      <c r="K236" s="308"/>
      <c r="L236" s="308"/>
      <c r="M236" s="308"/>
    </row>
    <row r="237" spans="3:13" x14ac:dyDescent="0.25">
      <c r="C237" s="262"/>
      <c r="F237" s="109"/>
      <c r="G237" s="4"/>
      <c r="H237" s="4"/>
      <c r="I237" s="4"/>
      <c r="K237" s="308"/>
      <c r="L237" s="308"/>
      <c r="M237" s="308"/>
    </row>
    <row r="238" spans="3:13" x14ac:dyDescent="0.25">
      <c r="C238" s="262"/>
      <c r="F238" s="109"/>
      <c r="G238" s="4"/>
      <c r="H238" s="4"/>
      <c r="I238" s="4"/>
      <c r="K238" s="308"/>
      <c r="L238" s="308"/>
      <c r="M238" s="308"/>
    </row>
    <row r="239" spans="3:13" x14ac:dyDescent="0.25">
      <c r="C239" s="262"/>
      <c r="F239" s="109"/>
      <c r="G239" s="4"/>
      <c r="H239" s="4"/>
      <c r="I239" s="4"/>
      <c r="K239" s="308"/>
      <c r="L239" s="308"/>
      <c r="M239" s="308"/>
    </row>
    <row r="240" spans="3:13" x14ac:dyDescent="0.25">
      <c r="C240" s="262"/>
      <c r="F240" s="109"/>
      <c r="G240" s="4"/>
      <c r="H240" s="4"/>
      <c r="I240" s="4"/>
      <c r="K240" s="308"/>
      <c r="L240" s="308"/>
      <c r="M240" s="308"/>
    </row>
    <row r="241" spans="3:13" x14ac:dyDescent="0.25">
      <c r="C241" s="262"/>
      <c r="F241" s="109"/>
      <c r="G241" s="4"/>
      <c r="H241" s="4"/>
      <c r="I241" s="4"/>
      <c r="K241" s="308"/>
      <c r="L241" s="308"/>
      <c r="M241" s="308"/>
    </row>
    <row r="242" spans="3:13" x14ac:dyDescent="0.25">
      <c r="C242" s="262"/>
      <c r="F242" s="109"/>
      <c r="G242" s="4"/>
      <c r="H242" s="4"/>
      <c r="I242" s="4"/>
      <c r="K242" s="308"/>
      <c r="L242" s="308"/>
      <c r="M242" s="308"/>
    </row>
    <row r="243" spans="3:13" x14ac:dyDescent="0.25">
      <c r="C243" s="262"/>
      <c r="F243" s="109"/>
      <c r="G243" s="4"/>
      <c r="H243" s="4"/>
      <c r="I243" s="4"/>
      <c r="K243" s="308"/>
      <c r="L243" s="308"/>
      <c r="M243" s="308"/>
    </row>
    <row r="244" spans="3:13" x14ac:dyDescent="0.25">
      <c r="C244" s="262"/>
      <c r="F244" s="109"/>
      <c r="G244" s="4"/>
      <c r="H244" s="4"/>
      <c r="I244" s="4"/>
      <c r="K244" s="308"/>
      <c r="L244" s="308"/>
      <c r="M244" s="308"/>
    </row>
    <row r="245" spans="3:13" x14ac:dyDescent="0.25">
      <c r="C245" s="262"/>
      <c r="F245" s="109"/>
      <c r="G245" s="4"/>
      <c r="H245" s="4"/>
      <c r="I245" s="4"/>
      <c r="K245" s="308"/>
      <c r="L245" s="308"/>
      <c r="M245" s="308"/>
    </row>
    <row r="246" spans="3:13" x14ac:dyDescent="0.25">
      <c r="C246" s="262"/>
      <c r="F246" s="109"/>
      <c r="G246" s="4"/>
      <c r="H246" s="4"/>
      <c r="I246" s="4"/>
      <c r="K246" s="308"/>
      <c r="L246" s="308"/>
      <c r="M246" s="308"/>
    </row>
    <row r="247" spans="3:13" x14ac:dyDescent="0.25">
      <c r="C247" s="262"/>
      <c r="F247" s="109"/>
      <c r="G247" s="4"/>
      <c r="H247" s="4"/>
      <c r="I247" s="4"/>
      <c r="K247" s="308"/>
      <c r="L247" s="308"/>
      <c r="M247" s="308"/>
    </row>
    <row r="248" spans="3:13" x14ac:dyDescent="0.25">
      <c r="C248" s="262"/>
      <c r="F248" s="109"/>
      <c r="G248" s="4"/>
      <c r="H248" s="4"/>
      <c r="I248" s="4"/>
      <c r="K248" s="308"/>
      <c r="L248" s="308"/>
      <c r="M248" s="308"/>
    </row>
    <row r="249" spans="3:13" x14ac:dyDescent="0.25">
      <c r="C249" s="262"/>
      <c r="F249" s="109"/>
      <c r="G249" s="4"/>
      <c r="H249" s="4"/>
      <c r="I249" s="4"/>
      <c r="K249" s="308"/>
      <c r="L249" s="308"/>
      <c r="M249" s="308"/>
    </row>
    <row r="250" spans="3:13" x14ac:dyDescent="0.25">
      <c r="C250" s="262"/>
      <c r="F250" s="109"/>
      <c r="G250" s="4"/>
      <c r="H250" s="4"/>
      <c r="I250" s="4"/>
      <c r="K250" s="308"/>
      <c r="L250" s="308"/>
      <c r="M250" s="308"/>
    </row>
    <row r="251" spans="3:13" x14ac:dyDescent="0.25">
      <c r="C251" s="262"/>
      <c r="F251" s="109"/>
      <c r="G251" s="4"/>
      <c r="H251" s="4"/>
      <c r="I251" s="4"/>
      <c r="K251" s="308"/>
      <c r="L251" s="308"/>
      <c r="M251" s="308"/>
    </row>
    <row r="252" spans="3:13" x14ac:dyDescent="0.25">
      <c r="C252" s="262"/>
      <c r="F252" s="109"/>
      <c r="G252" s="4"/>
      <c r="H252" s="4"/>
      <c r="I252" s="4"/>
      <c r="K252" s="308"/>
      <c r="L252" s="308"/>
      <c r="M252" s="308"/>
    </row>
    <row r="253" spans="3:13" x14ac:dyDescent="0.25">
      <c r="C253" s="262"/>
      <c r="F253" s="109"/>
      <c r="G253" s="4"/>
      <c r="H253" s="4"/>
      <c r="I253" s="4"/>
      <c r="K253" s="308"/>
      <c r="L253" s="308"/>
      <c r="M253" s="308"/>
    </row>
    <row r="254" spans="3:13" x14ac:dyDescent="0.25">
      <c r="C254" s="262"/>
      <c r="F254" s="109"/>
      <c r="G254" s="4"/>
      <c r="H254" s="4"/>
      <c r="I254" s="4"/>
      <c r="K254" s="308"/>
      <c r="L254" s="308"/>
      <c r="M254" s="308"/>
    </row>
    <row r="255" spans="3:13" x14ac:dyDescent="0.25">
      <c r="C255" s="262"/>
      <c r="F255" s="109"/>
      <c r="G255" s="4"/>
      <c r="H255" s="4"/>
      <c r="I255" s="4"/>
      <c r="K255" s="308"/>
      <c r="L255" s="308"/>
      <c r="M255" s="308"/>
    </row>
    <row r="256" spans="3:13" x14ac:dyDescent="0.25">
      <c r="C256" s="262"/>
      <c r="F256" s="109"/>
      <c r="G256" s="4"/>
      <c r="H256" s="4"/>
      <c r="I256" s="4"/>
      <c r="K256" s="308"/>
      <c r="L256" s="308"/>
      <c r="M256" s="308"/>
    </row>
    <row r="257" spans="3:13" x14ac:dyDescent="0.25">
      <c r="C257" s="262"/>
      <c r="F257" s="109"/>
      <c r="G257" s="4"/>
      <c r="H257" s="4"/>
      <c r="I257" s="4"/>
      <c r="K257" s="308"/>
      <c r="L257" s="308"/>
      <c r="M257" s="308"/>
    </row>
    <row r="258" spans="3:13" x14ac:dyDescent="0.25">
      <c r="C258" s="262"/>
      <c r="F258" s="109"/>
      <c r="G258" s="4"/>
      <c r="H258" s="4"/>
      <c r="I258" s="4"/>
      <c r="K258" s="308"/>
      <c r="L258" s="308"/>
      <c r="M258" s="308"/>
    </row>
    <row r="259" spans="3:13" x14ac:dyDescent="0.25">
      <c r="C259" s="262"/>
      <c r="F259" s="109"/>
      <c r="G259" s="4"/>
      <c r="H259" s="4"/>
      <c r="I259" s="4"/>
      <c r="K259" s="308"/>
      <c r="L259" s="308"/>
      <c r="M259" s="308"/>
    </row>
    <row r="260" spans="3:13" x14ac:dyDescent="0.25">
      <c r="C260" s="262"/>
      <c r="F260" s="109"/>
      <c r="G260" s="4"/>
      <c r="H260" s="4"/>
      <c r="I260" s="4"/>
      <c r="K260" s="308"/>
      <c r="L260" s="308"/>
      <c r="M260" s="308"/>
    </row>
    <row r="261" spans="3:13" x14ac:dyDescent="0.25">
      <c r="C261" s="262"/>
      <c r="F261" s="109"/>
      <c r="G261" s="4"/>
      <c r="H261" s="4"/>
      <c r="I261" s="4"/>
      <c r="K261" s="308"/>
      <c r="L261" s="308"/>
      <c r="M261" s="308"/>
    </row>
    <row r="262" spans="3:13" x14ac:dyDescent="0.25">
      <c r="C262" s="262"/>
      <c r="F262" s="109"/>
      <c r="G262" s="4"/>
      <c r="H262" s="4"/>
      <c r="I262" s="4"/>
      <c r="K262" s="308"/>
      <c r="L262" s="308"/>
      <c r="M262" s="308"/>
    </row>
    <row r="263" spans="3:13" x14ac:dyDescent="0.25">
      <c r="C263" s="262"/>
      <c r="F263" s="109"/>
      <c r="G263" s="4"/>
      <c r="H263" s="4"/>
      <c r="I263" s="4"/>
      <c r="K263" s="308"/>
      <c r="L263" s="308"/>
      <c r="M263" s="308"/>
    </row>
    <row r="264" spans="3:13" x14ac:dyDescent="0.25">
      <c r="C264" s="262"/>
      <c r="F264" s="109"/>
      <c r="G264" s="4"/>
      <c r="H264" s="4"/>
      <c r="I264" s="4"/>
      <c r="K264" s="308"/>
      <c r="L264" s="308"/>
      <c r="M264" s="308"/>
    </row>
    <row r="265" spans="3:13" x14ac:dyDescent="0.25">
      <c r="C265" s="262"/>
      <c r="F265" s="109"/>
      <c r="G265" s="4"/>
      <c r="H265" s="4"/>
      <c r="I265" s="4"/>
      <c r="K265" s="308"/>
      <c r="L265" s="308"/>
      <c r="M265" s="308"/>
    </row>
    <row r="266" spans="3:13" x14ac:dyDescent="0.25">
      <c r="C266" s="262"/>
      <c r="F266" s="109"/>
      <c r="G266" s="4"/>
      <c r="H266" s="4"/>
      <c r="I266" s="4"/>
      <c r="K266" s="308"/>
      <c r="L266" s="308"/>
      <c r="M266" s="308"/>
    </row>
    <row r="267" spans="3:13" x14ac:dyDescent="0.25">
      <c r="C267" s="262"/>
      <c r="F267" s="109"/>
      <c r="G267" s="4"/>
      <c r="H267" s="4"/>
      <c r="I267" s="4"/>
      <c r="K267" s="308"/>
      <c r="L267" s="308"/>
      <c r="M267" s="308"/>
    </row>
    <row r="268" spans="3:13" x14ac:dyDescent="0.25">
      <c r="C268" s="262"/>
      <c r="F268" s="109"/>
      <c r="G268" s="4"/>
      <c r="H268" s="4"/>
      <c r="I268" s="4"/>
      <c r="K268" s="308"/>
      <c r="L268" s="308"/>
      <c r="M268" s="308"/>
    </row>
    <row r="269" spans="3:13" x14ac:dyDescent="0.25">
      <c r="C269" s="262"/>
      <c r="F269" s="109"/>
      <c r="G269" s="4"/>
      <c r="H269" s="4"/>
      <c r="I269" s="4"/>
      <c r="K269" s="308"/>
      <c r="L269" s="308"/>
      <c r="M269" s="308"/>
    </row>
    <row r="270" spans="3:13" x14ac:dyDescent="0.25">
      <c r="C270" s="262"/>
      <c r="F270" s="109"/>
      <c r="G270" s="4"/>
      <c r="H270" s="4"/>
      <c r="I270" s="4"/>
      <c r="K270" s="308"/>
      <c r="L270" s="308"/>
      <c r="M270" s="308"/>
    </row>
    <row r="271" spans="3:13" x14ac:dyDescent="0.25">
      <c r="C271" s="262"/>
      <c r="F271" s="109"/>
      <c r="G271" s="4"/>
      <c r="H271" s="4"/>
      <c r="I271" s="4"/>
      <c r="K271" s="308"/>
      <c r="L271" s="308"/>
      <c r="M271" s="308"/>
    </row>
    <row r="272" spans="3:13" x14ac:dyDescent="0.25">
      <c r="C272" s="262"/>
      <c r="F272" s="109"/>
      <c r="G272" s="4"/>
      <c r="H272" s="4"/>
      <c r="I272" s="4"/>
      <c r="K272" s="308"/>
      <c r="L272" s="308"/>
      <c r="M272" s="308"/>
    </row>
    <row r="273" spans="3:13" x14ac:dyDescent="0.25">
      <c r="C273" s="262"/>
      <c r="F273" s="109"/>
      <c r="G273" s="4"/>
      <c r="H273" s="4"/>
      <c r="I273" s="4"/>
      <c r="K273" s="308"/>
      <c r="L273" s="308"/>
      <c r="M273" s="308"/>
    </row>
    <row r="274" spans="3:13" x14ac:dyDescent="0.25">
      <c r="C274" s="262"/>
      <c r="F274" s="109"/>
      <c r="G274" s="4"/>
      <c r="H274" s="4"/>
      <c r="I274" s="4"/>
      <c r="K274" s="308"/>
      <c r="L274" s="308"/>
      <c r="M274" s="308"/>
    </row>
    <row r="275" spans="3:13" x14ac:dyDescent="0.25">
      <c r="C275" s="262"/>
      <c r="F275" s="109"/>
      <c r="G275" s="4"/>
      <c r="H275" s="4"/>
      <c r="I275" s="4"/>
      <c r="K275" s="308"/>
      <c r="L275" s="308"/>
      <c r="M275" s="308"/>
    </row>
    <row r="276" spans="3:13" x14ac:dyDescent="0.25">
      <c r="C276" s="262"/>
      <c r="F276" s="109"/>
      <c r="G276" s="4"/>
      <c r="H276" s="4"/>
      <c r="I276" s="4"/>
      <c r="K276" s="308"/>
      <c r="L276" s="308"/>
      <c r="M276" s="308"/>
    </row>
    <row r="277" spans="3:13" x14ac:dyDescent="0.25">
      <c r="C277" s="262"/>
      <c r="F277" s="109"/>
      <c r="G277" s="4"/>
      <c r="H277" s="4"/>
      <c r="I277" s="4"/>
      <c r="K277" s="308"/>
      <c r="L277" s="308"/>
      <c r="M277" s="308"/>
    </row>
    <row r="278" spans="3:13" x14ac:dyDescent="0.25">
      <c r="C278" s="262"/>
      <c r="F278" s="109"/>
      <c r="G278" s="4"/>
      <c r="H278" s="4"/>
      <c r="I278" s="4"/>
      <c r="K278" s="308"/>
      <c r="L278" s="308"/>
      <c r="M278" s="308"/>
    </row>
    <row r="279" spans="3:13" x14ac:dyDescent="0.25">
      <c r="C279" s="262"/>
      <c r="F279" s="109"/>
      <c r="G279" s="4"/>
      <c r="H279" s="4"/>
      <c r="I279" s="4"/>
      <c r="K279" s="308"/>
      <c r="L279" s="308"/>
      <c r="M279" s="308"/>
    </row>
    <row r="280" spans="3:13" x14ac:dyDescent="0.25">
      <c r="C280" s="262"/>
      <c r="F280" s="109"/>
      <c r="G280" s="4"/>
      <c r="H280" s="4"/>
      <c r="I280" s="4"/>
      <c r="K280" s="308"/>
      <c r="L280" s="308"/>
      <c r="M280" s="308"/>
    </row>
    <row r="281" spans="3:13" x14ac:dyDescent="0.25">
      <c r="C281" s="262"/>
      <c r="F281" s="109"/>
      <c r="G281" s="4"/>
      <c r="H281" s="4"/>
      <c r="I281" s="4"/>
      <c r="K281" s="308"/>
      <c r="L281" s="308"/>
      <c r="M281" s="308"/>
    </row>
    <row r="282" spans="3:13" x14ac:dyDescent="0.25">
      <c r="C282" s="262"/>
      <c r="F282" s="109"/>
      <c r="G282" s="4"/>
      <c r="H282" s="4"/>
      <c r="I282" s="4"/>
      <c r="K282" s="308"/>
      <c r="L282" s="308"/>
      <c r="M282" s="308"/>
    </row>
    <row r="283" spans="3:13" x14ac:dyDescent="0.25">
      <c r="C283" s="262"/>
      <c r="F283" s="109"/>
      <c r="G283" s="4"/>
      <c r="H283" s="4"/>
      <c r="I283" s="4"/>
      <c r="K283" s="308"/>
      <c r="L283" s="308"/>
      <c r="M283" s="308"/>
    </row>
    <row r="284" spans="3:13" x14ac:dyDescent="0.25">
      <c r="C284" s="262"/>
      <c r="F284" s="109"/>
      <c r="G284" s="4"/>
      <c r="H284" s="4"/>
      <c r="I284" s="4"/>
      <c r="K284" s="308"/>
      <c r="L284" s="308"/>
      <c r="M284" s="308"/>
    </row>
    <row r="285" spans="3:13" x14ac:dyDescent="0.25">
      <c r="C285" s="262"/>
      <c r="F285" s="109"/>
      <c r="G285" s="4"/>
      <c r="H285" s="4"/>
      <c r="I285" s="4"/>
      <c r="K285" s="308"/>
      <c r="L285" s="308"/>
      <c r="M285" s="308"/>
    </row>
    <row r="286" spans="3:13" x14ac:dyDescent="0.25">
      <c r="C286" s="262"/>
      <c r="F286" s="109"/>
      <c r="G286" s="4"/>
      <c r="H286" s="4"/>
      <c r="I286" s="4"/>
      <c r="K286" s="308"/>
      <c r="L286" s="308"/>
      <c r="M286" s="308"/>
    </row>
    <row r="287" spans="3:13" x14ac:dyDescent="0.25">
      <c r="C287" s="262"/>
      <c r="F287" s="109"/>
      <c r="G287" s="4"/>
      <c r="H287" s="4"/>
      <c r="I287" s="4"/>
      <c r="K287" s="308"/>
      <c r="L287" s="308"/>
      <c r="M287" s="308"/>
    </row>
    <row r="288" spans="3:13" x14ac:dyDescent="0.25">
      <c r="C288" s="262"/>
      <c r="F288" s="109"/>
      <c r="G288" s="4"/>
      <c r="H288" s="4"/>
      <c r="I288" s="4"/>
      <c r="K288" s="308"/>
      <c r="L288" s="308"/>
      <c r="M288" s="308"/>
    </row>
    <row r="289" spans="3:13" x14ac:dyDescent="0.25">
      <c r="C289" s="262"/>
      <c r="F289" s="109"/>
      <c r="G289" s="4"/>
      <c r="H289" s="4"/>
      <c r="I289" s="4"/>
      <c r="K289" s="308"/>
      <c r="L289" s="308"/>
      <c r="M289" s="308"/>
    </row>
    <row r="290" spans="3:13" x14ac:dyDescent="0.25">
      <c r="C290" s="262"/>
      <c r="F290" s="109"/>
      <c r="G290" s="4"/>
      <c r="H290" s="4"/>
      <c r="I290" s="4"/>
      <c r="K290" s="308"/>
      <c r="L290" s="308"/>
      <c r="M290" s="308"/>
    </row>
    <row r="291" spans="3:13" x14ac:dyDescent="0.25">
      <c r="C291" s="262"/>
      <c r="F291" s="109"/>
      <c r="G291" s="4"/>
      <c r="H291" s="4"/>
      <c r="I291" s="4"/>
      <c r="K291" s="308"/>
      <c r="L291" s="308"/>
      <c r="M291" s="308"/>
    </row>
    <row r="292" spans="3:13" x14ac:dyDescent="0.25">
      <c r="C292" s="262"/>
      <c r="F292" s="109"/>
      <c r="G292" s="4"/>
      <c r="H292" s="4"/>
      <c r="I292" s="4"/>
      <c r="K292" s="308"/>
      <c r="L292" s="308"/>
      <c r="M292" s="308"/>
    </row>
    <row r="293" spans="3:13" x14ac:dyDescent="0.25">
      <c r="C293" s="262"/>
      <c r="F293" s="109"/>
      <c r="G293" s="4"/>
      <c r="H293" s="4"/>
      <c r="I293" s="4"/>
      <c r="K293" s="308"/>
      <c r="L293" s="308"/>
      <c r="M293" s="308"/>
    </row>
    <row r="294" spans="3:13" x14ac:dyDescent="0.25">
      <c r="C294" s="262"/>
      <c r="F294" s="109"/>
      <c r="G294" s="4"/>
      <c r="H294" s="4"/>
      <c r="I294" s="4"/>
      <c r="K294" s="308"/>
      <c r="L294" s="308"/>
      <c r="M294" s="308"/>
    </row>
    <row r="295" spans="3:13" x14ac:dyDescent="0.25">
      <c r="C295" s="262"/>
      <c r="F295" s="109"/>
      <c r="G295" s="4"/>
      <c r="H295" s="4"/>
      <c r="I295" s="4"/>
      <c r="K295" s="308"/>
      <c r="L295" s="308"/>
      <c r="M295" s="308"/>
    </row>
    <row r="296" spans="3:13" x14ac:dyDescent="0.25">
      <c r="C296" s="262"/>
      <c r="F296" s="109"/>
      <c r="G296" s="4"/>
      <c r="H296" s="4"/>
      <c r="I296" s="4"/>
      <c r="K296" s="308"/>
      <c r="L296" s="308"/>
      <c r="M296" s="308"/>
    </row>
    <row r="297" spans="3:13" x14ac:dyDescent="0.25">
      <c r="C297" s="262"/>
      <c r="F297" s="109"/>
      <c r="G297" s="4"/>
      <c r="H297" s="4"/>
      <c r="I297" s="4"/>
      <c r="K297" s="308"/>
      <c r="L297" s="308"/>
      <c r="M297" s="308"/>
    </row>
    <row r="298" spans="3:13" x14ac:dyDescent="0.25">
      <c r="C298" s="262"/>
      <c r="F298" s="109"/>
      <c r="G298" s="4"/>
      <c r="H298" s="4"/>
      <c r="I298" s="4"/>
      <c r="K298" s="308"/>
      <c r="L298" s="308"/>
      <c r="M298" s="308"/>
    </row>
    <row r="299" spans="3:13" x14ac:dyDescent="0.25">
      <c r="C299" s="262"/>
      <c r="F299" s="109"/>
      <c r="G299" s="4"/>
      <c r="H299" s="4"/>
      <c r="I299" s="4"/>
      <c r="K299" s="308"/>
      <c r="L299" s="308"/>
      <c r="M299" s="308"/>
    </row>
    <row r="300" spans="3:13" x14ac:dyDescent="0.25">
      <c r="C300" s="262"/>
      <c r="F300" s="109"/>
      <c r="G300" s="4"/>
      <c r="H300" s="4"/>
      <c r="I300" s="4"/>
      <c r="K300" s="308"/>
      <c r="L300" s="308"/>
      <c r="M300" s="308"/>
    </row>
    <row r="301" spans="3:13" x14ac:dyDescent="0.25">
      <c r="C301" s="262"/>
      <c r="F301" s="109"/>
      <c r="G301" s="4"/>
      <c r="H301" s="4"/>
      <c r="I301" s="4"/>
      <c r="K301" s="308"/>
      <c r="L301" s="308"/>
      <c r="M301" s="308"/>
    </row>
    <row r="302" spans="3:13" x14ac:dyDescent="0.25">
      <c r="C302" s="262"/>
      <c r="F302" s="109"/>
      <c r="G302" s="4"/>
      <c r="H302" s="4"/>
      <c r="I302" s="4"/>
      <c r="K302" s="308"/>
      <c r="L302" s="308"/>
      <c r="M302" s="308"/>
    </row>
    <row r="303" spans="3:13" x14ac:dyDescent="0.25">
      <c r="C303" s="262"/>
      <c r="F303" s="109"/>
      <c r="G303" s="4"/>
      <c r="H303" s="4"/>
      <c r="I303" s="4"/>
      <c r="K303" s="308"/>
      <c r="L303" s="308"/>
      <c r="M303" s="308"/>
    </row>
    <row r="304" spans="3:13" x14ac:dyDescent="0.25">
      <c r="C304" s="262"/>
      <c r="F304" s="109"/>
      <c r="G304" s="4"/>
      <c r="H304" s="4"/>
      <c r="I304" s="4"/>
      <c r="K304" s="308"/>
      <c r="L304" s="308"/>
      <c r="M304" s="308"/>
    </row>
    <row r="305" spans="3:13" x14ac:dyDescent="0.25">
      <c r="C305" s="262"/>
      <c r="F305" s="109"/>
      <c r="G305" s="4"/>
      <c r="H305" s="4"/>
      <c r="I305" s="4"/>
      <c r="K305" s="308"/>
      <c r="L305" s="308"/>
      <c r="M305" s="308"/>
    </row>
    <row r="306" spans="3:13" x14ac:dyDescent="0.25">
      <c r="C306" s="262"/>
      <c r="F306" s="109"/>
      <c r="G306" s="4"/>
      <c r="H306" s="4"/>
      <c r="I306" s="4"/>
      <c r="K306" s="308"/>
      <c r="L306" s="308"/>
      <c r="M306" s="308"/>
    </row>
    <row r="307" spans="3:13" x14ac:dyDescent="0.25">
      <c r="C307" s="262"/>
      <c r="F307" s="109"/>
      <c r="G307" s="4"/>
      <c r="H307" s="4"/>
      <c r="I307" s="4"/>
      <c r="K307" s="308"/>
      <c r="L307" s="308"/>
      <c r="M307" s="308"/>
    </row>
    <row r="308" spans="3:13" x14ac:dyDescent="0.25">
      <c r="C308" s="262"/>
      <c r="F308" s="109"/>
      <c r="G308" s="4"/>
      <c r="H308" s="4"/>
      <c r="I308" s="4"/>
      <c r="K308" s="308"/>
      <c r="L308" s="308"/>
      <c r="M308" s="308"/>
    </row>
    <row r="309" spans="3:13" x14ac:dyDescent="0.25">
      <c r="C309" s="262"/>
      <c r="F309" s="109"/>
      <c r="G309" s="4"/>
      <c r="H309" s="4"/>
      <c r="I309" s="4"/>
      <c r="K309" s="308"/>
      <c r="L309" s="308"/>
      <c r="M309" s="308"/>
    </row>
    <row r="310" spans="3:13" x14ac:dyDescent="0.25">
      <c r="C310" s="262"/>
      <c r="F310" s="109"/>
      <c r="G310" s="4"/>
      <c r="H310" s="4"/>
      <c r="I310" s="4"/>
      <c r="K310" s="308"/>
      <c r="L310" s="308"/>
      <c r="M310" s="308"/>
    </row>
    <row r="311" spans="3:13" x14ac:dyDescent="0.25">
      <c r="C311" s="262"/>
      <c r="F311" s="109"/>
      <c r="G311" s="4"/>
      <c r="H311" s="4"/>
      <c r="I311" s="4"/>
      <c r="K311" s="308"/>
      <c r="L311" s="308"/>
      <c r="M311" s="308"/>
    </row>
    <row r="312" spans="3:13" x14ac:dyDescent="0.25">
      <c r="C312" s="262"/>
      <c r="F312" s="109"/>
      <c r="G312" s="4"/>
      <c r="H312" s="4"/>
      <c r="I312" s="4"/>
      <c r="K312" s="308"/>
      <c r="L312" s="308"/>
      <c r="M312" s="308"/>
    </row>
    <row r="313" spans="3:13" x14ac:dyDescent="0.25">
      <c r="C313" s="262"/>
      <c r="F313" s="109"/>
      <c r="G313" s="4"/>
      <c r="H313" s="4"/>
      <c r="I313" s="4"/>
      <c r="K313" s="308"/>
      <c r="L313" s="308"/>
      <c r="M313" s="308"/>
    </row>
    <row r="314" spans="3:13" x14ac:dyDescent="0.25">
      <c r="C314" s="262"/>
      <c r="F314" s="109"/>
      <c r="G314" s="4"/>
      <c r="H314" s="4"/>
      <c r="I314" s="4"/>
      <c r="K314" s="308"/>
      <c r="L314" s="308"/>
      <c r="M314" s="308"/>
    </row>
    <row r="315" spans="3:13" x14ac:dyDescent="0.25">
      <c r="C315" s="262"/>
      <c r="F315" s="109"/>
      <c r="G315" s="4"/>
      <c r="H315" s="4"/>
      <c r="I315" s="4"/>
      <c r="K315" s="308"/>
      <c r="L315" s="308"/>
      <c r="M315" s="308"/>
    </row>
    <row r="316" spans="3:13" x14ac:dyDescent="0.25">
      <c r="C316" s="262"/>
      <c r="F316" s="109"/>
      <c r="G316" s="4"/>
      <c r="H316" s="4"/>
      <c r="I316" s="4"/>
      <c r="K316" s="308"/>
      <c r="L316" s="308"/>
      <c r="M316" s="308"/>
    </row>
    <row r="317" spans="3:13" x14ac:dyDescent="0.25">
      <c r="C317" s="262"/>
      <c r="F317" s="109"/>
      <c r="G317" s="4"/>
      <c r="H317" s="4"/>
      <c r="I317" s="4"/>
      <c r="K317" s="308"/>
      <c r="L317" s="308"/>
      <c r="M317" s="308"/>
    </row>
    <row r="318" spans="3:13" x14ac:dyDescent="0.25">
      <c r="C318" s="262"/>
      <c r="F318" s="109"/>
      <c r="G318" s="4"/>
      <c r="H318" s="4"/>
      <c r="I318" s="4"/>
      <c r="K318" s="308"/>
      <c r="L318" s="308"/>
      <c r="M318" s="308"/>
    </row>
    <row r="319" spans="3:13" x14ac:dyDescent="0.25">
      <c r="C319" s="262"/>
      <c r="F319" s="109"/>
      <c r="G319" s="4"/>
      <c r="H319" s="4"/>
      <c r="I319" s="4"/>
      <c r="K319" s="308"/>
      <c r="L319" s="308"/>
      <c r="M319" s="308"/>
    </row>
    <row r="320" spans="3:13" x14ac:dyDescent="0.25">
      <c r="C320" s="262"/>
      <c r="F320" s="109"/>
      <c r="G320" s="4"/>
      <c r="H320" s="4"/>
      <c r="I320" s="4"/>
      <c r="K320" s="308"/>
      <c r="L320" s="308"/>
      <c r="M320" s="308"/>
    </row>
    <row r="321" spans="3:13" x14ac:dyDescent="0.25">
      <c r="C321" s="262"/>
      <c r="F321" s="109"/>
      <c r="G321" s="4"/>
      <c r="H321" s="4"/>
      <c r="I321" s="4"/>
      <c r="K321" s="308"/>
      <c r="L321" s="308"/>
      <c r="M321" s="308"/>
    </row>
    <row r="322" spans="3:13" x14ac:dyDescent="0.25">
      <c r="C322" s="262"/>
      <c r="F322" s="109"/>
      <c r="G322" s="4"/>
      <c r="H322" s="4"/>
      <c r="I322" s="4"/>
      <c r="K322" s="308"/>
      <c r="L322" s="308"/>
      <c r="M322" s="308"/>
    </row>
    <row r="323" spans="3:13" x14ac:dyDescent="0.25">
      <c r="C323" s="262"/>
      <c r="F323" s="109"/>
      <c r="G323" s="4"/>
      <c r="H323" s="4"/>
      <c r="I323" s="4"/>
      <c r="K323" s="308"/>
      <c r="L323" s="308"/>
      <c r="M323" s="308"/>
    </row>
    <row r="324" spans="3:13" x14ac:dyDescent="0.25">
      <c r="C324" s="262"/>
      <c r="F324" s="109"/>
      <c r="G324" s="4"/>
      <c r="H324" s="4"/>
      <c r="I324" s="4"/>
      <c r="K324" s="308"/>
      <c r="L324" s="308"/>
      <c r="M324" s="308"/>
    </row>
    <row r="325" spans="3:13" x14ac:dyDescent="0.25">
      <c r="C325" s="262"/>
      <c r="F325" s="109"/>
      <c r="G325" s="4"/>
      <c r="H325" s="4"/>
      <c r="I325" s="4"/>
      <c r="K325" s="308"/>
      <c r="L325" s="308"/>
      <c r="M325" s="308"/>
    </row>
    <row r="326" spans="3:13" x14ac:dyDescent="0.25">
      <c r="C326" s="262"/>
      <c r="F326" s="109"/>
      <c r="G326" s="4"/>
      <c r="H326" s="4"/>
      <c r="I326" s="4"/>
      <c r="K326" s="308"/>
      <c r="L326" s="308"/>
      <c r="M326" s="308"/>
    </row>
    <row r="327" spans="3:13" x14ac:dyDescent="0.25">
      <c r="C327" s="262"/>
      <c r="F327" s="109"/>
      <c r="G327" s="4"/>
      <c r="H327" s="4"/>
      <c r="I327" s="4"/>
      <c r="K327" s="308"/>
      <c r="L327" s="308"/>
      <c r="M327" s="308"/>
    </row>
    <row r="328" spans="3:13" x14ac:dyDescent="0.25">
      <c r="C328" s="262"/>
      <c r="F328" s="109"/>
      <c r="G328" s="4"/>
      <c r="H328" s="4"/>
      <c r="I328" s="4"/>
      <c r="K328" s="308"/>
      <c r="L328" s="308"/>
      <c r="M328" s="308"/>
    </row>
    <row r="329" spans="3:13" x14ac:dyDescent="0.25">
      <c r="C329" s="262"/>
      <c r="F329" s="109"/>
      <c r="G329" s="4"/>
      <c r="H329" s="4"/>
      <c r="I329" s="4"/>
      <c r="K329" s="308"/>
      <c r="L329" s="308"/>
      <c r="M329" s="308"/>
    </row>
    <row r="330" spans="3:13" x14ac:dyDescent="0.25">
      <c r="C330" s="262"/>
      <c r="F330" s="109"/>
      <c r="G330" s="4"/>
      <c r="H330" s="4"/>
      <c r="I330" s="4"/>
      <c r="K330" s="308"/>
      <c r="L330" s="308"/>
      <c r="M330" s="308"/>
    </row>
    <row r="331" spans="3:13" x14ac:dyDescent="0.25">
      <c r="C331" s="262"/>
      <c r="F331" s="109"/>
      <c r="G331" s="4"/>
      <c r="H331" s="4"/>
      <c r="I331" s="4"/>
      <c r="K331" s="308"/>
      <c r="L331" s="308"/>
      <c r="M331" s="308"/>
    </row>
    <row r="332" spans="3:13" x14ac:dyDescent="0.25">
      <c r="C332" s="262"/>
      <c r="F332" s="109"/>
      <c r="G332" s="4"/>
      <c r="H332" s="4"/>
      <c r="I332" s="4"/>
      <c r="K332" s="308"/>
      <c r="L332" s="308"/>
      <c r="M332" s="308"/>
    </row>
    <row r="333" spans="3:13" x14ac:dyDescent="0.25">
      <c r="C333" s="262"/>
      <c r="F333" s="109"/>
      <c r="G333" s="4"/>
      <c r="H333" s="4"/>
      <c r="I333" s="4"/>
      <c r="K333" s="308"/>
      <c r="L333" s="308"/>
      <c r="M333" s="308"/>
    </row>
    <row r="334" spans="3:13" x14ac:dyDescent="0.25">
      <c r="C334" s="262"/>
      <c r="F334" s="109"/>
      <c r="G334" s="4"/>
      <c r="H334" s="4"/>
      <c r="I334" s="4"/>
      <c r="K334" s="308"/>
      <c r="L334" s="308"/>
      <c r="M334" s="308"/>
    </row>
    <row r="335" spans="3:13" x14ac:dyDescent="0.25">
      <c r="C335" s="262"/>
      <c r="F335" s="109"/>
      <c r="G335" s="4"/>
      <c r="H335" s="4"/>
      <c r="I335" s="4"/>
      <c r="K335" s="308"/>
      <c r="L335" s="308"/>
      <c r="M335" s="308"/>
    </row>
    <row r="336" spans="3:13" x14ac:dyDescent="0.25">
      <c r="C336" s="262"/>
      <c r="F336" s="109"/>
      <c r="G336" s="4"/>
      <c r="H336" s="4"/>
      <c r="I336" s="4"/>
      <c r="K336" s="308"/>
      <c r="L336" s="308"/>
      <c r="M336" s="308"/>
    </row>
    <row r="337" spans="3:13" x14ac:dyDescent="0.25">
      <c r="C337" s="262"/>
      <c r="F337" s="109"/>
      <c r="G337" s="4"/>
      <c r="H337" s="4"/>
      <c r="I337" s="4"/>
      <c r="K337" s="308"/>
      <c r="L337" s="308"/>
      <c r="M337" s="308"/>
    </row>
    <row r="338" spans="3:13" x14ac:dyDescent="0.25">
      <c r="C338" s="262"/>
      <c r="F338" s="109"/>
      <c r="G338" s="4"/>
      <c r="H338" s="4"/>
      <c r="I338" s="4"/>
      <c r="K338" s="308"/>
      <c r="L338" s="308"/>
      <c r="M338" s="308"/>
    </row>
    <row r="339" spans="3:13" x14ac:dyDescent="0.25">
      <c r="C339" s="262"/>
      <c r="F339" s="109"/>
      <c r="G339" s="4"/>
      <c r="H339" s="4"/>
      <c r="I339" s="4"/>
      <c r="K339" s="308"/>
      <c r="L339" s="308"/>
      <c r="M339" s="308"/>
    </row>
    <row r="340" spans="3:13" x14ac:dyDescent="0.25">
      <c r="C340" s="262"/>
      <c r="F340" s="109"/>
      <c r="G340" s="4"/>
      <c r="H340" s="4"/>
      <c r="I340" s="4"/>
      <c r="K340" s="308"/>
      <c r="L340" s="308"/>
      <c r="M340" s="308"/>
    </row>
    <row r="341" spans="3:13" x14ac:dyDescent="0.25">
      <c r="C341" s="262"/>
      <c r="F341" s="109"/>
      <c r="G341" s="4"/>
      <c r="H341" s="4"/>
      <c r="I341" s="4"/>
      <c r="K341" s="308"/>
      <c r="L341" s="308"/>
      <c r="M341" s="308"/>
    </row>
    <row r="342" spans="3:13" x14ac:dyDescent="0.25">
      <c r="C342" s="262"/>
      <c r="F342" s="109"/>
      <c r="G342" s="4"/>
      <c r="H342" s="4"/>
      <c r="I342" s="4"/>
      <c r="K342" s="308"/>
      <c r="L342" s="308"/>
      <c r="M342" s="308"/>
    </row>
    <row r="343" spans="3:13" x14ac:dyDescent="0.25">
      <c r="C343" s="262"/>
      <c r="F343" s="109"/>
      <c r="G343" s="4"/>
      <c r="H343" s="4"/>
      <c r="I343" s="4"/>
      <c r="K343" s="308"/>
      <c r="L343" s="308"/>
      <c r="M343" s="308"/>
    </row>
    <row r="344" spans="3:13" x14ac:dyDescent="0.25">
      <c r="C344" s="262"/>
      <c r="F344" s="109"/>
      <c r="G344" s="4"/>
      <c r="H344" s="4"/>
      <c r="I344" s="4"/>
      <c r="K344" s="308"/>
      <c r="L344" s="308"/>
      <c r="M344" s="308"/>
    </row>
    <row r="345" spans="3:13" x14ac:dyDescent="0.25">
      <c r="C345" s="262"/>
      <c r="F345" s="109"/>
      <c r="G345" s="4"/>
      <c r="H345" s="4"/>
      <c r="I345" s="4"/>
      <c r="K345" s="308"/>
      <c r="L345" s="308"/>
      <c r="M345" s="308"/>
    </row>
    <row r="346" spans="3:13" x14ac:dyDescent="0.25">
      <c r="C346" s="262"/>
      <c r="F346" s="109"/>
      <c r="G346" s="4"/>
      <c r="H346" s="4"/>
      <c r="I346" s="4"/>
      <c r="K346" s="308"/>
      <c r="L346" s="308"/>
      <c r="M346" s="308"/>
    </row>
    <row r="347" spans="3:13" x14ac:dyDescent="0.25">
      <c r="C347" s="262"/>
      <c r="F347" s="109"/>
      <c r="G347" s="4"/>
      <c r="H347" s="4"/>
      <c r="I347" s="4"/>
      <c r="K347" s="308"/>
      <c r="L347" s="308"/>
      <c r="M347" s="308"/>
    </row>
    <row r="348" spans="3:13" x14ac:dyDescent="0.25">
      <c r="C348" s="262"/>
      <c r="F348" s="109"/>
      <c r="G348" s="4"/>
      <c r="H348" s="4"/>
      <c r="I348" s="4"/>
      <c r="K348" s="308"/>
      <c r="L348" s="308"/>
      <c r="M348" s="308"/>
    </row>
    <row r="349" spans="3:13" x14ac:dyDescent="0.25">
      <c r="C349" s="262"/>
      <c r="F349" s="109"/>
      <c r="G349" s="4"/>
      <c r="H349" s="4"/>
      <c r="I349" s="4"/>
      <c r="K349" s="308"/>
      <c r="L349" s="308"/>
      <c r="M349" s="308"/>
    </row>
    <row r="350" spans="3:13" x14ac:dyDescent="0.25">
      <c r="C350" s="262"/>
      <c r="F350" s="109"/>
      <c r="G350" s="4"/>
      <c r="H350" s="4"/>
      <c r="I350" s="4"/>
      <c r="K350" s="308"/>
      <c r="L350" s="308"/>
      <c r="M350" s="308"/>
    </row>
    <row r="351" spans="3:13" x14ac:dyDescent="0.25">
      <c r="C351" s="262"/>
      <c r="F351" s="109"/>
      <c r="G351" s="4"/>
      <c r="H351" s="4"/>
      <c r="I351" s="4"/>
      <c r="K351" s="308"/>
      <c r="L351" s="308"/>
      <c r="M351" s="308"/>
    </row>
    <row r="352" spans="3:13" x14ac:dyDescent="0.25">
      <c r="C352" s="262"/>
      <c r="F352" s="109"/>
      <c r="G352" s="4"/>
      <c r="H352" s="4"/>
      <c r="I352" s="4"/>
      <c r="K352" s="308"/>
      <c r="L352" s="308"/>
      <c r="M352" s="308"/>
    </row>
    <row r="353" spans="3:13" x14ac:dyDescent="0.25">
      <c r="C353" s="262"/>
      <c r="F353" s="109"/>
      <c r="G353" s="4"/>
      <c r="H353" s="4"/>
      <c r="I353" s="4"/>
      <c r="K353" s="308"/>
      <c r="L353" s="308"/>
      <c r="M353" s="308"/>
    </row>
    <row r="354" spans="3:13" x14ac:dyDescent="0.25">
      <c r="C354" s="262"/>
      <c r="F354" s="109"/>
      <c r="G354" s="4"/>
      <c r="H354" s="4"/>
      <c r="I354" s="4"/>
      <c r="K354" s="308"/>
      <c r="L354" s="308"/>
      <c r="M354" s="308"/>
    </row>
    <row r="355" spans="3:13" x14ac:dyDescent="0.25">
      <c r="C355" s="262"/>
      <c r="F355" s="109"/>
      <c r="G355" s="4"/>
      <c r="H355" s="4"/>
      <c r="I355" s="4"/>
      <c r="K355" s="308"/>
      <c r="L355" s="308"/>
      <c r="M355" s="308"/>
    </row>
    <row r="356" spans="3:13" x14ac:dyDescent="0.25">
      <c r="C356" s="262"/>
      <c r="F356" s="109"/>
      <c r="G356" s="4"/>
      <c r="H356" s="4"/>
      <c r="I356" s="4"/>
      <c r="K356" s="308"/>
      <c r="L356" s="308"/>
      <c r="M356" s="308"/>
    </row>
    <row r="357" spans="3:13" x14ac:dyDescent="0.25">
      <c r="C357" s="262"/>
      <c r="F357" s="109"/>
      <c r="G357" s="4"/>
      <c r="H357" s="4"/>
      <c r="I357" s="4"/>
      <c r="K357" s="308"/>
      <c r="L357" s="308"/>
      <c r="M357" s="308"/>
    </row>
    <row r="358" spans="3:13" x14ac:dyDescent="0.25">
      <c r="C358" s="262"/>
      <c r="F358" s="109"/>
      <c r="G358" s="4"/>
      <c r="H358" s="4"/>
      <c r="I358" s="4"/>
      <c r="K358" s="308"/>
      <c r="L358" s="308"/>
      <c r="M358" s="308"/>
    </row>
    <row r="359" spans="3:13" x14ac:dyDescent="0.25">
      <c r="C359" s="262"/>
      <c r="F359" s="109"/>
      <c r="G359" s="4"/>
      <c r="H359" s="4"/>
      <c r="I359" s="4"/>
      <c r="K359" s="308"/>
      <c r="L359" s="308"/>
      <c r="M359" s="308"/>
    </row>
    <row r="360" spans="3:13" x14ac:dyDescent="0.25">
      <c r="C360" s="262"/>
      <c r="F360" s="109"/>
      <c r="G360" s="4"/>
      <c r="H360" s="4"/>
      <c r="I360" s="4"/>
      <c r="K360" s="308"/>
      <c r="L360" s="308"/>
      <c r="M360" s="308"/>
    </row>
    <row r="361" spans="3:13" x14ac:dyDescent="0.25">
      <c r="C361" s="262"/>
      <c r="F361" s="109"/>
      <c r="G361" s="4"/>
      <c r="H361" s="4"/>
      <c r="I361" s="4"/>
      <c r="K361" s="308"/>
      <c r="L361" s="308"/>
      <c r="M361" s="308"/>
    </row>
    <row r="362" spans="3:13" x14ac:dyDescent="0.25">
      <c r="C362" s="262"/>
      <c r="F362" s="109"/>
      <c r="G362" s="4"/>
      <c r="H362" s="4"/>
      <c r="I362" s="4"/>
      <c r="K362" s="308"/>
      <c r="L362" s="308"/>
      <c r="M362" s="308"/>
    </row>
    <row r="363" spans="3:13" x14ac:dyDescent="0.25">
      <c r="C363" s="262"/>
      <c r="F363" s="109"/>
      <c r="G363" s="4"/>
      <c r="H363" s="4"/>
      <c r="I363" s="4"/>
      <c r="K363" s="308"/>
      <c r="L363" s="308"/>
      <c r="M363" s="308"/>
    </row>
    <row r="364" spans="3:13" x14ac:dyDescent="0.25">
      <c r="C364" s="262"/>
      <c r="F364" s="109"/>
      <c r="G364" s="4"/>
      <c r="H364" s="4"/>
      <c r="I364" s="4"/>
      <c r="K364" s="308"/>
      <c r="L364" s="308"/>
      <c r="M364" s="308"/>
    </row>
    <row r="365" spans="3:13" x14ac:dyDescent="0.25">
      <c r="C365" s="262"/>
      <c r="F365" s="109"/>
      <c r="G365" s="4"/>
      <c r="H365" s="4"/>
      <c r="I365" s="4"/>
      <c r="K365" s="308"/>
      <c r="L365" s="308"/>
      <c r="M365" s="308"/>
    </row>
    <row r="366" spans="3:13" x14ac:dyDescent="0.25">
      <c r="C366" s="262"/>
      <c r="F366" s="109"/>
      <c r="G366" s="4"/>
      <c r="H366" s="4"/>
      <c r="I366" s="4"/>
      <c r="K366" s="308"/>
      <c r="L366" s="308"/>
      <c r="M366" s="308"/>
    </row>
    <row r="367" spans="3:13" x14ac:dyDescent="0.25">
      <c r="C367" s="262"/>
      <c r="F367" s="109"/>
      <c r="G367" s="4"/>
      <c r="H367" s="4"/>
      <c r="I367" s="4"/>
      <c r="K367" s="308"/>
      <c r="L367" s="308"/>
      <c r="M367" s="308"/>
    </row>
    <row r="368" spans="3:13" x14ac:dyDescent="0.25">
      <c r="C368" s="262"/>
      <c r="F368" s="109"/>
      <c r="G368" s="4"/>
      <c r="H368" s="4"/>
      <c r="I368" s="4"/>
      <c r="K368" s="308"/>
      <c r="L368" s="308"/>
      <c r="M368" s="308"/>
    </row>
    <row r="369" spans="3:13" x14ac:dyDescent="0.25">
      <c r="C369" s="262"/>
      <c r="F369" s="109"/>
      <c r="G369" s="4"/>
      <c r="H369" s="4"/>
      <c r="I369" s="4"/>
      <c r="K369" s="308"/>
      <c r="L369" s="308"/>
      <c r="M369" s="308"/>
    </row>
    <row r="370" spans="3:13" x14ac:dyDescent="0.25">
      <c r="C370" s="262"/>
      <c r="F370" s="109"/>
      <c r="G370" s="4"/>
      <c r="H370" s="4"/>
      <c r="I370" s="4"/>
      <c r="K370" s="308"/>
      <c r="L370" s="308"/>
      <c r="M370" s="308"/>
    </row>
    <row r="371" spans="3:13" x14ac:dyDescent="0.25">
      <c r="C371" s="262"/>
      <c r="F371" s="109"/>
      <c r="G371" s="4"/>
      <c r="H371" s="4"/>
      <c r="I371" s="4"/>
      <c r="K371" s="308"/>
      <c r="L371" s="308"/>
      <c r="M371" s="308"/>
    </row>
    <row r="372" spans="3:13" x14ac:dyDescent="0.25">
      <c r="C372" s="262"/>
      <c r="F372" s="109"/>
      <c r="G372" s="4"/>
      <c r="H372" s="4"/>
      <c r="I372" s="4"/>
      <c r="K372" s="308"/>
      <c r="L372" s="308"/>
      <c r="M372" s="308"/>
    </row>
    <row r="373" spans="3:13" x14ac:dyDescent="0.25">
      <c r="C373" s="262"/>
      <c r="F373" s="109"/>
      <c r="G373" s="4"/>
      <c r="H373" s="4"/>
      <c r="I373" s="4"/>
      <c r="K373" s="308"/>
      <c r="L373" s="308"/>
      <c r="M373" s="308"/>
    </row>
    <row r="374" spans="3:13" x14ac:dyDescent="0.25">
      <c r="C374" s="262"/>
      <c r="F374" s="109"/>
      <c r="G374" s="4"/>
      <c r="H374" s="4"/>
      <c r="I374" s="4"/>
      <c r="K374" s="308"/>
      <c r="L374" s="308"/>
      <c r="M374" s="308"/>
    </row>
    <row r="375" spans="3:13" x14ac:dyDescent="0.25">
      <c r="C375" s="262"/>
      <c r="F375" s="109"/>
      <c r="G375" s="4"/>
      <c r="H375" s="4"/>
      <c r="I375" s="4"/>
      <c r="K375" s="308"/>
      <c r="L375" s="308"/>
      <c r="M375" s="308"/>
    </row>
    <row r="376" spans="3:13" x14ac:dyDescent="0.25">
      <c r="C376" s="262"/>
      <c r="F376" s="109"/>
      <c r="G376" s="4"/>
      <c r="H376" s="4"/>
      <c r="I376" s="4"/>
      <c r="K376" s="308"/>
      <c r="L376" s="308"/>
      <c r="M376" s="308"/>
    </row>
    <row r="377" spans="3:13" x14ac:dyDescent="0.25">
      <c r="C377" s="262"/>
      <c r="F377" s="109"/>
      <c r="G377" s="4"/>
      <c r="H377" s="4"/>
      <c r="I377" s="4"/>
      <c r="K377" s="308"/>
      <c r="L377" s="308"/>
      <c r="M377" s="308"/>
    </row>
    <row r="378" spans="3:13" x14ac:dyDescent="0.25">
      <c r="C378" s="262"/>
      <c r="F378" s="109"/>
      <c r="G378" s="4"/>
      <c r="H378" s="4"/>
      <c r="I378" s="4"/>
      <c r="K378" s="308"/>
      <c r="L378" s="308"/>
      <c r="M378" s="308"/>
    </row>
    <row r="379" spans="3:13" x14ac:dyDescent="0.25">
      <c r="C379" s="262"/>
      <c r="F379" s="109"/>
      <c r="G379" s="4"/>
      <c r="H379" s="4"/>
      <c r="I379" s="4"/>
      <c r="K379" s="308"/>
      <c r="L379" s="308"/>
      <c r="M379" s="308"/>
    </row>
    <row r="380" spans="3:13" x14ac:dyDescent="0.25">
      <c r="C380" s="262"/>
      <c r="F380" s="109"/>
      <c r="G380" s="4"/>
      <c r="H380" s="4"/>
      <c r="I380" s="4"/>
      <c r="K380" s="308"/>
      <c r="L380" s="308"/>
      <c r="M380" s="308"/>
    </row>
    <row r="381" spans="3:13" x14ac:dyDescent="0.25">
      <c r="C381" s="262"/>
      <c r="F381" s="109"/>
      <c r="G381" s="4"/>
      <c r="H381" s="4"/>
      <c r="I381" s="4"/>
      <c r="K381" s="308"/>
      <c r="L381" s="308"/>
      <c r="M381" s="308"/>
    </row>
    <row r="382" spans="3:13" x14ac:dyDescent="0.25">
      <c r="C382" s="262"/>
      <c r="F382" s="109"/>
      <c r="G382" s="4"/>
      <c r="H382" s="4"/>
      <c r="I382" s="4"/>
      <c r="K382" s="308"/>
      <c r="L382" s="308"/>
      <c r="M382" s="308"/>
    </row>
    <row r="383" spans="3:13" x14ac:dyDescent="0.25">
      <c r="C383" s="262"/>
      <c r="F383" s="109"/>
      <c r="G383" s="4"/>
      <c r="H383" s="4"/>
      <c r="I383" s="4"/>
      <c r="K383" s="308"/>
      <c r="L383" s="308"/>
      <c r="M383" s="308"/>
    </row>
    <row r="384" spans="3:13" x14ac:dyDescent="0.25">
      <c r="C384" s="262"/>
      <c r="F384" s="109"/>
      <c r="G384" s="4"/>
      <c r="H384" s="4"/>
      <c r="I384" s="4"/>
      <c r="K384" s="308"/>
      <c r="L384" s="308"/>
      <c r="M384" s="308"/>
    </row>
    <row r="385" spans="3:13" x14ac:dyDescent="0.25">
      <c r="C385" s="262"/>
      <c r="F385" s="109"/>
      <c r="G385" s="4"/>
      <c r="H385" s="4"/>
      <c r="I385" s="4"/>
      <c r="K385" s="308"/>
      <c r="L385" s="308"/>
      <c r="M385" s="308"/>
    </row>
    <row r="386" spans="3:13" x14ac:dyDescent="0.25">
      <c r="C386" s="262"/>
      <c r="F386" s="109"/>
      <c r="G386" s="4"/>
      <c r="H386" s="4"/>
      <c r="I386" s="4"/>
      <c r="K386" s="308"/>
      <c r="L386" s="308"/>
      <c r="M386" s="308"/>
    </row>
    <row r="387" spans="3:13" x14ac:dyDescent="0.25">
      <c r="C387" s="262"/>
      <c r="F387" s="109"/>
      <c r="G387" s="4"/>
      <c r="H387" s="4"/>
      <c r="I387" s="4"/>
      <c r="K387" s="308"/>
      <c r="L387" s="308"/>
      <c r="M387" s="308"/>
    </row>
    <row r="388" spans="3:13" x14ac:dyDescent="0.25">
      <c r="C388" s="262"/>
      <c r="F388" s="109"/>
      <c r="G388" s="4"/>
      <c r="H388" s="4"/>
      <c r="I388" s="4"/>
      <c r="K388" s="308"/>
      <c r="L388" s="308"/>
      <c r="M388" s="308"/>
    </row>
    <row r="389" spans="3:13" x14ac:dyDescent="0.25">
      <c r="C389" s="262"/>
      <c r="F389" s="109"/>
      <c r="G389" s="4"/>
      <c r="H389" s="4"/>
      <c r="I389" s="4"/>
      <c r="K389" s="308"/>
      <c r="L389" s="308"/>
      <c r="M389" s="308"/>
    </row>
    <row r="390" spans="3:13" x14ac:dyDescent="0.25">
      <c r="C390" s="262"/>
      <c r="F390" s="109"/>
      <c r="G390" s="4"/>
      <c r="H390" s="4"/>
      <c r="I390" s="4"/>
      <c r="K390" s="308"/>
      <c r="L390" s="308"/>
      <c r="M390" s="308"/>
    </row>
    <row r="391" spans="3:13" x14ac:dyDescent="0.25">
      <c r="C391" s="262"/>
      <c r="F391" s="109"/>
      <c r="G391" s="4"/>
      <c r="H391" s="4"/>
      <c r="I391" s="4"/>
      <c r="K391" s="308"/>
      <c r="L391" s="308"/>
      <c r="M391" s="308"/>
    </row>
    <row r="392" spans="3:13" x14ac:dyDescent="0.25">
      <c r="C392" s="262"/>
      <c r="F392" s="109"/>
      <c r="G392" s="4"/>
      <c r="H392" s="4"/>
      <c r="I392" s="4"/>
      <c r="K392" s="308"/>
      <c r="L392" s="308"/>
      <c r="M392" s="308"/>
    </row>
    <row r="393" spans="3:13" x14ac:dyDescent="0.25">
      <c r="C393" s="262"/>
      <c r="F393" s="109"/>
      <c r="G393" s="4"/>
      <c r="H393" s="4"/>
      <c r="I393" s="4"/>
      <c r="K393" s="308"/>
      <c r="L393" s="308"/>
      <c r="M393" s="308"/>
    </row>
    <row r="394" spans="3:13" x14ac:dyDescent="0.25">
      <c r="C394" s="262"/>
      <c r="F394" s="109"/>
      <c r="G394" s="4"/>
      <c r="H394" s="4"/>
      <c r="I394" s="4"/>
      <c r="K394" s="308"/>
      <c r="L394" s="308"/>
      <c r="M394" s="308"/>
    </row>
    <row r="395" spans="3:13" x14ac:dyDescent="0.25">
      <c r="C395" s="262"/>
      <c r="F395" s="109"/>
      <c r="G395" s="4"/>
      <c r="H395" s="4"/>
      <c r="I395" s="4"/>
      <c r="K395" s="308"/>
      <c r="L395" s="308"/>
      <c r="M395" s="308"/>
    </row>
    <row r="396" spans="3:13" x14ac:dyDescent="0.25">
      <c r="C396" s="262"/>
      <c r="F396" s="109"/>
      <c r="G396" s="4"/>
      <c r="H396" s="4"/>
      <c r="I396" s="4"/>
      <c r="K396" s="308"/>
      <c r="L396" s="308"/>
      <c r="M396" s="308"/>
    </row>
    <row r="397" spans="3:13" x14ac:dyDescent="0.25">
      <c r="C397" s="262"/>
      <c r="F397" s="109"/>
      <c r="G397" s="4"/>
      <c r="H397" s="4"/>
      <c r="I397" s="4"/>
      <c r="K397" s="308"/>
      <c r="L397" s="308"/>
      <c r="M397" s="308"/>
    </row>
    <row r="398" spans="3:13" x14ac:dyDescent="0.25">
      <c r="C398" s="262"/>
      <c r="F398" s="109"/>
      <c r="G398" s="4"/>
      <c r="H398" s="4"/>
      <c r="I398" s="4"/>
      <c r="K398" s="308"/>
      <c r="L398" s="308"/>
      <c r="M398" s="308"/>
    </row>
    <row r="399" spans="3:13" x14ac:dyDescent="0.25">
      <c r="C399" s="262"/>
      <c r="F399" s="109"/>
      <c r="G399" s="4"/>
      <c r="H399" s="4"/>
      <c r="I399" s="4"/>
      <c r="K399" s="308"/>
      <c r="L399" s="308"/>
      <c r="M399" s="308"/>
    </row>
    <row r="400" spans="3:13" x14ac:dyDescent="0.25">
      <c r="C400" s="262"/>
      <c r="F400" s="109"/>
      <c r="G400" s="4"/>
      <c r="H400" s="4"/>
      <c r="I400" s="4"/>
      <c r="K400" s="308"/>
      <c r="L400" s="308"/>
      <c r="M400" s="308"/>
    </row>
    <row r="401" spans="3:13" x14ac:dyDescent="0.25">
      <c r="C401" s="262"/>
      <c r="F401" s="109"/>
      <c r="G401" s="4"/>
      <c r="H401" s="4"/>
      <c r="I401" s="4"/>
      <c r="K401" s="308"/>
      <c r="L401" s="308"/>
      <c r="M401" s="308"/>
    </row>
    <row r="402" spans="3:13" x14ac:dyDescent="0.25">
      <c r="C402" s="262"/>
      <c r="F402" s="109"/>
      <c r="G402" s="4"/>
      <c r="H402" s="4"/>
      <c r="I402" s="4"/>
      <c r="K402" s="308"/>
      <c r="L402" s="308"/>
      <c r="M402" s="308"/>
    </row>
    <row r="403" spans="3:13" x14ac:dyDescent="0.25">
      <c r="C403" s="262"/>
      <c r="F403" s="109"/>
      <c r="G403" s="4"/>
      <c r="H403" s="4"/>
      <c r="I403" s="4"/>
      <c r="K403" s="308"/>
      <c r="L403" s="308"/>
      <c r="M403" s="308"/>
    </row>
    <row r="404" spans="3:13" x14ac:dyDescent="0.25">
      <c r="C404" s="262"/>
      <c r="F404" s="109"/>
      <c r="G404" s="4"/>
      <c r="H404" s="4"/>
      <c r="I404" s="4"/>
      <c r="K404" s="308"/>
      <c r="L404" s="308"/>
      <c r="M404" s="308"/>
    </row>
    <row r="405" spans="3:13" x14ac:dyDescent="0.25">
      <c r="C405" s="262"/>
      <c r="F405" s="109"/>
      <c r="G405" s="4"/>
      <c r="H405" s="4"/>
      <c r="I405" s="4"/>
      <c r="K405" s="308"/>
      <c r="L405" s="308"/>
      <c r="M405" s="308"/>
    </row>
    <row r="406" spans="3:13" x14ac:dyDescent="0.25">
      <c r="C406" s="262"/>
      <c r="F406" s="109"/>
      <c r="G406" s="4"/>
      <c r="H406" s="4"/>
      <c r="I406" s="4"/>
      <c r="K406" s="308"/>
      <c r="L406" s="308"/>
      <c r="M406" s="308"/>
    </row>
    <row r="407" spans="3:13" x14ac:dyDescent="0.25">
      <c r="C407" s="262"/>
      <c r="F407" s="109"/>
      <c r="G407" s="4"/>
      <c r="H407" s="4"/>
      <c r="I407" s="4"/>
      <c r="K407" s="308"/>
      <c r="L407" s="308"/>
      <c r="M407" s="308"/>
    </row>
    <row r="408" spans="3:13" x14ac:dyDescent="0.25">
      <c r="C408" s="262"/>
      <c r="F408" s="109"/>
      <c r="G408" s="4"/>
      <c r="H408" s="4"/>
      <c r="I408" s="4"/>
      <c r="K408" s="308"/>
      <c r="L408" s="308"/>
      <c r="M408" s="308"/>
    </row>
    <row r="409" spans="3:13" x14ac:dyDescent="0.25">
      <c r="C409" s="262"/>
      <c r="F409" s="109"/>
      <c r="G409" s="4"/>
      <c r="H409" s="4"/>
      <c r="I409" s="4"/>
      <c r="K409" s="308"/>
      <c r="L409" s="308"/>
      <c r="M409" s="308"/>
    </row>
    <row r="410" spans="3:13" x14ac:dyDescent="0.25">
      <c r="C410" s="262"/>
      <c r="F410" s="109"/>
      <c r="G410" s="4"/>
      <c r="H410" s="4"/>
      <c r="I410" s="4"/>
      <c r="K410" s="308"/>
      <c r="L410" s="308"/>
      <c r="M410" s="308"/>
    </row>
    <row r="411" spans="3:13" x14ac:dyDescent="0.25">
      <c r="C411" s="262"/>
      <c r="F411" s="109"/>
      <c r="G411" s="4"/>
      <c r="H411" s="4"/>
      <c r="I411" s="4"/>
      <c r="K411" s="308"/>
      <c r="L411" s="308"/>
      <c r="M411" s="308"/>
    </row>
    <row r="412" spans="3:13" x14ac:dyDescent="0.25">
      <c r="C412" s="262"/>
      <c r="F412" s="109"/>
      <c r="G412" s="4"/>
      <c r="H412" s="4"/>
      <c r="I412" s="4"/>
      <c r="K412" s="308"/>
      <c r="L412" s="308"/>
      <c r="M412" s="308"/>
    </row>
    <row r="413" spans="3:13" x14ac:dyDescent="0.25">
      <c r="C413" s="262"/>
      <c r="F413" s="109"/>
      <c r="G413" s="4"/>
      <c r="H413" s="4"/>
      <c r="I413" s="4"/>
      <c r="K413" s="308"/>
      <c r="L413" s="308"/>
      <c r="M413" s="308"/>
    </row>
    <row r="414" spans="3:13" x14ac:dyDescent="0.25">
      <c r="C414" s="262"/>
      <c r="F414" s="109"/>
      <c r="G414" s="4"/>
      <c r="H414" s="4"/>
      <c r="I414" s="4"/>
      <c r="K414" s="308"/>
      <c r="L414" s="308"/>
      <c r="M414" s="308"/>
    </row>
    <row r="415" spans="3:13" x14ac:dyDescent="0.25">
      <c r="C415" s="262"/>
      <c r="F415" s="109"/>
      <c r="G415" s="4"/>
      <c r="H415" s="4"/>
      <c r="I415" s="4"/>
      <c r="K415" s="308"/>
      <c r="L415" s="308"/>
      <c r="M415" s="308"/>
    </row>
    <row r="416" spans="3:13" x14ac:dyDescent="0.25">
      <c r="C416"/>
      <c r="D416"/>
      <c r="E416"/>
      <c r="F416"/>
      <c r="G416"/>
      <c r="J416"/>
    </row>
    <row r="417" spans="3:10" x14ac:dyDescent="0.25">
      <c r="C417"/>
      <c r="D417"/>
      <c r="E417"/>
      <c r="F417"/>
      <c r="G417"/>
      <c r="J417"/>
    </row>
    <row r="418" spans="3:10" x14ac:dyDescent="0.25">
      <c r="C418"/>
      <c r="D418"/>
      <c r="E418"/>
      <c r="F418"/>
      <c r="G418"/>
      <c r="J418"/>
    </row>
    <row r="419" spans="3:10" x14ac:dyDescent="0.25">
      <c r="C419"/>
      <c r="D419"/>
      <c r="E419"/>
      <c r="F419"/>
      <c r="G419"/>
      <c r="J419"/>
    </row>
    <row r="420" spans="3:10" x14ac:dyDescent="0.25">
      <c r="C420"/>
      <c r="D420"/>
      <c r="E420"/>
      <c r="F420"/>
      <c r="G420"/>
      <c r="J420"/>
    </row>
    <row r="421" spans="3:10" x14ac:dyDescent="0.25">
      <c r="C421"/>
      <c r="D421"/>
      <c r="E421"/>
      <c r="F421"/>
      <c r="G421"/>
      <c r="J421"/>
    </row>
    <row r="422" spans="3:10" x14ac:dyDescent="0.25">
      <c r="C422"/>
      <c r="D422"/>
      <c r="E422"/>
      <c r="F422"/>
      <c r="G422"/>
      <c r="J422"/>
    </row>
    <row r="423" spans="3:10" x14ac:dyDescent="0.25">
      <c r="C423"/>
      <c r="D423"/>
      <c r="E423"/>
      <c r="F423"/>
      <c r="G423"/>
      <c r="J423"/>
    </row>
    <row r="424" spans="3:10" x14ac:dyDescent="0.25">
      <c r="C424"/>
      <c r="D424"/>
      <c r="E424"/>
      <c r="F424"/>
      <c r="G424"/>
      <c r="J424"/>
    </row>
    <row r="425" spans="3:10" x14ac:dyDescent="0.25">
      <c r="C425"/>
      <c r="D425"/>
      <c r="E425"/>
      <c r="F425"/>
      <c r="G425"/>
      <c r="J425"/>
    </row>
    <row r="426" spans="3:10" x14ac:dyDescent="0.25">
      <c r="C426"/>
      <c r="D426"/>
      <c r="E426"/>
      <c r="F426"/>
      <c r="G426"/>
      <c r="J426"/>
    </row>
  </sheetData>
  <sortState xmlns:xlrd2="http://schemas.microsoft.com/office/spreadsheetml/2017/richdata2" ref="A2:G8">
    <sortCondition ref="A2"/>
  </sortState>
  <customSheetViews>
    <customSheetView guid="{A079800B-DC1B-408F-91C7-3CFEB27825BC}" scale="80" topLeftCell="A6">
      <selection activeCell="B18" sqref="B18"/>
      <pageMargins left="0" right="0" top="0" bottom="0" header="0" footer="0"/>
      <pageSetup paperSize="9" orientation="portrait" verticalDpi="0" r:id="rId1"/>
    </customSheetView>
    <customSheetView guid="{6EFE602B-DDBA-4BA7-94F6-DB3212BD68C7}" scale="80" topLeftCell="A6">
      <selection activeCell="B18" sqref="B18"/>
      <pageMargins left="0" right="0" top="0" bottom="0" header="0" footer="0"/>
      <pageSetup paperSize="9" orientation="portrait" verticalDpi="0" r:id="rId2"/>
    </customSheetView>
  </customSheetViews>
  <printOptions gridLines="1"/>
  <pageMargins left="0.51181102362204722" right="0.51181102362204722" top="0.74803149606299213" bottom="0.74803149606299213" header="0.51181102362204722" footer="0.51181102362204722"/>
  <pageSetup paperSize="9" scale="47" orientation="landscape" blackAndWhite="1" r:id="rId3"/>
  <headerFooter>
    <oddFooter>&amp;L_x000D_&amp;1#&amp;"Calibri"&amp;8&amp;K000000 Classified as Confidential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34FDC-1882-429B-8291-7C221F057A5B}">
  <dimension ref="A2:I26"/>
  <sheetViews>
    <sheetView workbookViewId="0">
      <selection activeCell="H24" sqref="H24"/>
    </sheetView>
  </sheetViews>
  <sheetFormatPr defaultRowHeight="15" x14ac:dyDescent="0.25"/>
  <cols>
    <col min="1" max="1" width="8.85546875" style="4" customWidth="1"/>
    <col min="2" max="2" width="8.85546875" bestFit="1" customWidth="1"/>
    <col min="3" max="3" width="9.5703125" bestFit="1" customWidth="1"/>
    <col min="4" max="4" width="7.5703125" bestFit="1" customWidth="1"/>
    <col min="5" max="5" width="8.5703125" bestFit="1" customWidth="1"/>
    <col min="6" max="6" width="8.85546875" bestFit="1" customWidth="1"/>
    <col min="7" max="7" width="17.5703125" customWidth="1"/>
    <col min="8" max="8" width="58.7109375" customWidth="1"/>
    <col min="9" max="9" width="39.7109375" customWidth="1"/>
  </cols>
  <sheetData>
    <row r="2" spans="1:9" x14ac:dyDescent="0.25">
      <c r="A2" s="4" t="s">
        <v>653</v>
      </c>
      <c r="B2" t="s">
        <v>122</v>
      </c>
    </row>
    <row r="3" spans="1:9" x14ac:dyDescent="0.25">
      <c r="A3" s="4">
        <v>269</v>
      </c>
      <c r="B3" s="171">
        <v>46095</v>
      </c>
      <c r="C3" t="s">
        <v>654</v>
      </c>
      <c r="D3" s="4">
        <v>16.5</v>
      </c>
      <c r="H3" t="s">
        <v>655</v>
      </c>
      <c r="I3" t="s">
        <v>656</v>
      </c>
    </row>
    <row r="4" spans="1:9" x14ac:dyDescent="0.25">
      <c r="A4" s="13">
        <v>270</v>
      </c>
      <c r="B4" s="119">
        <v>46096</v>
      </c>
      <c r="C4" s="163" t="s">
        <v>74</v>
      </c>
      <c r="D4" s="4">
        <v>16.5</v>
      </c>
      <c r="H4" t="s">
        <v>657</v>
      </c>
      <c r="I4" t="s">
        <v>656</v>
      </c>
    </row>
    <row r="5" spans="1:9" x14ac:dyDescent="0.25">
      <c r="A5" s="13">
        <v>271</v>
      </c>
      <c r="B5" s="119">
        <v>46097</v>
      </c>
      <c r="C5" s="163" t="s">
        <v>74</v>
      </c>
      <c r="D5" s="4">
        <v>16.5</v>
      </c>
    </row>
    <row r="6" spans="1:9" x14ac:dyDescent="0.25">
      <c r="A6" s="13">
        <v>272</v>
      </c>
      <c r="B6" s="119">
        <v>46098</v>
      </c>
      <c r="C6" s="163" t="s">
        <v>57</v>
      </c>
      <c r="D6" s="4">
        <v>17.3</v>
      </c>
      <c r="H6" s="340" t="s">
        <v>658</v>
      </c>
    </row>
    <row r="7" spans="1:9" x14ac:dyDescent="0.25">
      <c r="A7" s="13">
        <v>273</v>
      </c>
      <c r="B7" s="119">
        <v>46099</v>
      </c>
      <c r="C7" s="163" t="s">
        <v>57</v>
      </c>
      <c r="D7" s="4">
        <v>17.3</v>
      </c>
      <c r="H7" s="340" t="s">
        <v>658</v>
      </c>
    </row>
    <row r="8" spans="1:9" x14ac:dyDescent="0.25">
      <c r="A8" s="13">
        <v>274</v>
      </c>
      <c r="B8" s="119">
        <v>46100</v>
      </c>
      <c r="C8" s="163" t="s">
        <v>74</v>
      </c>
      <c r="D8" s="4">
        <v>22</v>
      </c>
      <c r="G8" t="s">
        <v>659</v>
      </c>
      <c r="H8" s="340" t="s">
        <v>660</v>
      </c>
    </row>
    <row r="9" spans="1:9" x14ac:dyDescent="0.25">
      <c r="A9" s="13">
        <v>275</v>
      </c>
      <c r="B9" s="119">
        <v>46101</v>
      </c>
      <c r="C9" s="163" t="s">
        <v>74</v>
      </c>
      <c r="D9" s="4">
        <v>22</v>
      </c>
      <c r="G9" t="s">
        <v>661</v>
      </c>
      <c r="H9" s="340" t="s">
        <v>662</v>
      </c>
    </row>
    <row r="10" spans="1:9" x14ac:dyDescent="0.25">
      <c r="A10" s="13">
        <v>276</v>
      </c>
      <c r="B10" s="119">
        <v>46102</v>
      </c>
      <c r="C10" s="339" t="s">
        <v>663</v>
      </c>
      <c r="H10" s="340" t="s">
        <v>664</v>
      </c>
    </row>
    <row r="11" spans="1:9" x14ac:dyDescent="0.25">
      <c r="A11" s="13">
        <v>277</v>
      </c>
      <c r="B11" s="119">
        <v>46103</v>
      </c>
      <c r="C11" s="163" t="s">
        <v>74</v>
      </c>
      <c r="D11" s="4">
        <v>16.5</v>
      </c>
      <c r="G11" t="s">
        <v>661</v>
      </c>
    </row>
    <row r="12" spans="1:9" x14ac:dyDescent="0.25">
      <c r="A12" s="13">
        <v>278</v>
      </c>
      <c r="B12" s="119">
        <v>46104</v>
      </c>
      <c r="C12" s="163" t="s">
        <v>74</v>
      </c>
      <c r="D12" s="4">
        <v>22</v>
      </c>
      <c r="G12" t="s">
        <v>665</v>
      </c>
      <c r="H12" s="340" t="s">
        <v>666</v>
      </c>
    </row>
    <row r="13" spans="1:9" x14ac:dyDescent="0.25">
      <c r="A13" s="13">
        <v>279</v>
      </c>
      <c r="B13" s="119">
        <v>46106</v>
      </c>
      <c r="C13" s="163" t="s">
        <v>74</v>
      </c>
      <c r="D13" s="4">
        <v>22</v>
      </c>
      <c r="G13" t="s">
        <v>667</v>
      </c>
      <c r="H13" s="340" t="s">
        <v>668</v>
      </c>
    </row>
    <row r="14" spans="1:9" x14ac:dyDescent="0.25">
      <c r="B14" s="326"/>
      <c r="D14" s="326"/>
    </row>
    <row r="15" spans="1:9" x14ac:dyDescent="0.25">
      <c r="B15" s="326"/>
      <c r="D15" s="326"/>
    </row>
    <row r="16" spans="1:9" x14ac:dyDescent="0.25">
      <c r="B16" s="326"/>
      <c r="D16" s="326"/>
    </row>
    <row r="17" spans="2:8" x14ac:dyDescent="0.25">
      <c r="B17" s="326"/>
      <c r="D17" s="326"/>
    </row>
    <row r="18" spans="2:8" x14ac:dyDescent="0.25">
      <c r="B18" s="326"/>
      <c r="D18" s="326"/>
    </row>
    <row r="19" spans="2:8" x14ac:dyDescent="0.25">
      <c r="B19" s="326"/>
      <c r="D19" s="326"/>
    </row>
    <row r="20" spans="2:8" x14ac:dyDescent="0.25">
      <c r="B20" s="326"/>
      <c r="D20" s="326"/>
    </row>
    <row r="21" spans="2:8" x14ac:dyDescent="0.25">
      <c r="B21" s="326"/>
      <c r="D21" s="326"/>
    </row>
    <row r="22" spans="2:8" x14ac:dyDescent="0.25">
      <c r="B22" s="326"/>
      <c r="D22" s="326"/>
    </row>
    <row r="23" spans="2:8" x14ac:dyDescent="0.25">
      <c r="B23" s="326"/>
      <c r="D23" s="326"/>
    </row>
    <row r="24" spans="2:8" x14ac:dyDescent="0.25">
      <c r="B24" s="326"/>
      <c r="D24" s="326"/>
      <c r="H24" t="s">
        <v>916</v>
      </c>
    </row>
    <row r="25" spans="2:8" x14ac:dyDescent="0.25">
      <c r="B25" s="326"/>
      <c r="D25" s="326"/>
    </row>
    <row r="26" spans="2:8" x14ac:dyDescent="0.25">
      <c r="B26" s="326"/>
      <c r="D26" s="326"/>
    </row>
  </sheetData>
  <conditionalFormatting sqref="B4:B13">
    <cfRule type="expression" dxfId="0" priority="1">
      <formula>ISODD($AB4)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B1:V29"/>
  <sheetViews>
    <sheetView zoomScale="85" zoomScaleNormal="85" workbookViewId="0">
      <selection activeCell="K26" sqref="K26"/>
    </sheetView>
  </sheetViews>
  <sheetFormatPr defaultRowHeight="15" x14ac:dyDescent="0.25"/>
  <sheetData>
    <row r="1" spans="2:22" ht="18.75" x14ac:dyDescent="0.25">
      <c r="E1" s="301" t="s">
        <v>669</v>
      </c>
      <c r="F1" s="302" t="s">
        <v>117</v>
      </c>
      <c r="G1" s="86"/>
      <c r="H1" s="86"/>
      <c r="I1" s="86"/>
      <c r="J1" s="86"/>
    </row>
    <row r="2" spans="2:22" ht="30" x14ac:dyDescent="0.25">
      <c r="C2" s="123" t="s">
        <v>120</v>
      </c>
      <c r="D2" s="124" t="s">
        <v>121</v>
      </c>
      <c r="E2" s="125" t="s">
        <v>122</v>
      </c>
      <c r="F2" s="124" t="s">
        <v>124</v>
      </c>
      <c r="G2" s="123" t="s">
        <v>125</v>
      </c>
      <c r="H2" s="218" t="s">
        <v>433</v>
      </c>
      <c r="I2" s="123" t="s">
        <v>434</v>
      </c>
      <c r="J2" s="123" t="s">
        <v>424</v>
      </c>
      <c r="K2" s="123" t="s">
        <v>435</v>
      </c>
      <c r="L2" s="135" t="s">
        <v>440</v>
      </c>
      <c r="M2" s="148" t="s">
        <v>470</v>
      </c>
      <c r="N2" s="148" t="s">
        <v>471</v>
      </c>
    </row>
    <row r="3" spans="2:22" x14ac:dyDescent="0.25">
      <c r="B3" s="164" t="s">
        <v>585</v>
      </c>
      <c r="C3" s="303" t="s">
        <v>588</v>
      </c>
      <c r="D3" s="303"/>
      <c r="E3" s="303"/>
      <c r="F3" s="303" t="s">
        <v>478</v>
      </c>
      <c r="G3" s="303" t="s">
        <v>586</v>
      </c>
      <c r="H3" s="303"/>
      <c r="I3" s="303" t="s">
        <v>417</v>
      </c>
      <c r="J3" s="303"/>
      <c r="K3" s="303" t="s">
        <v>670</v>
      </c>
      <c r="L3" s="303" t="s">
        <v>122</v>
      </c>
      <c r="M3" s="303" t="s">
        <v>97</v>
      </c>
      <c r="N3" s="303"/>
    </row>
    <row r="4" spans="2:22" ht="28.5" customHeight="1" thickBot="1" x14ac:dyDescent="0.3">
      <c r="B4" s="304" t="s">
        <v>432</v>
      </c>
      <c r="C4" s="304" t="s">
        <v>120</v>
      </c>
      <c r="D4" s="304" t="s">
        <v>121</v>
      </c>
      <c r="E4" s="304" t="s">
        <v>122</v>
      </c>
      <c r="F4" s="304" t="s">
        <v>124</v>
      </c>
      <c r="G4" s="304" t="s">
        <v>125</v>
      </c>
      <c r="H4" s="304" t="s">
        <v>433</v>
      </c>
      <c r="I4" s="304" t="s">
        <v>434</v>
      </c>
      <c r="J4" s="304" t="s">
        <v>424</v>
      </c>
      <c r="K4" s="304" t="s">
        <v>435</v>
      </c>
      <c r="L4" s="304" t="s">
        <v>440</v>
      </c>
      <c r="M4" s="304"/>
      <c r="N4" s="304"/>
    </row>
    <row r="5" spans="2:22" ht="15.75" thickBot="1" x14ac:dyDescent="0.3">
      <c r="Q5" s="231" t="s">
        <v>120</v>
      </c>
      <c r="R5" s="100" t="s">
        <v>123</v>
      </c>
      <c r="S5" s="100" t="s">
        <v>125</v>
      </c>
      <c r="T5" s="106" t="s">
        <v>434</v>
      </c>
      <c r="U5" s="108" t="s">
        <v>435</v>
      </c>
      <c r="V5" s="145" t="s">
        <v>587</v>
      </c>
    </row>
    <row r="6" spans="2:22" x14ac:dyDescent="0.25">
      <c r="Q6" t="s">
        <v>588</v>
      </c>
      <c r="R6" s="102" t="str">
        <f>""</f>
        <v/>
      </c>
      <c r="S6" s="102" t="str">
        <f>"&gt;1"</f>
        <v>&gt;1</v>
      </c>
      <c r="T6" s="102" t="s">
        <v>589</v>
      </c>
      <c r="U6" s="143" t="str">
        <f>"&gt;1"</f>
        <v>&gt;1</v>
      </c>
      <c r="V6" s="146" t="s">
        <v>155</v>
      </c>
    </row>
    <row r="7" spans="2:22" ht="15.75" thickBot="1" x14ac:dyDescent="0.3">
      <c r="Q7" t="s">
        <v>1</v>
      </c>
      <c r="R7" s="3" t="s">
        <v>140</v>
      </c>
      <c r="S7" s="3">
        <v>7</v>
      </c>
      <c r="T7" s="107" t="s">
        <v>417</v>
      </c>
      <c r="U7" s="144" t="str">
        <f>"&lt;&gt; "</f>
        <v xml:space="preserve">&lt;&gt; </v>
      </c>
      <c r="V7" s="104" t="s">
        <v>590</v>
      </c>
    </row>
    <row r="8" spans="2:22" x14ac:dyDescent="0.25">
      <c r="Q8" t="s">
        <v>327</v>
      </c>
      <c r="R8" s="3" t="s">
        <v>165</v>
      </c>
      <c r="S8" s="3">
        <v>8</v>
      </c>
      <c r="T8" s="104" t="s">
        <v>591</v>
      </c>
      <c r="V8" s="147" t="s">
        <v>592</v>
      </c>
    </row>
    <row r="9" spans="2:22" ht="15.75" thickBot="1" x14ac:dyDescent="0.3">
      <c r="Q9" t="s">
        <v>353</v>
      </c>
      <c r="R9" s="3" t="s">
        <v>476</v>
      </c>
      <c r="S9" s="3">
        <v>9</v>
      </c>
      <c r="T9" s="147"/>
      <c r="V9" s="101" t="s">
        <v>122</v>
      </c>
    </row>
    <row r="10" spans="2:22" x14ac:dyDescent="0.25">
      <c r="Q10" t="s">
        <v>7</v>
      </c>
      <c r="R10" s="3" t="s">
        <v>593</v>
      </c>
      <c r="S10" s="104">
        <v>10</v>
      </c>
    </row>
    <row r="11" spans="2:22" x14ac:dyDescent="0.25">
      <c r="Q11" t="s">
        <v>594</v>
      </c>
      <c r="R11" s="3" t="s">
        <v>595</v>
      </c>
      <c r="S11" s="104">
        <v>11</v>
      </c>
    </row>
    <row r="12" spans="2:22" x14ac:dyDescent="0.25">
      <c r="Q12" t="s">
        <v>102</v>
      </c>
      <c r="R12" s="3" t="s">
        <v>157</v>
      </c>
      <c r="S12" s="104">
        <v>12</v>
      </c>
    </row>
    <row r="13" spans="2:22" x14ac:dyDescent="0.25">
      <c r="Q13" t="s">
        <v>21</v>
      </c>
      <c r="R13" s="3"/>
      <c r="S13" s="104">
        <v>13</v>
      </c>
    </row>
    <row r="14" spans="2:22" x14ac:dyDescent="0.25">
      <c r="Q14" t="s">
        <v>29</v>
      </c>
      <c r="R14" s="3"/>
      <c r="S14" s="104">
        <v>14</v>
      </c>
    </row>
    <row r="15" spans="2:22" x14ac:dyDescent="0.25">
      <c r="Q15" t="s">
        <v>253</v>
      </c>
      <c r="R15" s="3"/>
      <c r="S15" s="104">
        <v>15</v>
      </c>
    </row>
    <row r="16" spans="2:22" x14ac:dyDescent="0.25">
      <c r="Q16" t="s">
        <v>596</v>
      </c>
      <c r="R16" s="3"/>
      <c r="S16" s="104">
        <v>16</v>
      </c>
    </row>
    <row r="17" spans="17:19" x14ac:dyDescent="0.25">
      <c r="Q17" t="s">
        <v>232</v>
      </c>
      <c r="R17" s="8"/>
      <c r="S17" s="104">
        <v>16.5</v>
      </c>
    </row>
    <row r="18" spans="17:19" x14ac:dyDescent="0.25">
      <c r="Q18" t="s">
        <v>39</v>
      </c>
      <c r="R18" s="8"/>
      <c r="S18" s="104">
        <v>17.5</v>
      </c>
    </row>
    <row r="19" spans="17:19" x14ac:dyDescent="0.25">
      <c r="Q19" t="s">
        <v>57</v>
      </c>
      <c r="R19" s="8"/>
      <c r="S19" s="104">
        <v>18</v>
      </c>
    </row>
    <row r="20" spans="17:19" x14ac:dyDescent="0.25">
      <c r="Q20" t="s">
        <v>80</v>
      </c>
      <c r="R20" s="8"/>
      <c r="S20" s="104">
        <v>18.5</v>
      </c>
    </row>
    <row r="21" spans="17:19" x14ac:dyDescent="0.25">
      <c r="Q21" t="s">
        <v>74</v>
      </c>
      <c r="R21" s="8"/>
      <c r="S21" s="104">
        <v>19</v>
      </c>
    </row>
    <row r="22" spans="17:19" x14ac:dyDescent="0.25">
      <c r="Q22" t="s">
        <v>77</v>
      </c>
      <c r="R22" s="8"/>
      <c r="S22" s="104">
        <v>19</v>
      </c>
    </row>
    <row r="23" spans="17:19" ht="15.75" thickBot="1" x14ac:dyDescent="0.3">
      <c r="Q23" t="s">
        <v>86</v>
      </c>
      <c r="R23" s="103"/>
      <c r="S23" s="104">
        <v>20</v>
      </c>
    </row>
    <row r="24" spans="17:19" x14ac:dyDescent="0.25">
      <c r="Q24" t="s">
        <v>105</v>
      </c>
      <c r="S24" s="104">
        <v>21</v>
      </c>
    </row>
    <row r="25" spans="17:19" x14ac:dyDescent="0.25">
      <c r="Q25" t="s">
        <v>597</v>
      </c>
      <c r="S25" s="104">
        <v>22</v>
      </c>
    </row>
    <row r="26" spans="17:19" x14ac:dyDescent="0.25">
      <c r="Q26" t="s">
        <v>95</v>
      </c>
      <c r="S26" s="104">
        <v>23</v>
      </c>
    </row>
    <row r="27" spans="17:19" x14ac:dyDescent="0.25">
      <c r="Q27" t="s">
        <v>108</v>
      </c>
      <c r="S27" s="104">
        <v>24</v>
      </c>
    </row>
    <row r="28" spans="17:19" x14ac:dyDescent="0.25">
      <c r="Q28" t="s">
        <v>92</v>
      </c>
      <c r="S28" s="104">
        <v>27</v>
      </c>
    </row>
    <row r="29" spans="17:19" x14ac:dyDescent="0.25">
      <c r="R29" s="4"/>
      <c r="S29" s="104"/>
    </row>
  </sheetData>
  <dataValidations count="5">
    <dataValidation type="list" allowBlank="1" showInputMessage="1" showErrorMessage="1" sqref="C3" xr:uid="{00000000-0002-0000-0A00-000000000000}">
      <formula1>$Q$6:$Q$30</formula1>
    </dataValidation>
    <dataValidation type="list" allowBlank="1" showInputMessage="1" showErrorMessage="1" sqref="G3" xr:uid="{00000000-0002-0000-0A00-000001000000}">
      <formula1>$S$6:$S$29</formula1>
    </dataValidation>
    <dataValidation type="list" allowBlank="1" showInputMessage="1" showErrorMessage="1" sqref="I3" xr:uid="{00000000-0002-0000-0A00-000002000000}">
      <formula1>$T$6:$T$9</formula1>
    </dataValidation>
    <dataValidation type="list" allowBlank="1" showInputMessage="1" showErrorMessage="1" sqref="K3" xr:uid="{00000000-0002-0000-0A00-000003000000}">
      <formula1>$U$6:$U$7</formula1>
    </dataValidation>
    <dataValidation type="list" allowBlank="1" showInputMessage="1" showErrorMessage="1" sqref="L3" xr:uid="{00000000-0002-0000-0A00-000004000000}">
      <formula1>$V$6:$V$9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089E-2EBF-40C5-AB6E-D26BAF7D90E1}">
  <dimension ref="A1:U22"/>
  <sheetViews>
    <sheetView workbookViewId="0">
      <selection activeCell="A17" sqref="A17"/>
    </sheetView>
  </sheetViews>
  <sheetFormatPr defaultRowHeight="15" x14ac:dyDescent="0.25"/>
  <cols>
    <col min="1" max="1" width="10.42578125" customWidth="1"/>
    <col min="3" max="3" width="28.5703125" customWidth="1"/>
    <col min="6" max="6" width="10.5703125" customWidth="1"/>
    <col min="13" max="13" width="9.5703125" customWidth="1"/>
  </cols>
  <sheetData>
    <row r="1" spans="1:21" x14ac:dyDescent="0.25">
      <c r="C1" t="s">
        <v>671</v>
      </c>
    </row>
    <row r="2" spans="1:21" x14ac:dyDescent="0.25">
      <c r="D2" s="4" t="s">
        <v>672</v>
      </c>
      <c r="E2" s="68" t="s">
        <v>673</v>
      </c>
      <c r="F2" s="4" t="s">
        <v>122</v>
      </c>
      <c r="G2" s="4" t="s">
        <v>674</v>
      </c>
      <c r="H2" s="4" t="s">
        <v>675</v>
      </c>
    </row>
    <row r="3" spans="1:21" x14ac:dyDescent="0.25">
      <c r="D3" t="s">
        <v>676</v>
      </c>
      <c r="E3" s="68" t="s">
        <v>676</v>
      </c>
      <c r="G3" t="s">
        <v>125</v>
      </c>
      <c r="H3" t="s">
        <v>677</v>
      </c>
      <c r="L3" t="s">
        <v>678</v>
      </c>
    </row>
    <row r="4" spans="1:21" x14ac:dyDescent="0.25">
      <c r="L4" s="171">
        <v>46032</v>
      </c>
      <c r="M4">
        <v>40</v>
      </c>
    </row>
    <row r="5" spans="1:21" x14ac:dyDescent="0.25">
      <c r="A5" s="171">
        <v>45834</v>
      </c>
      <c r="B5" t="s">
        <v>679</v>
      </c>
      <c r="C5" t="s">
        <v>680</v>
      </c>
      <c r="D5">
        <v>860</v>
      </c>
      <c r="E5">
        <v>880</v>
      </c>
      <c r="F5" s="171">
        <v>45838</v>
      </c>
      <c r="G5" t="s">
        <v>681</v>
      </c>
      <c r="H5">
        <v>840</v>
      </c>
      <c r="I5" s="303">
        <f t="shared" ref="I5:I6" si="0">E5-H5</f>
        <v>40</v>
      </c>
    </row>
    <row r="6" spans="1:21" x14ac:dyDescent="0.25">
      <c r="A6" s="171">
        <v>45844</v>
      </c>
      <c r="B6" t="s">
        <v>682</v>
      </c>
      <c r="C6" t="s">
        <v>683</v>
      </c>
      <c r="D6">
        <v>1070</v>
      </c>
      <c r="E6">
        <v>1130</v>
      </c>
      <c r="F6" s="171">
        <v>45856</v>
      </c>
      <c r="G6">
        <v>19.3</v>
      </c>
      <c r="H6">
        <v>1080</v>
      </c>
      <c r="I6" s="303">
        <f t="shared" si="0"/>
        <v>50</v>
      </c>
      <c r="S6" s="308"/>
      <c r="U6" s="308"/>
    </row>
    <row r="7" spans="1:21" x14ac:dyDescent="0.25">
      <c r="A7" s="171"/>
      <c r="E7">
        <f>SUM(E5:E6)</f>
        <v>2010</v>
      </c>
      <c r="F7" s="171"/>
      <c r="H7">
        <f>SUM(H5:H6)</f>
        <v>1920</v>
      </c>
      <c r="I7">
        <f>SUM(I5:I6)</f>
        <v>90</v>
      </c>
      <c r="S7" s="308"/>
      <c r="U7" s="308"/>
    </row>
    <row r="8" spans="1:21" x14ac:dyDescent="0.25">
      <c r="A8" s="171"/>
      <c r="F8" s="171"/>
      <c r="H8" t="s">
        <v>684</v>
      </c>
      <c r="S8" s="308"/>
      <c r="U8" s="308"/>
    </row>
    <row r="9" spans="1:21" x14ac:dyDescent="0.25">
      <c r="F9" t="s">
        <v>685</v>
      </c>
      <c r="H9">
        <v>90</v>
      </c>
      <c r="M9" s="171"/>
      <c r="S9" s="308"/>
      <c r="U9" s="308"/>
    </row>
    <row r="10" spans="1:21" x14ac:dyDescent="0.25">
      <c r="H10">
        <v>-30</v>
      </c>
      <c r="S10" s="308"/>
      <c r="U10" s="308"/>
    </row>
    <row r="11" spans="1:21" x14ac:dyDescent="0.25">
      <c r="G11" t="s">
        <v>686</v>
      </c>
      <c r="H11">
        <f>SUM(H9:H10)</f>
        <v>60</v>
      </c>
      <c r="I11">
        <v>4500</v>
      </c>
      <c r="S11" s="308"/>
      <c r="U11" s="308"/>
    </row>
    <row r="12" spans="1:21" x14ac:dyDescent="0.25">
      <c r="S12" s="308"/>
      <c r="U12" s="308"/>
    </row>
    <row r="13" spans="1:21" x14ac:dyDescent="0.25">
      <c r="S13" s="308"/>
      <c r="U13" s="308"/>
    </row>
    <row r="14" spans="1:21" x14ac:dyDescent="0.25">
      <c r="U14" s="308"/>
    </row>
    <row r="17" spans="1:9" x14ac:dyDescent="0.25">
      <c r="A17" s="171">
        <v>45806</v>
      </c>
      <c r="B17" t="s">
        <v>687</v>
      </c>
      <c r="C17" t="s">
        <v>688</v>
      </c>
      <c r="D17">
        <v>2080</v>
      </c>
      <c r="E17">
        <v>2060</v>
      </c>
      <c r="F17" s="171">
        <v>45814</v>
      </c>
      <c r="G17">
        <v>13.5</v>
      </c>
      <c r="H17">
        <v>2040</v>
      </c>
      <c r="I17">
        <f>E17-H17</f>
        <v>20</v>
      </c>
    </row>
    <row r="18" spans="1:9" x14ac:dyDescent="0.25">
      <c r="A18" s="171">
        <v>45829</v>
      </c>
      <c r="B18" t="s">
        <v>689</v>
      </c>
      <c r="C18" t="s">
        <v>690</v>
      </c>
      <c r="D18">
        <v>2955</v>
      </c>
      <c r="E18">
        <v>2960</v>
      </c>
      <c r="F18" s="171">
        <v>45836</v>
      </c>
      <c r="G18">
        <v>19.3</v>
      </c>
      <c r="H18">
        <v>2920</v>
      </c>
      <c r="I18">
        <f>E18-H18</f>
        <v>40</v>
      </c>
    </row>
    <row r="19" spans="1:9" x14ac:dyDescent="0.25">
      <c r="A19" s="171">
        <v>45834</v>
      </c>
      <c r="B19" t="s">
        <v>679</v>
      </c>
      <c r="C19" t="s">
        <v>680</v>
      </c>
      <c r="D19">
        <v>860</v>
      </c>
      <c r="E19">
        <v>880</v>
      </c>
      <c r="F19" s="171">
        <v>45838</v>
      </c>
      <c r="G19" t="s">
        <v>681</v>
      </c>
      <c r="H19">
        <v>840</v>
      </c>
      <c r="I19" s="303">
        <f t="shared" ref="I19:I22" si="1">E19-H19</f>
        <v>40</v>
      </c>
    </row>
    <row r="20" spans="1:9" x14ac:dyDescent="0.25">
      <c r="A20" s="171">
        <v>45844</v>
      </c>
      <c r="B20" t="s">
        <v>682</v>
      </c>
      <c r="C20" t="s">
        <v>683</v>
      </c>
      <c r="D20">
        <v>1070</v>
      </c>
      <c r="E20">
        <v>1130</v>
      </c>
      <c r="F20" s="171">
        <v>45856</v>
      </c>
      <c r="G20">
        <v>19.3</v>
      </c>
      <c r="H20">
        <v>1080</v>
      </c>
      <c r="I20" s="303">
        <f t="shared" si="1"/>
        <v>50</v>
      </c>
    </row>
    <row r="21" spans="1:9" x14ac:dyDescent="0.25">
      <c r="A21" s="171">
        <v>45870</v>
      </c>
      <c r="B21" t="s">
        <v>691</v>
      </c>
      <c r="C21" t="s">
        <v>692</v>
      </c>
      <c r="D21">
        <v>1040</v>
      </c>
      <c r="E21">
        <v>1040</v>
      </c>
      <c r="F21" s="171">
        <v>45881</v>
      </c>
      <c r="G21">
        <v>20</v>
      </c>
      <c r="H21">
        <v>1060</v>
      </c>
      <c r="I21">
        <f t="shared" si="1"/>
        <v>-20</v>
      </c>
    </row>
    <row r="22" spans="1:9" x14ac:dyDescent="0.25">
      <c r="A22" s="171">
        <v>45870</v>
      </c>
      <c r="B22" t="s">
        <v>693</v>
      </c>
      <c r="C22" t="s">
        <v>683</v>
      </c>
      <c r="D22">
        <v>1095</v>
      </c>
      <c r="E22">
        <v>1060</v>
      </c>
      <c r="F22" s="171">
        <v>45882</v>
      </c>
      <c r="G22">
        <v>18.5</v>
      </c>
      <c r="H22">
        <v>1060</v>
      </c>
      <c r="I22">
        <f t="shared" si="1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A7464-69B7-4084-8474-0C7160B49E1E}">
  <dimension ref="A1:V52"/>
  <sheetViews>
    <sheetView topLeftCell="C25" zoomScaleNormal="100" workbookViewId="0">
      <selection activeCell="S2" activeCellId="1" sqref="V2 S2"/>
    </sheetView>
  </sheetViews>
  <sheetFormatPr defaultRowHeight="15" x14ac:dyDescent="0.25"/>
  <cols>
    <col min="1" max="1" width="5.7109375" customWidth="1"/>
    <col min="2" max="2" width="6.7109375" customWidth="1"/>
    <col min="3" max="3" width="21.7109375" customWidth="1"/>
    <col min="4" max="4" width="5.7109375" customWidth="1"/>
    <col min="5" max="5" width="6.7109375" customWidth="1"/>
    <col min="6" max="6" width="21.7109375" customWidth="1"/>
    <col min="7" max="7" width="5.7109375" customWidth="1"/>
    <col min="8" max="8" width="6.7109375" customWidth="1"/>
    <col min="9" max="9" width="21.7109375" customWidth="1"/>
    <col min="10" max="10" width="5.7109375" customWidth="1"/>
    <col min="11" max="11" width="6.7109375" customWidth="1"/>
    <col min="12" max="12" width="12.7109375" customWidth="1"/>
    <col min="14" max="14" width="5.7109375" customWidth="1"/>
    <col min="16" max="16" width="29.7109375" customWidth="1"/>
    <col min="17" max="17" width="5.7109375" customWidth="1"/>
    <col min="19" max="19" width="29.7109375" customWidth="1"/>
    <col min="20" max="20" width="5.7109375" customWidth="1"/>
    <col min="22" max="22" width="29.7109375" customWidth="1"/>
  </cols>
  <sheetData>
    <row r="1" spans="1:22" ht="15.75" x14ac:dyDescent="0.25">
      <c r="A1" s="341"/>
      <c r="B1" s="341"/>
      <c r="C1" s="342" t="s">
        <v>694</v>
      </c>
      <c r="D1" s="341"/>
      <c r="E1" s="341"/>
      <c r="F1" s="342" t="s">
        <v>694</v>
      </c>
      <c r="G1" s="341"/>
      <c r="H1" s="341"/>
      <c r="I1" s="342" t="s">
        <v>694</v>
      </c>
      <c r="J1" s="341"/>
      <c r="K1" s="342"/>
      <c r="L1" s="341"/>
    </row>
    <row r="2" spans="1:22" ht="21" x14ac:dyDescent="0.35">
      <c r="A2" s="343">
        <v>1</v>
      </c>
      <c r="B2" s="344" t="s">
        <v>695</v>
      </c>
      <c r="C2" s="344" t="s">
        <v>696</v>
      </c>
      <c r="D2" s="343">
        <v>1</v>
      </c>
      <c r="E2" s="345" t="s">
        <v>695</v>
      </c>
      <c r="F2" s="344" t="s">
        <v>696</v>
      </c>
      <c r="G2" s="343">
        <v>1</v>
      </c>
      <c r="H2" s="345" t="s">
        <v>695</v>
      </c>
      <c r="I2" s="344" t="s">
        <v>696</v>
      </c>
      <c r="J2" s="343"/>
      <c r="K2" s="342"/>
      <c r="L2" s="342"/>
      <c r="N2" s="450"/>
      <c r="O2" s="450"/>
      <c r="P2" s="451" t="s">
        <v>697</v>
      </c>
      <c r="Q2" s="450"/>
      <c r="R2" s="450"/>
      <c r="S2" s="451" t="s">
        <v>697</v>
      </c>
      <c r="T2" s="450"/>
      <c r="U2" s="450"/>
      <c r="V2" s="451" t="s">
        <v>697</v>
      </c>
    </row>
    <row r="3" spans="1:22" ht="21" x14ac:dyDescent="0.35">
      <c r="A3" s="343">
        <v>2</v>
      </c>
      <c r="B3" s="344" t="s">
        <v>695</v>
      </c>
      <c r="C3" s="344" t="s">
        <v>698</v>
      </c>
      <c r="D3" s="343">
        <v>2</v>
      </c>
      <c r="E3" s="345" t="s">
        <v>695</v>
      </c>
      <c r="F3" s="344" t="s">
        <v>698</v>
      </c>
      <c r="G3" s="343">
        <v>2</v>
      </c>
      <c r="H3" s="345" t="s">
        <v>695</v>
      </c>
      <c r="I3" s="344" t="s">
        <v>698</v>
      </c>
      <c r="J3" s="343"/>
      <c r="K3" s="342"/>
      <c r="L3" s="342"/>
      <c r="N3" s="452">
        <v>1</v>
      </c>
      <c r="O3" s="453" t="s">
        <v>695</v>
      </c>
      <c r="P3" s="453" t="s">
        <v>696</v>
      </c>
      <c r="Q3" s="452">
        <v>1</v>
      </c>
      <c r="R3" s="454" t="s">
        <v>695</v>
      </c>
      <c r="S3" s="453" t="s">
        <v>696</v>
      </c>
      <c r="T3" s="452">
        <v>1</v>
      </c>
      <c r="U3" s="454" t="s">
        <v>695</v>
      </c>
      <c r="V3" s="453" t="s">
        <v>696</v>
      </c>
    </row>
    <row r="4" spans="1:22" ht="21" x14ac:dyDescent="0.35">
      <c r="A4" s="343">
        <v>3</v>
      </c>
      <c r="B4" s="387" t="s">
        <v>699</v>
      </c>
      <c r="C4" s="387" t="s">
        <v>696</v>
      </c>
      <c r="D4" s="343">
        <v>3</v>
      </c>
      <c r="E4" s="387" t="s">
        <v>699</v>
      </c>
      <c r="F4" s="387" t="s">
        <v>696</v>
      </c>
      <c r="G4" s="343">
        <v>3</v>
      </c>
      <c r="H4" s="387" t="s">
        <v>699</v>
      </c>
      <c r="I4" s="387" t="s">
        <v>696</v>
      </c>
      <c r="J4" s="343"/>
      <c r="K4" s="342"/>
      <c r="L4" s="342"/>
      <c r="N4" s="452">
        <v>2</v>
      </c>
      <c r="O4" s="453" t="s">
        <v>695</v>
      </c>
      <c r="P4" s="453" t="s">
        <v>698</v>
      </c>
      <c r="Q4" s="452">
        <v>2</v>
      </c>
      <c r="R4" s="454" t="s">
        <v>695</v>
      </c>
      <c r="S4" s="453" t="s">
        <v>698</v>
      </c>
      <c r="T4" s="452">
        <v>2</v>
      </c>
      <c r="U4" s="454" t="s">
        <v>695</v>
      </c>
      <c r="V4" s="453" t="s">
        <v>698</v>
      </c>
    </row>
    <row r="5" spans="1:22" ht="21" x14ac:dyDescent="0.35">
      <c r="A5" s="343">
        <v>4</v>
      </c>
      <c r="B5" s="387" t="s">
        <v>699</v>
      </c>
      <c r="C5" s="387" t="s">
        <v>698</v>
      </c>
      <c r="D5" s="343">
        <v>4</v>
      </c>
      <c r="E5" s="387" t="s">
        <v>699</v>
      </c>
      <c r="F5" s="387" t="s">
        <v>698</v>
      </c>
      <c r="G5" s="343">
        <v>4</v>
      </c>
      <c r="H5" s="387" t="s">
        <v>699</v>
      </c>
      <c r="I5" s="387" t="s">
        <v>698</v>
      </c>
      <c r="J5" s="343"/>
      <c r="K5" s="342"/>
      <c r="L5" s="342"/>
      <c r="N5" s="452">
        <v>3</v>
      </c>
      <c r="O5" s="455" t="s">
        <v>699</v>
      </c>
      <c r="P5" s="455" t="s">
        <v>696</v>
      </c>
      <c r="Q5" s="452">
        <v>3</v>
      </c>
      <c r="R5" s="455" t="s">
        <v>699</v>
      </c>
      <c r="S5" s="455" t="s">
        <v>696</v>
      </c>
      <c r="T5" s="452">
        <v>3</v>
      </c>
      <c r="U5" s="455" t="s">
        <v>699</v>
      </c>
      <c r="V5" s="455" t="s">
        <v>696</v>
      </c>
    </row>
    <row r="6" spans="1:22" ht="21" x14ac:dyDescent="0.35">
      <c r="A6" s="343">
        <v>5</v>
      </c>
      <c r="B6" s="387" t="s">
        <v>699</v>
      </c>
      <c r="C6" s="387" t="s">
        <v>700</v>
      </c>
      <c r="D6" s="343">
        <v>5</v>
      </c>
      <c r="E6" s="387" t="s">
        <v>699</v>
      </c>
      <c r="F6" s="387" t="s">
        <v>700</v>
      </c>
      <c r="G6" s="343">
        <v>5</v>
      </c>
      <c r="H6" s="387" t="s">
        <v>699</v>
      </c>
      <c r="I6" s="387" t="s">
        <v>700</v>
      </c>
      <c r="J6" s="343"/>
      <c r="K6" s="342"/>
      <c r="L6" s="342"/>
      <c r="N6" s="452">
        <v>4</v>
      </c>
      <c r="O6" s="455" t="s">
        <v>699</v>
      </c>
      <c r="P6" s="455" t="s">
        <v>698</v>
      </c>
      <c r="Q6" s="452">
        <v>4</v>
      </c>
      <c r="R6" s="455" t="s">
        <v>699</v>
      </c>
      <c r="S6" s="455" t="s">
        <v>698</v>
      </c>
      <c r="T6" s="452">
        <v>4</v>
      </c>
      <c r="U6" s="455" t="s">
        <v>699</v>
      </c>
      <c r="V6" s="455" t="s">
        <v>698</v>
      </c>
    </row>
    <row r="7" spans="1:22" ht="21" x14ac:dyDescent="0.35">
      <c r="A7" s="343">
        <v>6</v>
      </c>
      <c r="B7" s="387" t="s">
        <v>699</v>
      </c>
      <c r="C7" s="387" t="s">
        <v>701</v>
      </c>
      <c r="D7" s="343">
        <v>6</v>
      </c>
      <c r="E7" s="387" t="s">
        <v>699</v>
      </c>
      <c r="F7" s="387" t="s">
        <v>701</v>
      </c>
      <c r="G7" s="343">
        <v>6</v>
      </c>
      <c r="H7" s="387" t="s">
        <v>699</v>
      </c>
      <c r="I7" s="387" t="s">
        <v>701</v>
      </c>
      <c r="J7" s="343"/>
      <c r="K7" s="342"/>
      <c r="L7" s="342"/>
      <c r="N7" s="452">
        <v>5</v>
      </c>
      <c r="O7" s="455" t="s">
        <v>699</v>
      </c>
      <c r="P7" s="455" t="s">
        <v>700</v>
      </c>
      <c r="Q7" s="452">
        <v>5</v>
      </c>
      <c r="R7" s="455" t="s">
        <v>699</v>
      </c>
      <c r="S7" s="455" t="s">
        <v>700</v>
      </c>
      <c r="T7" s="452">
        <v>5</v>
      </c>
      <c r="U7" s="455" t="s">
        <v>699</v>
      </c>
      <c r="V7" s="455" t="s">
        <v>700</v>
      </c>
    </row>
    <row r="8" spans="1:22" ht="21" x14ac:dyDescent="0.35">
      <c r="A8" s="343">
        <v>7</v>
      </c>
      <c r="B8" s="387" t="s">
        <v>699</v>
      </c>
      <c r="C8" s="387" t="s">
        <v>702</v>
      </c>
      <c r="D8" s="343">
        <v>7</v>
      </c>
      <c r="E8" s="387" t="s">
        <v>699</v>
      </c>
      <c r="F8" s="387" t="s">
        <v>702</v>
      </c>
      <c r="G8" s="343">
        <v>7</v>
      </c>
      <c r="H8" s="387" t="s">
        <v>699</v>
      </c>
      <c r="I8" s="387" t="s">
        <v>702</v>
      </c>
      <c r="J8" s="343"/>
      <c r="K8" s="342"/>
      <c r="L8" s="342"/>
      <c r="N8" s="452">
        <v>6</v>
      </c>
      <c r="O8" s="455" t="s">
        <v>699</v>
      </c>
      <c r="P8" s="455" t="s">
        <v>701</v>
      </c>
      <c r="Q8" s="452">
        <v>6</v>
      </c>
      <c r="R8" s="455" t="s">
        <v>699</v>
      </c>
      <c r="S8" s="455" t="s">
        <v>701</v>
      </c>
      <c r="T8" s="452">
        <v>6</v>
      </c>
      <c r="U8" s="455" t="s">
        <v>699</v>
      </c>
      <c r="V8" s="455" t="s">
        <v>701</v>
      </c>
    </row>
    <row r="9" spans="1:22" ht="21" x14ac:dyDescent="0.35">
      <c r="A9" s="343">
        <v>8</v>
      </c>
      <c r="B9" s="387" t="s">
        <v>699</v>
      </c>
      <c r="C9" s="387" t="s">
        <v>703</v>
      </c>
      <c r="D9" s="343">
        <v>8</v>
      </c>
      <c r="E9" s="387" t="s">
        <v>699</v>
      </c>
      <c r="F9" s="387" t="s">
        <v>703</v>
      </c>
      <c r="G9" s="343">
        <v>8</v>
      </c>
      <c r="H9" s="387" t="s">
        <v>699</v>
      </c>
      <c r="I9" s="387" t="s">
        <v>703</v>
      </c>
      <c r="J9" s="343"/>
      <c r="K9" s="342"/>
      <c r="L9" s="342"/>
      <c r="N9" s="452">
        <v>7</v>
      </c>
      <c r="O9" s="455" t="s">
        <v>699</v>
      </c>
      <c r="P9" s="455" t="s">
        <v>702</v>
      </c>
      <c r="Q9" s="452">
        <v>7</v>
      </c>
      <c r="R9" s="455" t="s">
        <v>699</v>
      </c>
      <c r="S9" s="455" t="s">
        <v>702</v>
      </c>
      <c r="T9" s="452">
        <v>7</v>
      </c>
      <c r="U9" s="455" t="s">
        <v>699</v>
      </c>
      <c r="V9" s="455" t="s">
        <v>702</v>
      </c>
    </row>
    <row r="10" spans="1:22" ht="21" x14ac:dyDescent="0.35">
      <c r="A10" s="343">
        <v>9</v>
      </c>
      <c r="B10" s="387" t="s">
        <v>699</v>
      </c>
      <c r="C10" s="387" t="s">
        <v>704</v>
      </c>
      <c r="D10" s="343">
        <v>9</v>
      </c>
      <c r="E10" s="387" t="s">
        <v>699</v>
      </c>
      <c r="F10" s="387" t="s">
        <v>704</v>
      </c>
      <c r="G10" s="343">
        <v>9</v>
      </c>
      <c r="H10" s="387" t="s">
        <v>699</v>
      </c>
      <c r="I10" s="387" t="s">
        <v>704</v>
      </c>
      <c r="J10" s="343"/>
      <c r="K10" s="342"/>
      <c r="L10" s="342"/>
      <c r="N10" s="452">
        <v>8</v>
      </c>
      <c r="O10" s="455" t="s">
        <v>699</v>
      </c>
      <c r="P10" s="455" t="s">
        <v>703</v>
      </c>
      <c r="Q10" s="452">
        <v>8</v>
      </c>
      <c r="R10" s="455" t="s">
        <v>699</v>
      </c>
      <c r="S10" s="455" t="s">
        <v>703</v>
      </c>
      <c r="T10" s="452">
        <v>8</v>
      </c>
      <c r="U10" s="455" t="s">
        <v>699</v>
      </c>
      <c r="V10" s="455" t="s">
        <v>703</v>
      </c>
    </row>
    <row r="11" spans="1:22" ht="21" x14ac:dyDescent="0.35">
      <c r="A11" s="343">
        <v>10</v>
      </c>
      <c r="B11" s="388" t="s">
        <v>705</v>
      </c>
      <c r="C11" s="388" t="s">
        <v>696</v>
      </c>
      <c r="D11" s="343">
        <v>10</v>
      </c>
      <c r="E11" s="388" t="s">
        <v>705</v>
      </c>
      <c r="F11" s="388" t="s">
        <v>696</v>
      </c>
      <c r="G11" s="343">
        <v>10</v>
      </c>
      <c r="H11" s="388" t="s">
        <v>705</v>
      </c>
      <c r="I11" s="388" t="s">
        <v>696</v>
      </c>
      <c r="J11" s="343"/>
      <c r="K11" s="342"/>
      <c r="L11" s="342"/>
      <c r="N11" s="452">
        <v>9</v>
      </c>
      <c r="O11" s="455" t="s">
        <v>699</v>
      </c>
      <c r="P11" s="455" t="s">
        <v>704</v>
      </c>
      <c r="Q11" s="452">
        <v>9</v>
      </c>
      <c r="R11" s="455" t="s">
        <v>699</v>
      </c>
      <c r="S11" s="455" t="s">
        <v>704</v>
      </c>
      <c r="T11" s="452">
        <v>9</v>
      </c>
      <c r="U11" s="455" t="s">
        <v>699</v>
      </c>
      <c r="V11" s="455" t="s">
        <v>704</v>
      </c>
    </row>
    <row r="12" spans="1:22" ht="21" x14ac:dyDescent="0.35">
      <c r="A12" s="343">
        <v>11</v>
      </c>
      <c r="B12" s="388" t="s">
        <v>705</v>
      </c>
      <c r="C12" s="388" t="s">
        <v>698</v>
      </c>
      <c r="D12" s="343">
        <v>11</v>
      </c>
      <c r="E12" s="388" t="s">
        <v>705</v>
      </c>
      <c r="F12" s="388" t="s">
        <v>698</v>
      </c>
      <c r="G12" s="343">
        <v>11</v>
      </c>
      <c r="H12" s="388" t="s">
        <v>705</v>
      </c>
      <c r="I12" s="388" t="s">
        <v>698</v>
      </c>
      <c r="J12" s="343"/>
      <c r="K12" s="342"/>
      <c r="L12" s="342"/>
      <c r="N12" s="452">
        <v>10</v>
      </c>
      <c r="O12" s="456" t="s">
        <v>705</v>
      </c>
      <c r="P12" s="456" t="s">
        <v>696</v>
      </c>
      <c r="Q12" s="452">
        <v>10</v>
      </c>
      <c r="R12" s="456" t="s">
        <v>705</v>
      </c>
      <c r="S12" s="456" t="s">
        <v>696</v>
      </c>
      <c r="T12" s="452">
        <v>10</v>
      </c>
      <c r="U12" s="456" t="s">
        <v>705</v>
      </c>
      <c r="V12" s="456" t="s">
        <v>696</v>
      </c>
    </row>
    <row r="13" spans="1:22" ht="21" x14ac:dyDescent="0.35">
      <c r="A13" s="343">
        <v>12</v>
      </c>
      <c r="B13" s="388" t="s">
        <v>705</v>
      </c>
      <c r="C13" s="388" t="s">
        <v>700</v>
      </c>
      <c r="D13" s="343">
        <v>12</v>
      </c>
      <c r="E13" s="388" t="s">
        <v>705</v>
      </c>
      <c r="F13" s="388" t="s">
        <v>700</v>
      </c>
      <c r="G13" s="343">
        <v>12</v>
      </c>
      <c r="H13" s="388" t="s">
        <v>705</v>
      </c>
      <c r="I13" s="388" t="s">
        <v>700</v>
      </c>
      <c r="J13" s="343"/>
      <c r="K13" s="342"/>
      <c r="L13" s="342"/>
      <c r="N13" s="452">
        <v>11</v>
      </c>
      <c r="O13" s="456" t="s">
        <v>705</v>
      </c>
      <c r="P13" s="456" t="s">
        <v>698</v>
      </c>
      <c r="Q13" s="452">
        <v>11</v>
      </c>
      <c r="R13" s="456" t="s">
        <v>705</v>
      </c>
      <c r="S13" s="456" t="s">
        <v>698</v>
      </c>
      <c r="T13" s="452">
        <v>11</v>
      </c>
      <c r="U13" s="456" t="s">
        <v>705</v>
      </c>
      <c r="V13" s="456" t="s">
        <v>698</v>
      </c>
    </row>
    <row r="14" spans="1:22" ht="21" x14ac:dyDescent="0.35">
      <c r="A14" s="343">
        <v>13</v>
      </c>
      <c r="B14" s="388" t="s">
        <v>705</v>
      </c>
      <c r="C14" s="388" t="s">
        <v>701</v>
      </c>
      <c r="D14" s="343">
        <v>13</v>
      </c>
      <c r="E14" s="388" t="s">
        <v>705</v>
      </c>
      <c r="F14" s="388" t="s">
        <v>701</v>
      </c>
      <c r="G14" s="343">
        <v>13</v>
      </c>
      <c r="H14" s="388" t="s">
        <v>705</v>
      </c>
      <c r="I14" s="388" t="s">
        <v>701</v>
      </c>
      <c r="J14" s="343"/>
      <c r="K14" s="342"/>
      <c r="L14" s="342"/>
      <c r="N14" s="452">
        <v>12</v>
      </c>
      <c r="O14" s="456" t="s">
        <v>705</v>
      </c>
      <c r="P14" s="456" t="s">
        <v>700</v>
      </c>
      <c r="Q14" s="452">
        <v>12</v>
      </c>
      <c r="R14" s="456" t="s">
        <v>705</v>
      </c>
      <c r="S14" s="456" t="s">
        <v>700</v>
      </c>
      <c r="T14" s="452">
        <v>12</v>
      </c>
      <c r="U14" s="456" t="s">
        <v>705</v>
      </c>
      <c r="V14" s="456" t="s">
        <v>700</v>
      </c>
    </row>
    <row r="15" spans="1:22" ht="21" x14ac:dyDescent="0.35">
      <c r="A15" s="343">
        <v>14</v>
      </c>
      <c r="B15" s="388" t="s">
        <v>705</v>
      </c>
      <c r="C15" s="388" t="s">
        <v>702</v>
      </c>
      <c r="D15" s="343">
        <v>14</v>
      </c>
      <c r="E15" s="388" t="s">
        <v>705</v>
      </c>
      <c r="F15" s="388" t="s">
        <v>702</v>
      </c>
      <c r="G15" s="343">
        <v>14</v>
      </c>
      <c r="H15" s="388" t="s">
        <v>705</v>
      </c>
      <c r="I15" s="388" t="s">
        <v>702</v>
      </c>
      <c r="J15" s="343"/>
      <c r="K15" s="342"/>
      <c r="L15" s="342"/>
      <c r="N15" s="452">
        <v>13</v>
      </c>
      <c r="O15" s="456" t="s">
        <v>705</v>
      </c>
      <c r="P15" s="456" t="s">
        <v>701</v>
      </c>
      <c r="Q15" s="452">
        <v>13</v>
      </c>
      <c r="R15" s="456" t="s">
        <v>705</v>
      </c>
      <c r="S15" s="456" t="s">
        <v>701</v>
      </c>
      <c r="T15" s="452">
        <v>13</v>
      </c>
      <c r="U15" s="456" t="s">
        <v>705</v>
      </c>
      <c r="V15" s="456" t="s">
        <v>701</v>
      </c>
    </row>
    <row r="16" spans="1:22" ht="21" x14ac:dyDescent="0.35">
      <c r="A16" s="343">
        <v>15</v>
      </c>
      <c r="B16" s="388" t="s">
        <v>705</v>
      </c>
      <c r="C16" s="388" t="s">
        <v>703</v>
      </c>
      <c r="D16" s="343">
        <v>15</v>
      </c>
      <c r="E16" s="388" t="s">
        <v>705</v>
      </c>
      <c r="F16" s="388" t="s">
        <v>703</v>
      </c>
      <c r="G16" s="343">
        <v>15</v>
      </c>
      <c r="H16" s="388" t="s">
        <v>705</v>
      </c>
      <c r="I16" s="388" t="s">
        <v>703</v>
      </c>
      <c r="J16" s="343"/>
      <c r="K16" s="342"/>
      <c r="L16" s="342"/>
      <c r="N16" s="452">
        <v>14</v>
      </c>
      <c r="O16" s="456" t="s">
        <v>705</v>
      </c>
      <c r="P16" s="456" t="s">
        <v>702</v>
      </c>
      <c r="Q16" s="452">
        <v>14</v>
      </c>
      <c r="R16" s="456" t="s">
        <v>705</v>
      </c>
      <c r="S16" s="456" t="s">
        <v>702</v>
      </c>
      <c r="T16" s="452">
        <v>14</v>
      </c>
      <c r="U16" s="456" t="s">
        <v>705</v>
      </c>
      <c r="V16" s="456" t="s">
        <v>702</v>
      </c>
    </row>
    <row r="17" spans="1:22" ht="21" x14ac:dyDescent="0.35">
      <c r="A17" s="343">
        <v>16</v>
      </c>
      <c r="B17" s="388" t="s">
        <v>705</v>
      </c>
      <c r="C17" s="388" t="s">
        <v>706</v>
      </c>
      <c r="D17" s="343">
        <v>16</v>
      </c>
      <c r="E17" s="388" t="s">
        <v>705</v>
      </c>
      <c r="F17" s="388" t="s">
        <v>706</v>
      </c>
      <c r="G17" s="343">
        <v>16</v>
      </c>
      <c r="H17" s="388" t="s">
        <v>705</v>
      </c>
      <c r="I17" s="388" t="s">
        <v>706</v>
      </c>
      <c r="J17" s="343"/>
      <c r="K17" s="342"/>
      <c r="L17" s="342"/>
      <c r="N17" s="452">
        <v>15</v>
      </c>
      <c r="O17" s="456" t="s">
        <v>705</v>
      </c>
      <c r="P17" s="456" t="s">
        <v>703</v>
      </c>
      <c r="Q17" s="452">
        <v>15</v>
      </c>
      <c r="R17" s="456" t="s">
        <v>705</v>
      </c>
      <c r="S17" s="456" t="s">
        <v>703</v>
      </c>
      <c r="T17" s="452">
        <v>15</v>
      </c>
      <c r="U17" s="456" t="s">
        <v>705</v>
      </c>
      <c r="V17" s="456" t="s">
        <v>703</v>
      </c>
    </row>
    <row r="18" spans="1:22" ht="21" x14ac:dyDescent="0.35">
      <c r="A18" s="341"/>
      <c r="B18" s="341"/>
      <c r="C18" s="342" t="s">
        <v>694</v>
      </c>
      <c r="D18" s="341"/>
      <c r="E18" s="341"/>
      <c r="F18" s="342" t="s">
        <v>694</v>
      </c>
      <c r="G18" s="341"/>
      <c r="H18" s="341"/>
      <c r="I18" s="342" t="s">
        <v>694</v>
      </c>
      <c r="J18" s="341"/>
      <c r="K18" s="342" t="s">
        <v>360</v>
      </c>
      <c r="L18" s="341"/>
      <c r="N18" s="452">
        <v>16</v>
      </c>
      <c r="O18" s="456" t="s">
        <v>705</v>
      </c>
      <c r="P18" s="456" t="s">
        <v>706</v>
      </c>
      <c r="Q18" s="452">
        <v>16</v>
      </c>
      <c r="R18" s="456" t="s">
        <v>705</v>
      </c>
      <c r="S18" s="456" t="s">
        <v>706</v>
      </c>
      <c r="T18" s="452">
        <v>16</v>
      </c>
      <c r="U18" s="456" t="s">
        <v>705</v>
      </c>
      <c r="V18" s="456" t="s">
        <v>706</v>
      </c>
    </row>
    <row r="19" spans="1:22" ht="15.75" x14ac:dyDescent="0.25">
      <c r="A19" s="343">
        <v>1</v>
      </c>
      <c r="B19" s="344" t="s">
        <v>695</v>
      </c>
      <c r="C19" s="344" t="s">
        <v>696</v>
      </c>
      <c r="D19" s="343">
        <v>1</v>
      </c>
      <c r="E19" s="344" t="s">
        <v>695</v>
      </c>
      <c r="F19" s="344" t="s">
        <v>696</v>
      </c>
      <c r="G19" s="343">
        <v>1</v>
      </c>
      <c r="H19" s="344" t="s">
        <v>695</v>
      </c>
      <c r="I19" s="344" t="s">
        <v>696</v>
      </c>
      <c r="J19" s="343">
        <v>1</v>
      </c>
      <c r="K19" s="342" t="s">
        <v>707</v>
      </c>
      <c r="L19" s="342" t="s">
        <v>708</v>
      </c>
    </row>
    <row r="20" spans="1:22" ht="15.75" x14ac:dyDescent="0.25">
      <c r="A20" s="343">
        <v>2</v>
      </c>
      <c r="B20" s="344" t="s">
        <v>695</v>
      </c>
      <c r="C20" s="344" t="s">
        <v>698</v>
      </c>
      <c r="D20" s="343">
        <v>2</v>
      </c>
      <c r="E20" s="344" t="s">
        <v>695</v>
      </c>
      <c r="F20" s="344" t="s">
        <v>698</v>
      </c>
      <c r="G20" s="343">
        <v>2</v>
      </c>
      <c r="H20" s="344" t="s">
        <v>695</v>
      </c>
      <c r="I20" s="344" t="s">
        <v>698</v>
      </c>
      <c r="J20" s="343">
        <v>2</v>
      </c>
      <c r="K20" s="342" t="s">
        <v>707</v>
      </c>
      <c r="L20" s="342" t="s">
        <v>709</v>
      </c>
    </row>
    <row r="21" spans="1:22" ht="15.75" x14ac:dyDescent="0.25">
      <c r="A21" s="343">
        <v>3</v>
      </c>
      <c r="B21" s="387" t="s">
        <v>699</v>
      </c>
      <c r="C21" s="387" t="s">
        <v>696</v>
      </c>
      <c r="D21" s="343">
        <v>3</v>
      </c>
      <c r="E21" s="387" t="s">
        <v>699</v>
      </c>
      <c r="F21" s="387" t="s">
        <v>696</v>
      </c>
      <c r="G21" s="343">
        <v>3</v>
      </c>
      <c r="H21" s="387" t="s">
        <v>699</v>
      </c>
      <c r="I21" s="387" t="s">
        <v>696</v>
      </c>
      <c r="J21" s="343">
        <v>3</v>
      </c>
      <c r="K21" s="342" t="s">
        <v>710</v>
      </c>
      <c r="L21" s="342" t="s">
        <v>711</v>
      </c>
    </row>
    <row r="22" spans="1:22" ht="15.75" x14ac:dyDescent="0.25">
      <c r="A22" s="343">
        <v>4</v>
      </c>
      <c r="B22" s="387" t="s">
        <v>699</v>
      </c>
      <c r="C22" s="387" t="s">
        <v>698</v>
      </c>
      <c r="D22" s="343">
        <v>4</v>
      </c>
      <c r="E22" s="387" t="s">
        <v>699</v>
      </c>
      <c r="F22" s="387" t="s">
        <v>698</v>
      </c>
      <c r="G22" s="343">
        <v>4</v>
      </c>
      <c r="H22" s="387" t="s">
        <v>699</v>
      </c>
      <c r="I22" s="387" t="s">
        <v>698</v>
      </c>
      <c r="J22" s="343">
        <v>4</v>
      </c>
      <c r="K22" s="342" t="s">
        <v>710</v>
      </c>
      <c r="L22" s="342" t="s">
        <v>712</v>
      </c>
    </row>
    <row r="23" spans="1:22" ht="15.75" x14ac:dyDescent="0.25">
      <c r="A23" s="343">
        <v>5</v>
      </c>
      <c r="B23" s="387" t="s">
        <v>699</v>
      </c>
      <c r="C23" s="387" t="s">
        <v>700</v>
      </c>
      <c r="D23" s="343">
        <v>5</v>
      </c>
      <c r="E23" s="387" t="s">
        <v>699</v>
      </c>
      <c r="F23" s="387" t="s">
        <v>700</v>
      </c>
      <c r="G23" s="343">
        <v>5</v>
      </c>
      <c r="H23" s="387" t="s">
        <v>699</v>
      </c>
      <c r="I23" s="387" t="s">
        <v>700</v>
      </c>
      <c r="J23" s="343">
        <v>5</v>
      </c>
      <c r="K23" s="342" t="s">
        <v>710</v>
      </c>
      <c r="L23" s="342" t="s">
        <v>97</v>
      </c>
    </row>
    <row r="24" spans="1:22" ht="15.75" x14ac:dyDescent="0.25">
      <c r="A24" s="343">
        <v>6</v>
      </c>
      <c r="B24" s="387" t="s">
        <v>699</v>
      </c>
      <c r="C24" s="387" t="s">
        <v>701</v>
      </c>
      <c r="D24" s="343">
        <v>6</v>
      </c>
      <c r="E24" s="387" t="s">
        <v>699</v>
      </c>
      <c r="F24" s="387" t="s">
        <v>701</v>
      </c>
      <c r="G24" s="343">
        <v>6</v>
      </c>
      <c r="H24" s="387" t="s">
        <v>699</v>
      </c>
      <c r="I24" s="387" t="s">
        <v>701</v>
      </c>
      <c r="J24" s="343">
        <v>6</v>
      </c>
      <c r="K24" s="342" t="s">
        <v>710</v>
      </c>
      <c r="L24" s="342" t="s">
        <v>708</v>
      </c>
    </row>
    <row r="25" spans="1:22" ht="15.75" x14ac:dyDescent="0.25">
      <c r="A25" s="343">
        <v>7</v>
      </c>
      <c r="B25" s="387" t="s">
        <v>699</v>
      </c>
      <c r="C25" s="387" t="s">
        <v>702</v>
      </c>
      <c r="D25" s="343">
        <v>7</v>
      </c>
      <c r="E25" s="387" t="s">
        <v>699</v>
      </c>
      <c r="F25" s="387" t="s">
        <v>702</v>
      </c>
      <c r="G25" s="343">
        <v>7</v>
      </c>
      <c r="H25" s="387" t="s">
        <v>699</v>
      </c>
      <c r="I25" s="387" t="s">
        <v>702</v>
      </c>
      <c r="J25" s="343">
        <v>7</v>
      </c>
      <c r="K25" s="342" t="s">
        <v>713</v>
      </c>
      <c r="L25" s="342" t="s">
        <v>714</v>
      </c>
    </row>
    <row r="26" spans="1:22" ht="15.75" x14ac:dyDescent="0.25">
      <c r="A26" s="343">
        <v>8</v>
      </c>
      <c r="B26" s="387" t="s">
        <v>699</v>
      </c>
      <c r="C26" s="387" t="s">
        <v>703</v>
      </c>
      <c r="D26" s="343">
        <v>8</v>
      </c>
      <c r="E26" s="387" t="s">
        <v>699</v>
      </c>
      <c r="F26" s="387" t="s">
        <v>703</v>
      </c>
      <c r="G26" s="343">
        <v>8</v>
      </c>
      <c r="H26" s="387" t="s">
        <v>699</v>
      </c>
      <c r="I26" s="387" t="s">
        <v>703</v>
      </c>
      <c r="J26" s="343">
        <v>8</v>
      </c>
      <c r="K26" s="342" t="s">
        <v>713</v>
      </c>
      <c r="L26" s="342" t="s">
        <v>715</v>
      </c>
    </row>
    <row r="27" spans="1:22" ht="15.75" x14ac:dyDescent="0.25">
      <c r="A27" s="343">
        <v>9</v>
      </c>
      <c r="B27" s="387" t="s">
        <v>699</v>
      </c>
      <c r="C27" s="387" t="s">
        <v>704</v>
      </c>
      <c r="D27" s="343">
        <v>9</v>
      </c>
      <c r="E27" s="387" t="s">
        <v>699</v>
      </c>
      <c r="F27" s="387" t="s">
        <v>704</v>
      </c>
      <c r="G27" s="343">
        <v>9</v>
      </c>
      <c r="H27" s="387" t="s">
        <v>699</v>
      </c>
      <c r="I27" s="387" t="s">
        <v>704</v>
      </c>
      <c r="J27" s="343">
        <v>9</v>
      </c>
      <c r="K27" s="342" t="s">
        <v>710</v>
      </c>
      <c r="L27" s="342" t="s">
        <v>716</v>
      </c>
    </row>
    <row r="28" spans="1:22" ht="15.75" x14ac:dyDescent="0.25">
      <c r="A28" s="343">
        <v>10</v>
      </c>
      <c r="B28" s="388" t="s">
        <v>705</v>
      </c>
      <c r="C28" s="388" t="s">
        <v>696</v>
      </c>
      <c r="D28" s="343">
        <v>10</v>
      </c>
      <c r="E28" s="388" t="s">
        <v>705</v>
      </c>
      <c r="F28" s="388" t="s">
        <v>696</v>
      </c>
      <c r="G28" s="343">
        <v>10</v>
      </c>
      <c r="H28" s="388" t="s">
        <v>705</v>
      </c>
      <c r="I28" s="388" t="s">
        <v>696</v>
      </c>
      <c r="J28" s="343">
        <v>10</v>
      </c>
      <c r="K28" s="342" t="s">
        <v>710</v>
      </c>
      <c r="L28" s="342" t="s">
        <v>715</v>
      </c>
    </row>
    <row r="29" spans="1:22" ht="15.75" x14ac:dyDescent="0.25">
      <c r="A29" s="343">
        <v>11</v>
      </c>
      <c r="B29" s="388" t="s">
        <v>705</v>
      </c>
      <c r="C29" s="388" t="s">
        <v>698</v>
      </c>
      <c r="D29" s="343">
        <v>11</v>
      </c>
      <c r="E29" s="388" t="s">
        <v>705</v>
      </c>
      <c r="F29" s="388" t="s">
        <v>698</v>
      </c>
      <c r="G29" s="343">
        <v>11</v>
      </c>
      <c r="H29" s="388" t="s">
        <v>705</v>
      </c>
      <c r="I29" s="388" t="s">
        <v>698</v>
      </c>
      <c r="J29" s="343">
        <v>11</v>
      </c>
      <c r="K29" s="342" t="s">
        <v>710</v>
      </c>
      <c r="L29" s="342" t="s">
        <v>717</v>
      </c>
    </row>
    <row r="30" spans="1:22" ht="15.75" x14ac:dyDescent="0.25">
      <c r="A30" s="343">
        <v>12</v>
      </c>
      <c r="B30" s="388" t="s">
        <v>705</v>
      </c>
      <c r="C30" s="388" t="s">
        <v>700</v>
      </c>
      <c r="D30" s="343">
        <v>12</v>
      </c>
      <c r="E30" s="388" t="s">
        <v>705</v>
      </c>
      <c r="F30" s="388" t="s">
        <v>700</v>
      </c>
      <c r="G30" s="343">
        <v>12</v>
      </c>
      <c r="H30" s="388" t="s">
        <v>705</v>
      </c>
      <c r="I30" s="388" t="s">
        <v>700</v>
      </c>
      <c r="J30" s="343">
        <v>12</v>
      </c>
      <c r="K30" s="342" t="s">
        <v>707</v>
      </c>
      <c r="L30" s="342" t="s">
        <v>717</v>
      </c>
    </row>
    <row r="31" spans="1:22" ht="15.75" x14ac:dyDescent="0.25">
      <c r="A31" s="343">
        <v>13</v>
      </c>
      <c r="B31" s="388" t="s">
        <v>705</v>
      </c>
      <c r="C31" s="388" t="s">
        <v>701</v>
      </c>
      <c r="D31" s="343">
        <v>13</v>
      </c>
      <c r="E31" s="388" t="s">
        <v>705</v>
      </c>
      <c r="F31" s="388" t="s">
        <v>701</v>
      </c>
      <c r="G31" s="343">
        <v>13</v>
      </c>
      <c r="H31" s="388" t="s">
        <v>705</v>
      </c>
      <c r="I31" s="388" t="s">
        <v>701</v>
      </c>
      <c r="J31" s="343">
        <v>13</v>
      </c>
      <c r="K31" s="342" t="s">
        <v>707</v>
      </c>
      <c r="L31" s="342" t="s">
        <v>718</v>
      </c>
    </row>
    <row r="32" spans="1:22" ht="15.75" x14ac:dyDescent="0.25">
      <c r="A32" s="343">
        <v>14</v>
      </c>
      <c r="B32" s="388" t="s">
        <v>705</v>
      </c>
      <c r="C32" s="388" t="s">
        <v>702</v>
      </c>
      <c r="D32" s="343">
        <v>14</v>
      </c>
      <c r="E32" s="388" t="s">
        <v>705</v>
      </c>
      <c r="F32" s="388" t="s">
        <v>702</v>
      </c>
      <c r="G32" s="343">
        <v>14</v>
      </c>
      <c r="H32" s="388" t="s">
        <v>705</v>
      </c>
      <c r="I32" s="388" t="s">
        <v>702</v>
      </c>
      <c r="J32" s="343">
        <v>14</v>
      </c>
      <c r="K32" s="342" t="s">
        <v>707</v>
      </c>
      <c r="L32" s="342" t="s">
        <v>719</v>
      </c>
    </row>
    <row r="33" spans="1:12" ht="15.75" x14ac:dyDescent="0.25">
      <c r="A33" s="343">
        <v>15</v>
      </c>
      <c r="B33" s="388" t="s">
        <v>705</v>
      </c>
      <c r="C33" s="388" t="s">
        <v>703</v>
      </c>
      <c r="D33" s="343">
        <v>15</v>
      </c>
      <c r="E33" s="388" t="s">
        <v>705</v>
      </c>
      <c r="F33" s="388" t="s">
        <v>703</v>
      </c>
      <c r="G33" s="343">
        <v>15</v>
      </c>
      <c r="H33" s="388" t="s">
        <v>705</v>
      </c>
      <c r="I33" s="388" t="s">
        <v>703</v>
      </c>
      <c r="J33" s="343">
        <v>15</v>
      </c>
      <c r="K33" s="342" t="s">
        <v>707</v>
      </c>
      <c r="L33" s="342" t="s">
        <v>711</v>
      </c>
    </row>
    <row r="34" spans="1:12" ht="15.75" x14ac:dyDescent="0.25">
      <c r="A34" s="343">
        <v>16</v>
      </c>
      <c r="B34" s="388" t="s">
        <v>705</v>
      </c>
      <c r="C34" s="388" t="s">
        <v>706</v>
      </c>
      <c r="D34" s="343">
        <v>16</v>
      </c>
      <c r="E34" s="388" t="s">
        <v>705</v>
      </c>
      <c r="F34" s="388" t="s">
        <v>706</v>
      </c>
      <c r="G34" s="343">
        <v>16</v>
      </c>
      <c r="H34" s="388" t="s">
        <v>705</v>
      </c>
      <c r="I34" s="388" t="s">
        <v>706</v>
      </c>
      <c r="J34" s="343">
        <v>16</v>
      </c>
      <c r="K34" s="342" t="s">
        <v>707</v>
      </c>
      <c r="L34" s="342" t="s">
        <v>712</v>
      </c>
    </row>
    <row r="35" spans="1:12" ht="15.75" x14ac:dyDescent="0.25">
      <c r="A35" s="341"/>
      <c r="B35" s="341"/>
      <c r="C35" s="342" t="s">
        <v>694</v>
      </c>
      <c r="D35" s="341"/>
      <c r="E35" s="341"/>
      <c r="F35" s="342" t="s">
        <v>694</v>
      </c>
      <c r="G35" s="341"/>
      <c r="H35" s="341"/>
      <c r="I35" s="342" t="s">
        <v>694</v>
      </c>
      <c r="J35" s="341"/>
      <c r="K35" s="342" t="s">
        <v>360</v>
      </c>
      <c r="L35" s="341"/>
    </row>
    <row r="36" spans="1:12" ht="15.75" x14ac:dyDescent="0.25">
      <c r="A36" s="343">
        <v>1</v>
      </c>
      <c r="B36" s="344" t="s">
        <v>695</v>
      </c>
      <c r="C36" s="344" t="s">
        <v>696</v>
      </c>
      <c r="D36" s="343">
        <v>1</v>
      </c>
      <c r="E36" s="344" t="s">
        <v>695</v>
      </c>
      <c r="F36" s="344" t="s">
        <v>696</v>
      </c>
      <c r="G36" s="343">
        <v>1</v>
      </c>
      <c r="H36" s="344" t="s">
        <v>695</v>
      </c>
      <c r="I36" s="344" t="s">
        <v>696</v>
      </c>
      <c r="J36" s="343">
        <v>1</v>
      </c>
      <c r="K36" s="342" t="s">
        <v>707</v>
      </c>
      <c r="L36" s="342" t="s">
        <v>708</v>
      </c>
    </row>
    <row r="37" spans="1:12" ht="15.75" x14ac:dyDescent="0.25">
      <c r="A37" s="343">
        <v>2</v>
      </c>
      <c r="B37" s="344" t="s">
        <v>695</v>
      </c>
      <c r="C37" s="344" t="s">
        <v>698</v>
      </c>
      <c r="D37" s="343">
        <v>2</v>
      </c>
      <c r="E37" s="344" t="s">
        <v>695</v>
      </c>
      <c r="F37" s="344" t="s">
        <v>698</v>
      </c>
      <c r="G37" s="343">
        <v>2</v>
      </c>
      <c r="H37" s="344" t="s">
        <v>695</v>
      </c>
      <c r="I37" s="344" t="s">
        <v>698</v>
      </c>
      <c r="J37" s="343">
        <v>2</v>
      </c>
      <c r="K37" s="342" t="s">
        <v>707</v>
      </c>
      <c r="L37" s="342" t="s">
        <v>709</v>
      </c>
    </row>
    <row r="38" spans="1:12" ht="15.75" x14ac:dyDescent="0.25">
      <c r="A38" s="343">
        <v>3</v>
      </c>
      <c r="B38" s="387" t="s">
        <v>699</v>
      </c>
      <c r="C38" s="387" t="s">
        <v>696</v>
      </c>
      <c r="D38" s="343">
        <v>3</v>
      </c>
      <c r="E38" s="387" t="s">
        <v>699</v>
      </c>
      <c r="F38" s="387" t="s">
        <v>696</v>
      </c>
      <c r="G38" s="343">
        <v>3</v>
      </c>
      <c r="H38" s="387" t="s">
        <v>699</v>
      </c>
      <c r="I38" s="387" t="s">
        <v>696</v>
      </c>
      <c r="J38" s="343">
        <v>3</v>
      </c>
      <c r="K38" s="342" t="s">
        <v>710</v>
      </c>
      <c r="L38" s="342" t="s">
        <v>711</v>
      </c>
    </row>
    <row r="39" spans="1:12" ht="15.75" x14ac:dyDescent="0.25">
      <c r="A39" s="343">
        <v>4</v>
      </c>
      <c r="B39" s="387" t="s">
        <v>699</v>
      </c>
      <c r="C39" s="387" t="s">
        <v>698</v>
      </c>
      <c r="D39" s="343">
        <v>4</v>
      </c>
      <c r="E39" s="387" t="s">
        <v>699</v>
      </c>
      <c r="F39" s="387" t="s">
        <v>698</v>
      </c>
      <c r="G39" s="343">
        <v>4</v>
      </c>
      <c r="H39" s="387" t="s">
        <v>699</v>
      </c>
      <c r="I39" s="387" t="s">
        <v>698</v>
      </c>
      <c r="J39" s="343">
        <v>4</v>
      </c>
      <c r="K39" s="342" t="s">
        <v>710</v>
      </c>
      <c r="L39" s="342" t="s">
        <v>712</v>
      </c>
    </row>
    <row r="40" spans="1:12" ht="15.75" x14ac:dyDescent="0.25">
      <c r="A40" s="343">
        <v>5</v>
      </c>
      <c r="B40" s="387" t="s">
        <v>699</v>
      </c>
      <c r="C40" s="387" t="s">
        <v>700</v>
      </c>
      <c r="D40" s="343">
        <v>5</v>
      </c>
      <c r="E40" s="387" t="s">
        <v>699</v>
      </c>
      <c r="F40" s="387" t="s">
        <v>700</v>
      </c>
      <c r="G40" s="343">
        <v>5</v>
      </c>
      <c r="H40" s="387" t="s">
        <v>699</v>
      </c>
      <c r="I40" s="387" t="s">
        <v>700</v>
      </c>
      <c r="J40" s="343">
        <v>5</v>
      </c>
      <c r="K40" s="342" t="s">
        <v>710</v>
      </c>
      <c r="L40" s="342" t="s">
        <v>97</v>
      </c>
    </row>
    <row r="41" spans="1:12" ht="15.75" x14ac:dyDescent="0.25">
      <c r="A41" s="343">
        <v>6</v>
      </c>
      <c r="B41" s="387" t="s">
        <v>699</v>
      </c>
      <c r="C41" s="387" t="s">
        <v>701</v>
      </c>
      <c r="D41" s="343">
        <v>6</v>
      </c>
      <c r="E41" s="387" t="s">
        <v>699</v>
      </c>
      <c r="F41" s="387" t="s">
        <v>701</v>
      </c>
      <c r="G41" s="343">
        <v>6</v>
      </c>
      <c r="H41" s="387" t="s">
        <v>699</v>
      </c>
      <c r="I41" s="387" t="s">
        <v>701</v>
      </c>
      <c r="J41" s="343">
        <v>6</v>
      </c>
      <c r="K41" s="342" t="s">
        <v>710</v>
      </c>
      <c r="L41" s="342" t="s">
        <v>708</v>
      </c>
    </row>
    <row r="42" spans="1:12" ht="15.75" x14ac:dyDescent="0.25">
      <c r="A42" s="343">
        <v>7</v>
      </c>
      <c r="B42" s="387" t="s">
        <v>699</v>
      </c>
      <c r="C42" s="387" t="s">
        <v>702</v>
      </c>
      <c r="D42" s="343">
        <v>7</v>
      </c>
      <c r="E42" s="387" t="s">
        <v>699</v>
      </c>
      <c r="F42" s="387" t="s">
        <v>702</v>
      </c>
      <c r="G42" s="343">
        <v>7</v>
      </c>
      <c r="H42" s="387" t="s">
        <v>699</v>
      </c>
      <c r="I42" s="387" t="s">
        <v>702</v>
      </c>
      <c r="J42" s="343">
        <v>7</v>
      </c>
      <c r="K42" s="342" t="s">
        <v>713</v>
      </c>
      <c r="L42" s="342" t="s">
        <v>714</v>
      </c>
    </row>
    <row r="43" spans="1:12" ht="15.75" x14ac:dyDescent="0.25">
      <c r="A43" s="343">
        <v>8</v>
      </c>
      <c r="B43" s="387" t="s">
        <v>699</v>
      </c>
      <c r="C43" s="387" t="s">
        <v>703</v>
      </c>
      <c r="D43" s="343">
        <v>8</v>
      </c>
      <c r="E43" s="387" t="s">
        <v>699</v>
      </c>
      <c r="F43" s="387" t="s">
        <v>703</v>
      </c>
      <c r="G43" s="343">
        <v>8</v>
      </c>
      <c r="H43" s="387" t="s">
        <v>699</v>
      </c>
      <c r="I43" s="387" t="s">
        <v>703</v>
      </c>
      <c r="J43" s="343">
        <v>8</v>
      </c>
      <c r="K43" s="342" t="s">
        <v>713</v>
      </c>
      <c r="L43" s="342" t="s">
        <v>715</v>
      </c>
    </row>
    <row r="44" spans="1:12" ht="15.75" x14ac:dyDescent="0.25">
      <c r="A44" s="343">
        <v>9</v>
      </c>
      <c r="B44" s="387" t="s">
        <v>699</v>
      </c>
      <c r="C44" s="387" t="s">
        <v>704</v>
      </c>
      <c r="D44" s="343">
        <v>9</v>
      </c>
      <c r="E44" s="387" t="s">
        <v>699</v>
      </c>
      <c r="F44" s="387" t="s">
        <v>704</v>
      </c>
      <c r="G44" s="343">
        <v>9</v>
      </c>
      <c r="H44" s="387" t="s">
        <v>699</v>
      </c>
      <c r="I44" s="387" t="s">
        <v>704</v>
      </c>
      <c r="J44" s="343">
        <v>9</v>
      </c>
      <c r="K44" s="342" t="s">
        <v>710</v>
      </c>
      <c r="L44" s="342" t="s">
        <v>716</v>
      </c>
    </row>
    <row r="45" spans="1:12" ht="15.75" x14ac:dyDescent="0.25">
      <c r="A45" s="343">
        <v>10</v>
      </c>
      <c r="B45" s="388" t="s">
        <v>705</v>
      </c>
      <c r="C45" s="388" t="s">
        <v>696</v>
      </c>
      <c r="D45" s="343">
        <v>10</v>
      </c>
      <c r="E45" s="388" t="s">
        <v>705</v>
      </c>
      <c r="F45" s="388" t="s">
        <v>696</v>
      </c>
      <c r="G45" s="343">
        <v>10</v>
      </c>
      <c r="H45" s="388" t="s">
        <v>705</v>
      </c>
      <c r="I45" s="388" t="s">
        <v>696</v>
      </c>
      <c r="J45" s="343">
        <v>10</v>
      </c>
      <c r="K45" s="342" t="s">
        <v>710</v>
      </c>
      <c r="L45" s="342" t="s">
        <v>715</v>
      </c>
    </row>
    <row r="46" spans="1:12" ht="15.75" x14ac:dyDescent="0.25">
      <c r="A46" s="343">
        <v>11</v>
      </c>
      <c r="B46" s="388" t="s">
        <v>705</v>
      </c>
      <c r="C46" s="388" t="s">
        <v>698</v>
      </c>
      <c r="D46" s="343">
        <v>11</v>
      </c>
      <c r="E46" s="388" t="s">
        <v>705</v>
      </c>
      <c r="F46" s="388" t="s">
        <v>698</v>
      </c>
      <c r="G46" s="343">
        <v>11</v>
      </c>
      <c r="H46" s="388" t="s">
        <v>705</v>
      </c>
      <c r="I46" s="388" t="s">
        <v>698</v>
      </c>
      <c r="J46" s="343">
        <v>11</v>
      </c>
      <c r="K46" s="342" t="s">
        <v>710</v>
      </c>
      <c r="L46" s="342" t="s">
        <v>717</v>
      </c>
    </row>
    <row r="47" spans="1:12" ht="15.75" x14ac:dyDescent="0.25">
      <c r="A47" s="343">
        <v>12</v>
      </c>
      <c r="B47" s="388" t="s">
        <v>705</v>
      </c>
      <c r="C47" s="388" t="s">
        <v>700</v>
      </c>
      <c r="D47" s="343">
        <v>12</v>
      </c>
      <c r="E47" s="388" t="s">
        <v>705</v>
      </c>
      <c r="F47" s="388" t="s">
        <v>700</v>
      </c>
      <c r="G47" s="343">
        <v>12</v>
      </c>
      <c r="H47" s="388" t="s">
        <v>705</v>
      </c>
      <c r="I47" s="388" t="s">
        <v>700</v>
      </c>
      <c r="J47" s="343">
        <v>12</v>
      </c>
      <c r="K47" s="342" t="s">
        <v>707</v>
      </c>
      <c r="L47" s="342" t="s">
        <v>717</v>
      </c>
    </row>
    <row r="48" spans="1:12" ht="15.75" x14ac:dyDescent="0.25">
      <c r="A48" s="343">
        <v>13</v>
      </c>
      <c r="B48" s="388" t="s">
        <v>705</v>
      </c>
      <c r="C48" s="388" t="s">
        <v>701</v>
      </c>
      <c r="D48" s="343">
        <v>13</v>
      </c>
      <c r="E48" s="388" t="s">
        <v>705</v>
      </c>
      <c r="F48" s="388" t="s">
        <v>701</v>
      </c>
      <c r="G48" s="343">
        <v>13</v>
      </c>
      <c r="H48" s="388" t="s">
        <v>705</v>
      </c>
      <c r="I48" s="388" t="s">
        <v>701</v>
      </c>
      <c r="J48" s="343">
        <v>13</v>
      </c>
      <c r="K48" s="342" t="s">
        <v>707</v>
      </c>
      <c r="L48" s="342" t="s">
        <v>718</v>
      </c>
    </row>
    <row r="49" spans="1:12" ht="15.75" x14ac:dyDescent="0.25">
      <c r="A49" s="343">
        <v>14</v>
      </c>
      <c r="B49" s="388" t="s">
        <v>705</v>
      </c>
      <c r="C49" s="388" t="s">
        <v>702</v>
      </c>
      <c r="D49" s="343">
        <v>14</v>
      </c>
      <c r="E49" s="388" t="s">
        <v>705</v>
      </c>
      <c r="F49" s="388" t="s">
        <v>702</v>
      </c>
      <c r="G49" s="343">
        <v>14</v>
      </c>
      <c r="H49" s="388" t="s">
        <v>705</v>
      </c>
      <c r="I49" s="388" t="s">
        <v>702</v>
      </c>
      <c r="J49" s="343">
        <v>14</v>
      </c>
      <c r="K49" s="342" t="s">
        <v>707</v>
      </c>
      <c r="L49" s="342" t="s">
        <v>719</v>
      </c>
    </row>
    <row r="50" spans="1:12" ht="15.75" x14ac:dyDescent="0.25">
      <c r="A50" s="343">
        <v>15</v>
      </c>
      <c r="B50" s="388" t="s">
        <v>705</v>
      </c>
      <c r="C50" s="388" t="s">
        <v>703</v>
      </c>
      <c r="D50" s="343">
        <v>15</v>
      </c>
      <c r="E50" s="388" t="s">
        <v>705</v>
      </c>
      <c r="F50" s="388" t="s">
        <v>703</v>
      </c>
      <c r="G50" s="343">
        <v>15</v>
      </c>
      <c r="H50" s="388" t="s">
        <v>705</v>
      </c>
      <c r="I50" s="388" t="s">
        <v>703</v>
      </c>
      <c r="J50" s="343">
        <v>15</v>
      </c>
      <c r="K50" s="342" t="s">
        <v>707</v>
      </c>
      <c r="L50" s="342" t="s">
        <v>711</v>
      </c>
    </row>
    <row r="51" spans="1:12" ht="15.75" x14ac:dyDescent="0.25">
      <c r="A51" s="343">
        <v>16</v>
      </c>
      <c r="B51" s="388" t="s">
        <v>705</v>
      </c>
      <c r="C51" s="388" t="s">
        <v>706</v>
      </c>
      <c r="D51" s="343">
        <v>16</v>
      </c>
      <c r="E51" s="388" t="s">
        <v>705</v>
      </c>
      <c r="F51" s="388" t="s">
        <v>706</v>
      </c>
      <c r="G51" s="343">
        <v>16</v>
      </c>
      <c r="H51" s="388" t="s">
        <v>705</v>
      </c>
      <c r="I51" s="388" t="s">
        <v>706</v>
      </c>
      <c r="J51" s="343">
        <v>16</v>
      </c>
      <c r="K51" s="342" t="s">
        <v>707</v>
      </c>
      <c r="L51" s="342" t="s">
        <v>712</v>
      </c>
    </row>
    <row r="52" spans="1:12" x14ac:dyDescent="0.25">
      <c r="A52" s="341"/>
      <c r="B52" s="341"/>
      <c r="C52" s="341"/>
      <c r="D52" s="341"/>
      <c r="E52" s="341"/>
      <c r="F52" s="341"/>
      <c r="G52" s="341"/>
      <c r="H52" s="341"/>
      <c r="I52" s="341"/>
      <c r="J52" s="341"/>
      <c r="K52" s="341"/>
      <c r="L52" s="341"/>
    </row>
  </sheetData>
  <printOptions gridLines="1"/>
  <pageMargins left="0.14000000000000001" right="0.14000000000000001" top="0.2" bottom="0.23" header="0.2" footer="0.2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DA112-4D2C-4500-BCB4-798A6F5BA390}">
  <dimension ref="A1:P12"/>
  <sheetViews>
    <sheetView workbookViewId="0">
      <selection activeCell="G15" sqref="G15"/>
    </sheetView>
  </sheetViews>
  <sheetFormatPr defaultRowHeight="15" x14ac:dyDescent="0.25"/>
  <cols>
    <col min="1" max="1" width="14" customWidth="1"/>
    <col min="2" max="2" width="18.85546875" customWidth="1"/>
  </cols>
  <sheetData>
    <row r="1" spans="1:16" ht="27.6" customHeight="1" x14ac:dyDescent="0.25">
      <c r="A1" s="552" t="s">
        <v>604</v>
      </c>
      <c r="B1" s="552" t="s">
        <v>944</v>
      </c>
      <c r="C1" s="552"/>
      <c r="D1" s="553" t="s">
        <v>946</v>
      </c>
      <c r="E1" s="552"/>
      <c r="F1" s="552"/>
      <c r="G1" s="552"/>
      <c r="H1" s="552" t="s">
        <v>947</v>
      </c>
      <c r="I1" s="552"/>
      <c r="J1" s="552"/>
      <c r="K1" s="552"/>
      <c r="L1" s="552"/>
      <c r="M1" s="552"/>
      <c r="N1" s="552"/>
      <c r="O1" s="552"/>
      <c r="P1" s="552"/>
    </row>
    <row r="2" spans="1:16" x14ac:dyDescent="0.25">
      <c r="A2" s="171">
        <v>46234</v>
      </c>
      <c r="B2">
        <v>810</v>
      </c>
      <c r="D2" s="171">
        <v>46237</v>
      </c>
      <c r="E2">
        <v>770</v>
      </c>
    </row>
    <row r="3" spans="1:16" x14ac:dyDescent="0.25">
      <c r="A3" s="171">
        <v>46221</v>
      </c>
      <c r="B3">
        <v>810</v>
      </c>
    </row>
    <row r="4" spans="1:16" x14ac:dyDescent="0.25">
      <c r="A4" s="171">
        <v>46157</v>
      </c>
      <c r="B4">
        <v>850</v>
      </c>
    </row>
    <row r="5" spans="1:16" x14ac:dyDescent="0.25">
      <c r="A5" s="171">
        <v>46184</v>
      </c>
      <c r="B5">
        <v>850</v>
      </c>
    </row>
    <row r="6" spans="1:16" x14ac:dyDescent="0.25">
      <c r="A6" s="171">
        <v>46214</v>
      </c>
      <c r="B6">
        <v>810</v>
      </c>
    </row>
    <row r="7" spans="1:16" x14ac:dyDescent="0.25">
      <c r="A7" s="171">
        <v>46195</v>
      </c>
      <c r="B7">
        <v>850</v>
      </c>
    </row>
    <row r="8" spans="1:16" x14ac:dyDescent="0.25">
      <c r="A8" s="171">
        <v>46210</v>
      </c>
      <c r="B8">
        <v>850</v>
      </c>
    </row>
    <row r="9" spans="1:16" x14ac:dyDescent="0.25">
      <c r="A9" s="171">
        <v>46213</v>
      </c>
      <c r="B9">
        <v>850</v>
      </c>
    </row>
    <row r="10" spans="1:16" x14ac:dyDescent="0.25">
      <c r="A10" s="171">
        <v>46220</v>
      </c>
      <c r="B10">
        <v>3000</v>
      </c>
    </row>
    <row r="11" spans="1:16" x14ac:dyDescent="0.25">
      <c r="A11" s="171">
        <v>46210</v>
      </c>
      <c r="B11">
        <v>3000</v>
      </c>
    </row>
    <row r="12" spans="1:16" x14ac:dyDescent="0.25">
      <c r="A12" s="171">
        <v>46194</v>
      </c>
      <c r="B12">
        <v>3000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E5F3E029EB4E468C4DC0365C695A36" ma:contentTypeVersion="12" ma:contentTypeDescription="Create a new document." ma:contentTypeScope="" ma:versionID="e09b741050ff2f75d6ef0e7602b8fbbe">
  <xsd:schema xmlns:xsd="http://www.w3.org/2001/XMLSchema" xmlns:xs="http://www.w3.org/2001/XMLSchema" xmlns:p="http://schemas.microsoft.com/office/2006/metadata/properties" xmlns:ns3="a8f31d22-f91a-40a4-82a4-cf38416716ca" xmlns:ns4="53a82f20-de34-4072-b99c-c7b19a2529bc" targetNamespace="http://schemas.microsoft.com/office/2006/metadata/properties" ma:root="true" ma:fieldsID="fad0e61dd89d5e6010aa0cfdd86601f7" ns3:_="" ns4:_="">
    <xsd:import namespace="a8f31d22-f91a-40a4-82a4-cf38416716ca"/>
    <xsd:import namespace="53a82f20-de34-4072-b99c-c7b19a2529b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31d22-f91a-40a4-82a4-cf38416716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a82f20-de34-4072-b99c-c7b19a2529b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8f31d22-f91a-40a4-82a4-cf38416716ca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5323302B-6C1F-4351-95F2-E1CB9CFAE41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04E6A5-C555-4E4E-ABF7-46C3A1C936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31d22-f91a-40a4-82a4-cf38416716ca"/>
    <ds:schemaRef ds:uri="53a82f20-de34-4072-b99c-c7b19a2529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E1ADDA-B3A8-484B-8B32-C99C47FED8A5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53a82f20-de34-4072-b99c-c7b19a2529bc"/>
    <ds:schemaRef ds:uri="a8f31d22-f91a-40a4-82a4-cf38416716ca"/>
  </ds:schemaRefs>
</ds:datastoreItem>
</file>

<file path=customXml/itemProps4.xml><?xml version="1.0" encoding="utf-8"?>
<ds:datastoreItem xmlns:ds="http://schemas.openxmlformats.org/officeDocument/2006/customXml" ds:itemID="{D1CB5F4D-F2FE-4EB2-B02C-CD8CD8018D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36" baseType="lpstr">
      <vt:lpstr>Sheet1</vt:lpstr>
      <vt:lpstr>PR_I_O General</vt:lpstr>
      <vt:lpstr>Sheet2</vt:lpstr>
      <vt:lpstr>LABLE</vt:lpstr>
      <vt:lpstr>2526PR_Master</vt:lpstr>
      <vt:lpstr>25526PR_Process</vt:lpstr>
      <vt:lpstr>2627PR_Inward</vt:lpstr>
      <vt:lpstr>2627PR_Loading</vt:lpstr>
      <vt:lpstr>2627PR_Stock_Report</vt:lpstr>
      <vt:lpstr>2627PR_Delivery</vt:lpstr>
      <vt:lpstr>REPORTS</vt:lpstr>
      <vt:lpstr>PR Trans</vt:lpstr>
      <vt:lpstr>NITROGEN</vt:lpstr>
      <vt:lpstr>Stock</vt:lpstr>
      <vt:lpstr>BRIGHT CORPO</vt:lpstr>
      <vt:lpstr>scaner chenal</vt:lpstr>
      <vt:lpstr>LPG  BATLO</vt:lpstr>
      <vt:lpstr>Chart1</vt:lpstr>
      <vt:lpstr>BHADU</vt:lpstr>
      <vt:lpstr>'2627PR_Delivery'!Criteria</vt:lpstr>
      <vt:lpstr>'2627PR_Inward'!Criteria</vt:lpstr>
      <vt:lpstr>Delivery</vt:lpstr>
      <vt:lpstr>'2627PR_Delivery'!Extract</vt:lpstr>
      <vt:lpstr>'2627PR_Loading'!Extract</vt:lpstr>
      <vt:lpstr>'2627PR_Stock_Report'!Extract</vt:lpstr>
      <vt:lpstr>Inward</vt:lpstr>
      <vt:lpstr>Item1</vt:lpstr>
      <vt:lpstr>Item2</vt:lpstr>
      <vt:lpstr>Item3</vt:lpstr>
      <vt:lpstr>LDB</vt:lpstr>
      <vt:lpstr>Loading</vt:lpstr>
      <vt:lpstr>Party</vt:lpstr>
      <vt:lpstr>Pot</vt:lpstr>
      <vt:lpstr>PRTiming</vt:lpstr>
      <vt:lpstr>PRtrasport</vt:lpstr>
      <vt:lpstr>PRTRATE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Aksat</dc:creator>
  <cp:keywords/>
  <dc:description/>
  <cp:lastModifiedBy>Aksat Parekh</cp:lastModifiedBy>
  <cp:revision/>
  <dcterms:created xsi:type="dcterms:W3CDTF">2018-03-01T12:29:10Z</dcterms:created>
  <dcterms:modified xsi:type="dcterms:W3CDTF">2026-10-02T11:47:04Z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0x010100A6E5F3E029EB4E468C4DC0365C695A36</vt:lpwstr>
  </property>
  <property fmtid="{D5CDD505-2E9C-101B-9397-08002B2CF9AE}" pid="3" name="MSIP_Label_defa4170-0d19-0005-0006-bc88714345d2_Enabled">
    <vt:lpwstr>true</vt:lpwstr>
  </property>
  <property fmtid="{D5CDD505-2E9C-101B-9397-08002B2CF9AE}" pid="4" name="MSIP_Label_defa4170-0d19-0005-0006-bc88714345d2_SetDate">
    <vt:lpwstr>2024-03-17T06:15:02Z</vt:lpwstr>
  </property>
  <property fmtid="{D5CDD505-2E9C-101B-9397-08002B2CF9AE}" pid="5" name="MSIP_Label_defa4170-0d19-0005-0006-bc88714345d2_Method">
    <vt:lpwstr>Privileged</vt:lpwstr>
  </property>
  <property fmtid="{D5CDD505-2E9C-101B-9397-08002B2CF9AE}" pid="6" name="MSIP_Label_defa4170-0d19-0005-0006-bc88714345d2_Name">
    <vt:lpwstr>defa4170-0d19-0005-0006-bc88714345d2</vt:lpwstr>
  </property>
  <property fmtid="{D5CDD505-2E9C-101B-9397-08002B2CF9AE}" pid="7" name="MSIP_Label_defa4170-0d19-0005-0006-bc88714345d2_SiteId">
    <vt:lpwstr>3459e2c1-153b-42d8-bac4-1373d6dc75db</vt:lpwstr>
  </property>
  <property fmtid="{D5CDD505-2E9C-101B-9397-08002B2CF9AE}" pid="8" name="MSIP_Label_defa4170-0d19-0005-0006-bc88714345d2_ActionId">
    <vt:lpwstr>c700fe65-b0c8-4b26-8ab8-673115c96d70</vt:lpwstr>
  </property>
  <property fmtid="{D5CDD505-2E9C-101B-9397-08002B2CF9AE}" pid="9" name="MSIP_Label_defa4170-0d19-0005-0006-bc88714345d2_ContentBits">
    <vt:lpwstr>2</vt:lpwstr>
  </property>
</Properties>
</file>